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K:\AplVfp\Bsinfo\hojas\Formatos_IDC\FORMATOS DE LIBROS CONTABLES_PLE\"/>
    </mc:Choice>
  </mc:AlternateContent>
  <xr:revisionPtr revIDLastSave="0" documentId="13_ncr:1_{328F4769-69AC-4EE6-A86E-E00F865A309D}" xr6:coauthVersionLast="45" xr6:coauthVersionMax="45" xr10:uidLastSave="{00000000-0000-0000-0000-000000000000}"/>
  <bookViews>
    <workbookView xWindow="660" yWindow="345" windowWidth="19455" windowHeight="9990" tabRatio="765" activeTab="2" xr2:uid="{00000000-000D-0000-FFFF-FFFF00000000}"/>
  </bookViews>
  <sheets>
    <sheet name="PRESENTACION" sheetId="1" r:id="rId1"/>
    <sheet name="CONFIGURACION" sheetId="17" r:id="rId2"/>
    <sheet name="R. COMPRAS 8.1" sheetId="6" r:id="rId3"/>
    <sheet name="R. COMPRAS 8.2" sheetId="7" state="hidden" r:id="rId4"/>
    <sheet name="R. COMPRAS 8.3" sheetId="8" r:id="rId5"/>
    <sheet name="R. VENTAS 14.1" sheetId="9" r:id="rId6"/>
    <sheet name="R. VENTAS 14.2" sheetId="10" r:id="rId7"/>
    <sheet name="LIBRO DIARIO" sheetId="16" r:id="rId8"/>
  </sheets>
  <functionGroup name="Commands"/>
  <definedNames>
    <definedName name="_xlnm._FilterDatabase" localSheetId="7" hidden="1">'LIBRO DIARIO'!$R$8:$R$11</definedName>
    <definedName name="_xlnm._FilterDatabase" localSheetId="2" hidden="1">'R. COMPRAS 8.1'!$X$9:$X$44</definedName>
    <definedName name="_xlnm._FilterDatabase" localSheetId="3" hidden="1">'R. COMPRAS 8.2'!#REF!</definedName>
    <definedName name="_xlnm._FilterDatabase" localSheetId="4" hidden="1">'R. COMPRAS 8.3'!$R$9:$R$234</definedName>
    <definedName name="_xlnm._FilterDatabase" localSheetId="5" hidden="1">'R. VENTAS 14.1'!$S$10:$S$405</definedName>
    <definedName name="_xlnm._FilterDatabase" localSheetId="6" hidden="1">'R. VENTAS 14.2'!$D$10:$D$13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7" i="16" l="1"/>
  <c r="R7" i="16"/>
  <c r="S20" i="8" l="1"/>
  <c r="S19" i="8"/>
  <c r="AA24" i="9" l="1"/>
  <c r="AA19" i="9"/>
  <c r="AA20" i="9"/>
  <c r="AA21" i="9"/>
  <c r="AA22" i="9"/>
  <c r="AA25" i="9"/>
  <c r="AA26" i="9"/>
  <c r="AA27" i="9"/>
  <c r="AA28" i="9"/>
  <c r="AA29" i="9"/>
  <c r="AA30" i="9"/>
  <c r="AA31" i="9"/>
  <c r="AA32" i="9"/>
  <c r="AA14" i="9"/>
  <c r="AA15" i="9"/>
  <c r="AA16" i="9"/>
  <c r="AA17" i="9"/>
  <c r="AA13" i="9"/>
  <c r="Y24" i="9"/>
  <c r="D6" i="6" l="1"/>
  <c r="D5" i="6"/>
  <c r="D4" i="6"/>
  <c r="D6" i="8"/>
  <c r="D5" i="8"/>
  <c r="D4" i="8"/>
  <c r="D6" i="9"/>
  <c r="D5" i="9"/>
  <c r="D4" i="9"/>
  <c r="D6" i="10" l="1"/>
  <c r="D5" i="10"/>
  <c r="D4" i="10"/>
  <c r="AY8" i="10" l="1"/>
  <c r="AX8" i="10"/>
  <c r="AW8" i="10"/>
  <c r="AV8" i="10"/>
  <c r="AU8" i="10"/>
  <c r="AT8" i="10"/>
  <c r="AS8" i="10"/>
  <c r="AY1" i="10"/>
  <c r="AU8" i="9" l="1"/>
  <c r="AV8" i="9"/>
  <c r="AW8" i="9"/>
  <c r="AX8" i="9"/>
  <c r="AS8" i="9"/>
  <c r="AY8" i="9"/>
  <c r="AT8" i="9"/>
  <c r="AY1" i="9" l="1"/>
  <c r="BB1" i="8"/>
  <c r="AX2" i="8" l="1"/>
  <c r="AX1" i="8"/>
  <c r="AZ1" i="8" s="1"/>
  <c r="BA1" i="8" s="1"/>
  <c r="BB7" i="8"/>
  <c r="BA7" i="8"/>
  <c r="AZ7" i="8"/>
  <c r="AY7" i="8"/>
  <c r="AX7" i="8"/>
  <c r="AW7" i="8"/>
  <c r="AV7" i="8"/>
  <c r="AU7" i="8"/>
  <c r="AT7" i="8"/>
  <c r="AS7" i="8"/>
  <c r="AX5" i="8"/>
  <c r="AZ5" i="8" s="1"/>
  <c r="BA5" i="8" s="1"/>
  <c r="AX4" i="8"/>
  <c r="AZ4" i="8" s="1"/>
  <c r="BA4" i="8" s="1"/>
  <c r="AX3" i="8"/>
  <c r="AZ3" i="8" s="1"/>
  <c r="BA3" i="8" s="1"/>
  <c r="AZ2" i="8"/>
  <c r="BA2" i="8" s="1"/>
  <c r="AY1" i="8" l="1"/>
  <c r="AY2" i="8"/>
  <c r="AY3" i="8"/>
  <c r="AY4" i="8"/>
  <c r="AY5" i="8"/>
  <c r="D6" i="16" l="1"/>
  <c r="D5" i="16"/>
  <c r="D4" i="16"/>
  <c r="AX1" i="6" l="1"/>
  <c r="AZ1" i="6" s="1"/>
  <c r="BA1" i="6" s="1"/>
  <c r="AZ7" i="6"/>
  <c r="BA7" i="6"/>
  <c r="BB7" i="6"/>
  <c r="AY1" i="6" l="1"/>
  <c r="AX2" i="6"/>
  <c r="AX3" i="6"/>
  <c r="AX4" i="6"/>
  <c r="AX5" i="6"/>
  <c r="AX7" i="6"/>
  <c r="AY7" i="6"/>
  <c r="AY4" i="6" l="1"/>
  <c r="AZ4" i="6"/>
  <c r="BA4" i="6" s="1"/>
  <c r="AY3" i="6"/>
  <c r="AZ3" i="6"/>
  <c r="BA3" i="6" s="1"/>
  <c r="AY2" i="6"/>
  <c r="AZ2" i="6"/>
  <c r="BA2" i="6" s="1"/>
  <c r="AY5" i="6"/>
  <c r="AZ5" i="6"/>
  <c r="BA5" i="6" s="1"/>
  <c r="AT7" i="6"/>
  <c r="AU7" i="6"/>
  <c r="AV7" i="6"/>
  <c r="AW7" i="6"/>
  <c r="AS7" i="6"/>
</calcChain>
</file>

<file path=xl/sharedStrings.xml><?xml version="1.0" encoding="utf-8"?>
<sst xmlns="http://schemas.openxmlformats.org/spreadsheetml/2006/main" count="969" uniqueCount="445">
  <si>
    <t>www.excelnegocios.com</t>
  </si>
  <si>
    <t>Contacto: Gustavo@excelnegocios.com</t>
  </si>
  <si>
    <t>01</t>
  </si>
  <si>
    <t>M004</t>
  </si>
  <si>
    <t>USD</t>
  </si>
  <si>
    <t>M003</t>
  </si>
  <si>
    <t>M002</t>
  </si>
  <si>
    <t>M001</t>
  </si>
  <si>
    <t>NÚMERO (6)</t>
  </si>
  <si>
    <t>FECHA DE EMISIÓN (6)</t>
  </si>
  <si>
    <t>NÚMERO (4)</t>
  </si>
  <si>
    <t>COD DE LA  DUA  O DE LA DSI (TABLA 11)</t>
  </si>
  <si>
    <t>SERIE (4)</t>
  </si>
  <si>
    <t>TIPO (4) (Tabla 10)</t>
  </si>
  <si>
    <t>FECHA (4)</t>
  </si>
  <si>
    <t>TIPO DE CAMBIO (3)</t>
  </si>
  <si>
    <t>CÓDIGO  DE LA MONEDA (TABLA 4)</t>
  </si>
  <si>
    <t>IGV</t>
  </si>
  <si>
    <t>BASE IMPONIBLE</t>
  </si>
  <si>
    <t>NÚMERO DE DOCUMENTO DE IDENTIDAD</t>
  </si>
  <si>
    <t>TIPO DE DOCUMENTO (Tabla 2)</t>
  </si>
  <si>
    <t>DENOMINACIÓN O RAZÓN SOCIAL / APELLIDOS Y NOMBRES</t>
  </si>
  <si>
    <t>DOCUMENTO DE IDENTIDAD</t>
  </si>
  <si>
    <t>NÚMERO / FINAL (2)</t>
  </si>
  <si>
    <t>NÚMERO</t>
  </si>
  <si>
    <t>AÑO DE EMISIÓN DE LA DUA O DSI</t>
  </si>
  <si>
    <t>SERIE O COD DEP. ADUANAS (Tabla 11)</t>
  </si>
  <si>
    <t>TIPO (Tabla 10)</t>
  </si>
  <si>
    <t>FECHA DE VENCIMIENTO O PAGO (1)</t>
  </si>
  <si>
    <t>FECHA DE EMISIÓN</t>
  </si>
  <si>
    <t>INDICADOR DE COMPROBANTES DE PAGO CANCELADOS CON MEDIOS DE PAGO</t>
  </si>
  <si>
    <t>ERROR TIPO 4: INCONSISTENCIA POR DNIS QUE FUERON UTILIZADOS EN LAS LIQUIDACIONES DE COMPRA Y QUE YA CUENTAN CON RUC</t>
  </si>
  <si>
    <t>ERROR TIPO 3: INCONSISTENCIA POR PROVEEDORES QUE RENUNCIARON A LA EXONERACIÓN DEL APÉNDICE I DEL IGV</t>
  </si>
  <si>
    <t>ERROR TIPO 2: INCONSISTENCIA POR PROVEEDORES NO HABIDOS</t>
  </si>
  <si>
    <t>ERROR TIPO 1: INCONSISTENCIA EN EL TIPO DE CAMBIO</t>
  </si>
  <si>
    <t>IDENTIFICACIÓN DEL CONTRATO O DEL PROYECTO (OPERADORES DE LAS SOCIEDADES IRREGULARES, CONSORCIOS, JOINT VENTURES U OTRAS RELACIONADAS)</t>
  </si>
  <si>
    <t>CLASIFICACIÓN DE LOS BIENES Y SERVICIOS ADQUIRIDOS (TABLA 30)</t>
  </si>
  <si>
    <t>MARCA DEL COMPROBANTE DE PAGO SUJETO A RETENCIÓN</t>
  </si>
  <si>
    <t>CONSTANCIA DE DEPOSITO DE DETRACCIÓN</t>
  </si>
  <si>
    <t>REFERENCIA DEL COMPROBANTE DE PAGO ORIGINAL QUE SE MODIFICA</t>
  </si>
  <si>
    <t>MONEDA DEL COMPROBANTE</t>
  </si>
  <si>
    <t>IMPORTE TOTAL DE LAS ADQUISICIONES REGISTRADAS SEGÚN COMPROBANTE DE PAGO.</t>
  </si>
  <si>
    <t>OTROS TRIBUTOS Y CARGOS</t>
  </si>
  <si>
    <t>ISC</t>
  </si>
  <si>
    <t>VALOR DE LAS ADQUISICIONES NO GRAVADAS</t>
  </si>
  <si>
    <t>ADQUISICIONES GRAVADAS DESTINADAS A OPERACIONES NO GRAVADAS</t>
  </si>
  <si>
    <t>ADQUISICIONES GRAVADAS DESTINADAS A OPERACIONES GRAVADAS Y/O DE EXPORTACIÓN Y A OPERACIONES NO GRAVADAS</t>
  </si>
  <si>
    <t>ADQUISICIONES GRAVADAS DESTINADAS A OPERACIONES GRAVADAS Y/O DE EXPORTACIÓN</t>
  </si>
  <si>
    <t>INFORMACIÓN DEL PROVEEDOR</t>
  </si>
  <si>
    <t>INFORMACIÓN RESPECTO AL COMPROBANTE DE PAGO UTILIZADO</t>
  </si>
  <si>
    <t>N° CORRELATIVO DEL MES</t>
  </si>
  <si>
    <t>COD ÚNICO DE OPERACIÓN (CUO)</t>
  </si>
  <si>
    <t>PERIODO</t>
  </si>
  <si>
    <t>ESTADO O INDICADOR</t>
  </si>
  <si>
    <t>RAZÓN SOCIAL:</t>
  </si>
  <si>
    <t>RUC:</t>
  </si>
  <si>
    <t>FORMATO 8.1- REGISTRO DE COMPRAS</t>
  </si>
  <si>
    <t>FORMATO 8.2- REGISTRO DE COMPRAS - INFORMACIÓN DE OPERACIONES CON SUJETOS NO DOMICILIADOS</t>
  </si>
  <si>
    <t>PERIODO  :</t>
  </si>
  <si>
    <t>RUC  :</t>
  </si>
  <si>
    <t>RAZÓN SOCIAL  :</t>
  </si>
  <si>
    <t>FILA / COLUMNA</t>
  </si>
  <si>
    <t>ESTADO O INDICADOR *</t>
  </si>
  <si>
    <t>PERIODO *</t>
  </si>
  <si>
    <t>COD ÚNICO DE OPERACIÓN (CUO) *</t>
  </si>
  <si>
    <t>N° CORRELATIVO DEL MES *</t>
  </si>
  <si>
    <t>VALOR DE LAS ADQUISICIONES</t>
  </si>
  <si>
    <t>OTROS CONCEPTOS, TRIBUTOS Y CARGOS QUE NO FORMEN PARTE DE LA BASE IMPONIBLE</t>
  </si>
  <si>
    <t>DOCUMENTO QUE SUSTENTA EL CRÉDITO FISCAL</t>
  </si>
  <si>
    <t>INFORMACIÓN DEL SUJETO NO DOMICILIADO</t>
  </si>
  <si>
    <t>BENEFICIARIO EFECTIVO DE LOS PAGOS</t>
  </si>
  <si>
    <t>VÍNCULO ENTRE EL CONTRIBUYENTE Y EL RESIDENTE EN EL EXTRANJERO (Tabla 27)</t>
  </si>
  <si>
    <t>RENTA BRUTA</t>
  </si>
  <si>
    <t>DEDUCCIÓN / COSTO DE ENAJENACIÓN DE BIENES DE CAPITAL</t>
  </si>
  <si>
    <t>RENTA NETA</t>
  </si>
  <si>
    <t>TASA DE RETENCIÓN</t>
  </si>
  <si>
    <t>IMPUESTO RETENIDO</t>
  </si>
  <si>
    <t>CONVENIOS PARA EVITAR LA DOBLE IMPOSICIÓN (Tabla 25) *</t>
  </si>
  <si>
    <t>EXONERACIÓN APLICADA (Tabla 33)</t>
  </si>
  <si>
    <t>TIPO DE RENTA (Tabla 31) *</t>
  </si>
  <si>
    <t>MODALIDAD DEL SERVICIO PRESTADO POR EL NO DOMICILIADO (Tabla 32)</t>
  </si>
  <si>
    <t>APLICACIÓN DEL PENULTIMO PARRAFO DEL ART. 76° DE LA LEY DEL IMPUESTO A LA RENTA</t>
  </si>
  <si>
    <t>FECHA DE EMISIÓN *</t>
  </si>
  <si>
    <t>TIPO (Tabla 10) *</t>
  </si>
  <si>
    <t>SERIE</t>
  </si>
  <si>
    <t>NÚMERO *</t>
  </si>
  <si>
    <t>SERIE O COD DEP. ADUANAS (Tabla 11) *</t>
  </si>
  <si>
    <t>AÑO DE EMISIÓN DE LA DUA O DSI *</t>
  </si>
  <si>
    <t>NÚMERO DEL COMPROBANTE DE PAGO O DOCUMENTO O FORMULARIO, QUE SUSTENTE EL CRÉDITO FISCAL</t>
  </si>
  <si>
    <t>MONTO DE RETENCIÓN DEL IGV</t>
  </si>
  <si>
    <t>MONEDA DEL COMPROBANTE QUE SUSTENTA EL CRÉDITO FISCAL</t>
  </si>
  <si>
    <t>PAIS DE RESIDENCIA (Tabla 35) *</t>
  </si>
  <si>
    <t>APELLIDOS Y NOMBRES, DENOMINACIÓN O RAZÓN SOCIAL *</t>
  </si>
  <si>
    <t>DOMICILIO EN EL EXTRANJERO</t>
  </si>
  <si>
    <t>NÚMERO DE IDENTIFICACIÓN *</t>
  </si>
  <si>
    <t>NÚMERO DE IDENTIFICACIÓN FISCAL</t>
  </si>
  <si>
    <t>PAIS DE LA RESIDENCIA (Tabla 35)</t>
  </si>
  <si>
    <t>CÓDIGO  DE LA MONEDA (TABLA 4) *</t>
  </si>
  <si>
    <t>TIPO DE CAMBIO</t>
  </si>
  <si>
    <t>B0116001</t>
  </si>
  <si>
    <t>91</t>
  </si>
  <si>
    <t>AE8672</t>
  </si>
  <si>
    <t>46</t>
  </si>
  <si>
    <t>1662</t>
  </si>
  <si>
    <t>COTECNA</t>
  </si>
  <si>
    <t>ESTADOS UNIDOS</t>
  </si>
  <si>
    <t>CODICE S.A.C</t>
  </si>
  <si>
    <t>00</t>
  </si>
  <si>
    <t>19</t>
  </si>
  <si>
    <t>B0116002</t>
  </si>
  <si>
    <t>E98541</t>
  </si>
  <si>
    <t>INFO COMPANY INC</t>
  </si>
  <si>
    <t>K895371</t>
  </si>
  <si>
    <t>B0116003</t>
  </si>
  <si>
    <t>B0116004</t>
  </si>
  <si>
    <t>FORMATO 8.3 - REGISTRO DE COMPRAS - SIMPLIFICADO</t>
  </si>
  <si>
    <t>BASE IMPONIBLE DE LAS ADQUISICIONES GRAVADAS QUE DAN DERECHO A CRÉDITO FISCAL Y/O SALDO A FAVOR POR EXPORTACIÓN, DESTINADAS EXCLUSIVAMENTE A OPERACIONES GRAVADAS Y/O DE EXPORTACIÓN</t>
  </si>
  <si>
    <t>IMPORTE TOTAL DE LAS ADQUISICIONES REGISTRADAS SEGÚN COMPROBANTE DE PAGO. *</t>
  </si>
  <si>
    <t>CLASIFICACIÓN DE LOS BIENES Y SERVICIOS ADQUIRIDOS (TABLA 30) *</t>
  </si>
  <si>
    <t>VALOR FACTURADO DE LA EXPORTACIÓN</t>
  </si>
  <si>
    <t>BASE IMPONIBLE DE LA OPERACIÓN GRAVADA (4)</t>
  </si>
  <si>
    <t>DESCUENTO DE LA BASE IMPONIBLE</t>
  </si>
  <si>
    <t>IMPUESTO GENERAL A LAS VENTAS Y/O IMPUESTO DE PROMOCIÓN MUNICIPAL</t>
  </si>
  <si>
    <t>DESCUENTO DEL IMPUESTO GENERAL A LAS VENTAS Y/O IMPUESTO DE PROMOCIÓN MUNICIPAL</t>
  </si>
  <si>
    <t>IMPORTE TOTAL DE LA OPERACIÓN EXONERADA</t>
  </si>
  <si>
    <t xml:space="preserve">IMPORTE TOTAL DE LA OPERACIÓN INAFECTA </t>
  </si>
  <si>
    <t>IMPUESTO SELECTIVO AL CONSUMO, DE SER EL CASO.</t>
  </si>
  <si>
    <t>BASE IMPONIBLE DE LA OPERACIÓN GRAVADA CON EL IMPUESTO A LAS VENTAS DEL ARROZ PILADO</t>
  </si>
  <si>
    <t xml:space="preserve">IMPUESTO A LAS VENTAS DEL ARROZ PILADO </t>
  </si>
  <si>
    <t>OTROS CONCEPTOS, TRIBUTOS Y CARGOS QUE NO FORMAN PARTE DE LA BASE IMPONIBLE</t>
  </si>
  <si>
    <t>IMPORTE TOTAL DEL COMPROBANTE DE PAGO</t>
  </si>
  <si>
    <t>IDENTIFICACIÓN DEL CONTRATO O DEL PROYECTO EN EL CASO DE LOS OPERADORES DE LAS SOCIEDADES IRREGULARES, CONSORCIOS, JOINT VENTURES U OTRAS FORMAS DE CONTRATOS DE COLABORACIÓN EMPRESARIAL, QUE NO LLEVEN CONTABILIDAD INDEPENDIENTE.</t>
  </si>
  <si>
    <t>SERIE *</t>
  </si>
  <si>
    <t>FORMATO 14.2 - REGISTRO DE VENTAS E INGRESOS SIMPLIFICADO</t>
  </si>
  <si>
    <t xml:space="preserve">
OTROS TRIBUTOS Y CARGOS
↓
(CTA CONTABLE)</t>
  </si>
  <si>
    <t xml:space="preserve">
IMPORTE TOTAL DE LAS ADQUISICIONES
↓
(CTA CONTABLE)</t>
  </si>
  <si>
    <t xml:space="preserve">
IGV
↓
(CTA CONTABLE)</t>
  </si>
  <si>
    <t xml:space="preserve">
ISC
↓
(CTA CONTABLE)</t>
  </si>
  <si>
    <t>C</t>
  </si>
  <si>
    <t>A</t>
  </si>
  <si>
    <t>LIBRO CAJA
OPERACIÓN AL CONTADO
↓
(CTA CONTABLE)</t>
  </si>
  <si>
    <t>BASE IMPONIBLE /
VALOR DE LAS ADQ. NO GRAVADAS
↓
(CTA CONTABLE)</t>
  </si>
  <si>
    <t xml:space="preserve">
DESTINO DE
MERCADERIAS</t>
  </si>
  <si>
    <t>DEBE
↓
(CTA CONTABLE)</t>
  </si>
  <si>
    <t>HABLER
↓
(CTA CONTABLE)</t>
  </si>
  <si>
    <t>COD DE LA UNIDAD DE OPERACIÓN</t>
  </si>
  <si>
    <t>IDENTIDAD DEL EMISOR</t>
  </si>
  <si>
    <t xml:space="preserve"> COMPROBANTE DE PAGO O DOCUMENTO ASOCIADA A LA OPERACIÓN</t>
  </si>
  <si>
    <t>FECHA</t>
  </si>
  <si>
    <t>GLOSA O DESCRIPCIÓN DE LA NATURALEZA DE LA OPERACIÓN REGISTRADA, DE SER EL CASO.</t>
  </si>
  <si>
    <t>CUENTA CONTABLE</t>
  </si>
  <si>
    <t>MOVIMIENTOS DEL DEBE</t>
  </si>
  <si>
    <t>MOVIMIENTOS DEL HABER</t>
  </si>
  <si>
    <t>CÓDIGO DEL CENTRO DE COSTOS, CENTRO DE UTILIDADES O CENTRO DE INVERSIÓN, DE CORRESPONDER</t>
  </si>
  <si>
    <t>GLOSA REFERENCIAL</t>
  </si>
  <si>
    <t>DATO ESTRUCTURADO: CÓDIGO DEL LIBRO, CAMPO 1, CAMPO 2 Y CAMPO 3 DEL REGISTRO DE VENTAS E INGRESOS O DEL REGISTRO DE COMPRAS, SEPARADOS CON EL CARÁCTER "&amp;".</t>
  </si>
  <si>
    <t>NUMERO DE DOCUMENTO</t>
  </si>
  <si>
    <t>NUMERO</t>
  </si>
  <si>
    <t>DE OPERACIÓN O EMISIÓN</t>
  </si>
  <si>
    <t>CONTABLE</t>
  </si>
  <si>
    <t>DE VENCIMIENTO</t>
  </si>
  <si>
    <t>COD</t>
  </si>
  <si>
    <t>FORMATO 5.1 - LIBRO DIARIO</t>
  </si>
  <si>
    <t xml:space="preserve">
DESTINO DEL
GASTO</t>
  </si>
  <si>
    <t>GENERADOR DE ASIENTOS AUTOMATICOS</t>
  </si>
  <si>
    <t>MES:</t>
  </si>
  <si>
    <t>EXCEL NEGOCIOS SAC</t>
  </si>
  <si>
    <t>EJERCICIO:</t>
  </si>
  <si>
    <t>BASE IMPONIBLE
↓
(CTA CONTABLE)</t>
  </si>
  <si>
    <t>080300</t>
  </si>
  <si>
    <t>BASE IMPONIBLE
VALOR EXPORTACIÓN
EXONERA / INAFECTA
B. I. ARROZ PILADO
↓
(CTA CONTABLE)</t>
  </si>
  <si>
    <t xml:space="preserve">
IGV
↓
(CTA CONTABLE)</t>
  </si>
  <si>
    <t xml:space="preserve">
ISC
↓
(CTA CONTABLE)</t>
  </si>
  <si>
    <t xml:space="preserve">
IVAP
↓
(CTA CONTABLE)</t>
  </si>
  <si>
    <t xml:space="preserve">
OTROS TRIBUTOS Y CARGOS
↓
(CTA CONTABLE)</t>
  </si>
  <si>
    <t xml:space="preserve">
IMPORTE TOTAL DE LAS ADQUISICIONES
↓
(CTA CONTABLE)</t>
  </si>
  <si>
    <t>LIBRO CAJA
OPERACIÓN AL CONTADO
↓
(CTA CONTABLE)</t>
  </si>
  <si>
    <t>GENERACIÓN DE ASIENTOS CONTABLES</t>
  </si>
  <si>
    <t>IMPORTE TOTAL DE LAS ADQUISICIONES
↓
(CTA CONTABLE)</t>
  </si>
  <si>
    <t>BASE IMPONIBLE
↓
(CTA CONTABLE)</t>
  </si>
  <si>
    <t>IGV
↓
(CTA CONTABLE)</t>
  </si>
  <si>
    <t>OTROS TRIBUTOS Y CARGOS
↓
(CTA CONTABLE)</t>
  </si>
  <si>
    <t>FORMATO 14.1 - REGISTRO DE VENTAS E INGRESOS</t>
  </si>
  <si>
    <t>080100</t>
  </si>
  <si>
    <t>A0117-001</t>
  </si>
  <si>
    <t>12</t>
  </si>
  <si>
    <t>F512</t>
  </si>
  <si>
    <t>COESTI S.A.</t>
  </si>
  <si>
    <t>A0117-002</t>
  </si>
  <si>
    <t>07</t>
  </si>
  <si>
    <t>F020</t>
  </si>
  <si>
    <t>0057677</t>
  </si>
  <si>
    <t>GRIFO SAN JORGE SA</t>
  </si>
  <si>
    <t>F180</t>
  </si>
  <si>
    <t>0021144</t>
  </si>
  <si>
    <t>A0117-003</t>
  </si>
  <si>
    <t>F019</t>
  </si>
  <si>
    <t>0051223</t>
  </si>
  <si>
    <t>GASPETROL EL TRIUNFO EIRL.</t>
  </si>
  <si>
    <t>0022630</t>
  </si>
  <si>
    <t>A0117-004</t>
  </si>
  <si>
    <t>08</t>
  </si>
  <si>
    <t>0027783</t>
  </si>
  <si>
    <t>0004184</t>
  </si>
  <si>
    <t>A0117-005</t>
  </si>
  <si>
    <t>M005</t>
  </si>
  <si>
    <t>0057912</t>
  </si>
  <si>
    <t>0021450</t>
  </si>
  <si>
    <t>A0117-006</t>
  </si>
  <si>
    <t>M006</t>
  </si>
  <si>
    <t>F004</t>
  </si>
  <si>
    <t>0768053</t>
  </si>
  <si>
    <t>FULLCARGA SERVICIOS TRANSACCIONALES SAC</t>
  </si>
  <si>
    <t>A0117-007</t>
  </si>
  <si>
    <t>M007</t>
  </si>
  <si>
    <t>0766477</t>
  </si>
  <si>
    <t>A0117-008</t>
  </si>
  <si>
    <t>M008</t>
  </si>
  <si>
    <t>TFJ</t>
  </si>
  <si>
    <t>LIBRERÍA VICTORIA SRL</t>
  </si>
  <si>
    <t>A0117-009</t>
  </si>
  <si>
    <t>M009</t>
  </si>
  <si>
    <t>A0117-010</t>
  </si>
  <si>
    <t>M010</t>
  </si>
  <si>
    <t>0058104</t>
  </si>
  <si>
    <t>AMERICA MOVIL PERU SAC</t>
  </si>
  <si>
    <t>0007215</t>
  </si>
  <si>
    <t>A0117-011</t>
  </si>
  <si>
    <t>M011</t>
  </si>
  <si>
    <t>0052062</t>
  </si>
  <si>
    <t>DISTRIBUIDORA PM S.R.L.</t>
  </si>
  <si>
    <t>A0117-012</t>
  </si>
  <si>
    <t>M012</t>
  </si>
  <si>
    <t>0023413</t>
  </si>
  <si>
    <t>A0117-013</t>
  </si>
  <si>
    <t>M013</t>
  </si>
  <si>
    <t>0052357</t>
  </si>
  <si>
    <t>TIENDAS TIA SAC</t>
  </si>
  <si>
    <t>0022354</t>
  </si>
  <si>
    <t>A0117-014</t>
  </si>
  <si>
    <t>M014</t>
  </si>
  <si>
    <t>0051299</t>
  </si>
  <si>
    <t>0019691</t>
  </si>
  <si>
    <t>A0117-015</t>
  </si>
  <si>
    <t>M015</t>
  </si>
  <si>
    <t>0058554</t>
  </si>
  <si>
    <t>TRANSPORTES LINEA SA</t>
  </si>
  <si>
    <t>0022357</t>
  </si>
  <si>
    <t>A0117-016</t>
  </si>
  <si>
    <t>M016</t>
  </si>
  <si>
    <t>0023415</t>
  </si>
  <si>
    <t>DIVECENTER SAC.</t>
  </si>
  <si>
    <t>A0117-017</t>
  </si>
  <si>
    <t>M017</t>
  </si>
  <si>
    <t>0023414</t>
  </si>
  <si>
    <t>A0117-018</t>
  </si>
  <si>
    <t>M018</t>
  </si>
  <si>
    <t>0052538</t>
  </si>
  <si>
    <t>A0117-019</t>
  </si>
  <si>
    <t>M019</t>
  </si>
  <si>
    <t>0023545</t>
  </si>
  <si>
    <t>A0117-020</t>
  </si>
  <si>
    <t>M020</t>
  </si>
  <si>
    <t>0023564</t>
  </si>
  <si>
    <t>A0117-021</t>
  </si>
  <si>
    <t>M021</t>
  </si>
  <si>
    <t>0023563</t>
  </si>
  <si>
    <t>A0117-022</t>
  </si>
  <si>
    <t>M022</t>
  </si>
  <si>
    <t>0023502</t>
  </si>
  <si>
    <t>A0117-023</t>
  </si>
  <si>
    <t>M023</t>
  </si>
  <si>
    <t>F018</t>
  </si>
  <si>
    <t>0102495</t>
  </si>
  <si>
    <t>F133</t>
  </si>
  <si>
    <t>0322786</t>
  </si>
  <si>
    <t>NORVIAL SA.</t>
  </si>
  <si>
    <t>03</t>
  </si>
  <si>
    <t>0001</t>
  </si>
  <si>
    <t>024013</t>
  </si>
  <si>
    <t>CLIENTE</t>
  </si>
  <si>
    <t>024014</t>
  </si>
  <si>
    <t>024015</t>
  </si>
  <si>
    <t>024016</t>
  </si>
  <si>
    <t>024017</t>
  </si>
  <si>
    <t>024018</t>
  </si>
  <si>
    <t>0000001103</t>
  </si>
  <si>
    <t>CONCESIONARIA IIRSA NORTE SA.</t>
  </si>
  <si>
    <t>0000000101</t>
  </si>
  <si>
    <t>CONSECIONARIA VIAL DEL SOL SA.</t>
  </si>
  <si>
    <t>0000000102</t>
  </si>
  <si>
    <t>0000000201</t>
  </si>
  <si>
    <t>0000000002</t>
  </si>
  <si>
    <t>F001</t>
  </si>
  <si>
    <t>0000216</t>
  </si>
  <si>
    <t>FORMAVENA CONSTRUCTORES Y SERVICIOS GENERALES SAC.</t>
  </si>
  <si>
    <t>F010</t>
  </si>
  <si>
    <t>0042010</t>
  </si>
  <si>
    <t>0002235</t>
  </si>
  <si>
    <t>0042124</t>
  </si>
  <si>
    <t>0001955</t>
  </si>
  <si>
    <t>AGIP DIAZ VIDAURO</t>
  </si>
  <si>
    <t>0001956</t>
  </si>
  <si>
    <t>CARHUAS ZEVALLOS THALIA MADRID</t>
  </si>
  <si>
    <t>0001957</t>
  </si>
  <si>
    <t>RP INVERSIONES LA ESMERALDA S.A.C.</t>
  </si>
  <si>
    <t>0001958</t>
  </si>
  <si>
    <t>0001959</t>
  </si>
  <si>
    <t>MIRAVAL VELASQUEZ JULIO FRANKLIN</t>
  </si>
  <si>
    <t>0001960</t>
  </si>
  <si>
    <t>ANULADO</t>
  </si>
  <si>
    <t>0001961</t>
  </si>
  <si>
    <t>VILLAR VARGAS HILMAN LIBER</t>
  </si>
  <si>
    <t>0001962</t>
  </si>
  <si>
    <t>HUAMAN HUALLPA NICASIA SOLEDAD</t>
  </si>
  <si>
    <t>0001963</t>
  </si>
  <si>
    <t>OLIVERA ALEJANDRIA ANA MARIA</t>
  </si>
  <si>
    <t>0001964</t>
  </si>
  <si>
    <t>CAMPOS CASTAÑEDA DE REYES MARCELINA TEODORA</t>
  </si>
  <si>
    <t>0001965</t>
  </si>
  <si>
    <t>0001966</t>
  </si>
  <si>
    <t>CORPORACION GLOBAL GROUPS E.I.R.L.</t>
  </si>
  <si>
    <t>0001967</t>
  </si>
  <si>
    <t>PINO FERNANDEZ NICANOR E.</t>
  </si>
  <si>
    <t>0001968</t>
  </si>
  <si>
    <t>ECHEGARAY LOVERA KARINA GRABIELA</t>
  </si>
  <si>
    <t>0001969</t>
  </si>
  <si>
    <t>0001970</t>
  </si>
  <si>
    <t>HUAYLLA HUAMANI HAYDE</t>
  </si>
  <si>
    <t>0001971</t>
  </si>
  <si>
    <t>COMPAÑIA DISTRIBUIDORA DE TUBOS Y ACCESORIOS S.A.C.</t>
  </si>
  <si>
    <t>0001972</t>
  </si>
  <si>
    <t>DE LA CRUZ PALOMINO EMIGIA</t>
  </si>
  <si>
    <t>0001973</t>
  </si>
  <si>
    <t>0001974</t>
  </si>
  <si>
    <t>CAMPOS DAGA ROBERTO</t>
  </si>
  <si>
    <t>001</t>
  </si>
  <si>
    <t>8520</t>
  </si>
  <si>
    <t>20349065488</t>
  </si>
  <si>
    <t>EUROSHOP S.A.</t>
  </si>
  <si>
    <t>8521</t>
  </si>
  <si>
    <t>20168544252</t>
  </si>
  <si>
    <t>EUROMOTORS S.A.</t>
  </si>
  <si>
    <t>8522</t>
  </si>
  <si>
    <t>8523</t>
  </si>
  <si>
    <t>002</t>
  </si>
  <si>
    <t>4837</t>
  </si>
  <si>
    <t>20525162932</t>
  </si>
  <si>
    <t>VERSUS TRADING S.A.C.</t>
  </si>
  <si>
    <t>4838</t>
  </si>
  <si>
    <t>4839</t>
  </si>
  <si>
    <t>20100729998</t>
  </si>
  <si>
    <t>QUADRATRACK S.C.R.L.</t>
  </si>
  <si>
    <t>4840</t>
  </si>
  <si>
    <t>20550899575</t>
  </si>
  <si>
    <t>GASTEGRAF S.A.C.</t>
  </si>
  <si>
    <t>8524</t>
  </si>
  <si>
    <t>20524627117</t>
  </si>
  <si>
    <t>MISION TECNOLOGICA S.A.C.</t>
  </si>
  <si>
    <t>8525</t>
  </si>
  <si>
    <t>8526</t>
  </si>
  <si>
    <t>20296136728</t>
  </si>
  <si>
    <t>ALTOS ANDES S.A.C.</t>
  </si>
  <si>
    <t>4841</t>
  </si>
  <si>
    <t>20553064270</t>
  </si>
  <si>
    <t>INVERSIONES JAPESA S.A.C.</t>
  </si>
  <si>
    <t>4842</t>
  </si>
  <si>
    <t>20554466959</t>
  </si>
  <si>
    <t>DINAMIKA GROUP S.A.C.</t>
  </si>
  <si>
    <t>8527</t>
  </si>
  <si>
    <t>20377852029</t>
  </si>
  <si>
    <t>DU CONDOR S.A.</t>
  </si>
  <si>
    <t>8528</t>
  </si>
  <si>
    <t>8529</t>
  </si>
  <si>
    <t>4843</t>
  </si>
  <si>
    <t>20518585224</t>
  </si>
  <si>
    <t>TIENDAS EL CRISTAL S.A.C.</t>
  </si>
  <si>
    <t>8530</t>
  </si>
  <si>
    <t>20507488987</t>
  </si>
  <si>
    <t>MIDUCOM PERU S.A.</t>
  </si>
  <si>
    <t>4844</t>
  </si>
  <si>
    <t>20554175393</t>
  </si>
  <si>
    <t>OPEN GRAF S.A.C.</t>
  </si>
  <si>
    <t>4845</t>
  </si>
  <si>
    <t>20506006539</t>
  </si>
  <si>
    <t>DINDICATO CUERPO MEDICO GRAU</t>
  </si>
  <si>
    <t>000003-01</t>
  </si>
  <si>
    <t>000003-02</t>
  </si>
  <si>
    <t>000003-03</t>
  </si>
  <si>
    <t>000003-04</t>
  </si>
  <si>
    <t>000003-05</t>
  </si>
  <si>
    <t>000003-06</t>
  </si>
  <si>
    <t>000003-07</t>
  </si>
  <si>
    <t>000003-08</t>
  </si>
  <si>
    <t>000003-09</t>
  </si>
  <si>
    <t>000003-10</t>
  </si>
  <si>
    <t>000003-11</t>
  </si>
  <si>
    <t>000003-12</t>
  </si>
  <si>
    <t>000003-13</t>
  </si>
  <si>
    <t>000003-14</t>
  </si>
  <si>
    <t>000003-15</t>
  </si>
  <si>
    <t>000003-16</t>
  </si>
  <si>
    <t>000003-17</t>
  </si>
  <si>
    <t>000003-18</t>
  </si>
  <si>
    <t>000003-19</t>
  </si>
  <si>
    <t>V00003-01</t>
  </si>
  <si>
    <t>V00003-02</t>
  </si>
  <si>
    <t>V00003-03</t>
  </si>
  <si>
    <t>V00003-04</t>
  </si>
  <si>
    <t>V00003-05</t>
  </si>
  <si>
    <t>V00003-06</t>
  </si>
  <si>
    <t>V00003-07</t>
  </si>
  <si>
    <t>V00003-08</t>
  </si>
  <si>
    <t>V00003-09</t>
  </si>
  <si>
    <t>V00003-10</t>
  </si>
  <si>
    <t>V00003-11</t>
  </si>
  <si>
    <t>V00003-12</t>
  </si>
  <si>
    <t>V00003-13</t>
  </si>
  <si>
    <t>V00003-14</t>
  </si>
  <si>
    <t>V00003-15</t>
  </si>
  <si>
    <t>V00003-16</t>
  </si>
  <si>
    <t>V00003-17</t>
  </si>
  <si>
    <t>V00003-18</t>
  </si>
  <si>
    <t>RESTAURANTE DOÑA PETA</t>
  </si>
  <si>
    <t>C021700301</t>
  </si>
  <si>
    <t>C021700302</t>
  </si>
  <si>
    <t>C021700303</t>
  </si>
  <si>
    <t>C021700304</t>
  </si>
  <si>
    <t>C021700305</t>
  </si>
  <si>
    <t>C021700306</t>
  </si>
  <si>
    <t>C021700307</t>
  </si>
  <si>
    <t>C021700308</t>
  </si>
  <si>
    <t>C021700309</t>
  </si>
  <si>
    <t>C021700310</t>
  </si>
  <si>
    <t>C021700311</t>
  </si>
  <si>
    <t>C021700312</t>
  </si>
  <si>
    <t>C021700313</t>
  </si>
  <si>
    <t>C021700314</t>
  </si>
  <si>
    <t>C021700315</t>
  </si>
  <si>
    <t>C021700316</t>
  </si>
  <si>
    <t>C021700317</t>
  </si>
  <si>
    <t>C021700318</t>
  </si>
  <si>
    <t>C021700319</t>
  </si>
  <si>
    <t>C021700320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</si>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</sst>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mm/yyyy"/>
    <numFmt numFmtId="167" formatCode="dd/mm/yyyy;@"/>
  </numFmts>
  <fonts count="27"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u/>
      <sz val="20"/>
      <color rgb="FF0070C0"/>
      <name val="Calibri"/>
      <family val="2"/>
    </font>
    <font>
      <b/>
      <sz val="11"/>
      <color rgb="FF002060"/>
      <name val="Arial"/>
      <family val="2"/>
    </font>
    <font>
      <b/>
      <u/>
      <sz val="11"/>
      <color rgb="FF1108C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8"/>
      <color theme="0"/>
      <name val="Consolas"/>
      <family val="3"/>
    </font>
    <font>
      <sz val="10"/>
      <name val="Arial"/>
      <family val="2"/>
    </font>
    <font>
      <b/>
      <sz val="9"/>
      <color theme="0"/>
      <name val="Consolas"/>
      <family val="3"/>
    </font>
    <font>
      <b/>
      <sz val="14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20"/>
      <color theme="0"/>
      <name val="Adobe Garamond Pro Bold"/>
      <family val="1"/>
    </font>
    <font>
      <b/>
      <sz val="20"/>
      <color rgb="FF002060"/>
      <name val="Adobe Garamond Pro Bold"/>
      <family val="1"/>
    </font>
    <font>
      <b/>
      <sz val="11"/>
      <color theme="0"/>
      <name val="Consolas"/>
      <family val="3"/>
    </font>
    <font>
      <b/>
      <sz val="18"/>
      <color rgb="FF00206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2"/>
      <color theme="0"/>
      <name val="Adobe Garamond Pro Bold"/>
      <family val="1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92">
    <border>
      <left/>
      <right/>
      <top/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auto="1"/>
      </left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rgb="FF002060"/>
      </bottom>
      <diagonal/>
    </border>
    <border>
      <left style="thin">
        <color theme="0"/>
      </left>
      <right style="thin">
        <color theme="4" tint="0.39994506668294322"/>
      </right>
      <top style="thin">
        <color theme="4" tint="0.39994506668294322"/>
      </top>
      <bottom style="thin">
        <color rgb="FF002060"/>
      </bottom>
      <diagonal/>
    </border>
    <border>
      <left style="thin">
        <color theme="0"/>
      </left>
      <right style="thin">
        <color theme="0"/>
      </right>
      <top style="thin">
        <color theme="4" tint="0.39994506668294322"/>
      </top>
      <bottom style="thin">
        <color rgb="FF002060"/>
      </bottom>
      <diagonal/>
    </border>
    <border>
      <left style="thin">
        <color rgb="FF002060"/>
      </left>
      <right style="thin">
        <color theme="0"/>
      </right>
      <top style="thin">
        <color theme="4" tint="0.39994506668294322"/>
      </top>
      <bottom style="thin">
        <color rgb="FF002060"/>
      </bottom>
      <diagonal/>
    </border>
    <border>
      <left/>
      <right style="thin">
        <color rgb="FF002060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0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0"/>
      </left>
      <right style="thin">
        <color theme="0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002060"/>
      </left>
      <right style="thin">
        <color theme="0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medium">
        <color rgb="FF002060"/>
      </top>
      <bottom style="thin">
        <color theme="4" tint="0.39994506668294322"/>
      </bottom>
      <diagonal/>
    </border>
    <border>
      <left style="thin">
        <color theme="0"/>
      </left>
      <right style="thin">
        <color theme="4" tint="0.39994506668294322"/>
      </right>
      <top style="medium">
        <color rgb="FF002060"/>
      </top>
      <bottom style="thin">
        <color theme="4" tint="0.39994506668294322"/>
      </bottom>
      <diagonal/>
    </border>
    <border>
      <left style="thin">
        <color theme="0"/>
      </left>
      <right style="thin">
        <color theme="0"/>
      </right>
      <top style="medium">
        <color rgb="FF002060"/>
      </top>
      <bottom style="thin">
        <color theme="4" tint="0.39994506668294322"/>
      </bottom>
      <diagonal/>
    </border>
    <border>
      <left style="thin">
        <color rgb="FF002060"/>
      </left>
      <right style="thin">
        <color theme="0"/>
      </right>
      <top style="medium">
        <color rgb="FF002060"/>
      </top>
      <bottom style="thin">
        <color theme="4" tint="0.39994506668294322"/>
      </bottom>
      <diagonal/>
    </border>
    <border>
      <left style="thin">
        <color theme="0"/>
      </left>
      <right style="thin">
        <color theme="0"/>
      </right>
      <top style="thin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theme="0"/>
      </right>
      <top style="thin">
        <color rgb="FF002060"/>
      </top>
      <bottom style="medium">
        <color rgb="FF002060"/>
      </bottom>
      <diagonal/>
    </border>
    <border>
      <left/>
      <right/>
      <top/>
      <bottom style="dotted">
        <color rgb="FF002060"/>
      </bottom>
      <diagonal/>
    </border>
    <border>
      <left/>
      <right/>
      <top style="dotted">
        <color rgb="FF002060"/>
      </top>
      <bottom style="dotted">
        <color rgb="FF002060"/>
      </bottom>
      <diagonal/>
    </border>
    <border>
      <left style="thin">
        <color theme="4" tint="0.39994506668294322"/>
      </left>
      <right/>
      <top style="medium">
        <color rgb="FF002060"/>
      </top>
      <bottom style="thin">
        <color theme="4" tint="0.39991454817346722"/>
      </bottom>
      <diagonal/>
    </border>
    <border>
      <left/>
      <right/>
      <top style="medium">
        <color rgb="FF002060"/>
      </top>
      <bottom style="thin">
        <color theme="4" tint="0.39991454817346722"/>
      </bottom>
      <diagonal/>
    </border>
    <border>
      <left/>
      <right style="thin">
        <color theme="4" tint="0.39994506668294322"/>
      </right>
      <top style="medium">
        <color rgb="FF002060"/>
      </top>
      <bottom style="thin">
        <color theme="4" tint="0.39991454817346722"/>
      </bottom>
      <diagonal/>
    </border>
    <border>
      <left style="thin">
        <color theme="4" tint="0.39994506668294322"/>
      </left>
      <right/>
      <top style="medium">
        <color rgb="FF002060"/>
      </top>
      <bottom style="thin">
        <color theme="4" tint="0.39994506668294322"/>
      </bottom>
      <diagonal/>
    </border>
    <border>
      <left/>
      <right/>
      <top style="medium">
        <color rgb="FF002060"/>
      </top>
      <bottom style="thin">
        <color theme="4" tint="0.39994506668294322"/>
      </bottom>
      <diagonal/>
    </border>
    <border>
      <left/>
      <right style="thin">
        <color theme="4" tint="0.39991454817346722"/>
      </right>
      <top style="medium">
        <color rgb="FF002060"/>
      </top>
      <bottom style="thin">
        <color theme="4" tint="0.39994506668294322"/>
      </bottom>
      <diagonal/>
    </border>
    <border>
      <left/>
      <right style="thin">
        <color theme="4" tint="0.79995117038483843"/>
      </right>
      <top style="medium">
        <color rgb="FF002060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medium">
        <color rgb="FF002060"/>
      </top>
      <bottom/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1454817346722"/>
      </top>
      <bottom/>
      <diagonal/>
    </border>
    <border>
      <left style="thin">
        <color theme="4" tint="0.39994506668294322"/>
      </left>
      <right/>
      <top style="thin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14548173467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rgb="FF00206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1108C0"/>
      </left>
      <right style="thin">
        <color auto="1"/>
      </right>
      <top style="medium">
        <color rgb="FF1108C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1108C0"/>
      </top>
      <bottom style="thin">
        <color auto="1"/>
      </bottom>
      <diagonal/>
    </border>
    <border>
      <left style="thin">
        <color auto="1"/>
      </left>
      <right style="medium">
        <color rgb="FF1108C0"/>
      </right>
      <top style="medium">
        <color rgb="FF1108C0"/>
      </top>
      <bottom style="thin">
        <color auto="1"/>
      </bottom>
      <diagonal/>
    </border>
    <border>
      <left style="medium">
        <color rgb="FF1108C0"/>
      </left>
      <right style="medium">
        <color auto="1"/>
      </right>
      <top style="thin">
        <color rgb="FF002060"/>
      </top>
      <bottom style="medium">
        <color rgb="FF1108C0"/>
      </bottom>
      <diagonal/>
    </border>
    <border>
      <left style="thin">
        <color theme="0"/>
      </left>
      <right style="thin">
        <color theme="0"/>
      </right>
      <top style="thin">
        <color rgb="FF002060"/>
      </top>
      <bottom style="medium">
        <color rgb="FF1108C0"/>
      </bottom>
      <diagonal/>
    </border>
    <border diagonalUp="1" diagonalDown="1">
      <left style="thin">
        <color theme="0"/>
      </left>
      <right style="thin">
        <color theme="0"/>
      </right>
      <top style="thin">
        <color rgb="FF002060"/>
      </top>
      <bottom style="medium">
        <color rgb="FF1108C0"/>
      </bottom>
      <diagonal style="thin">
        <color rgb="FF002060"/>
      </diagonal>
    </border>
    <border>
      <left style="thin">
        <color theme="0"/>
      </left>
      <right style="medium">
        <color rgb="FF1108C0"/>
      </right>
      <top style="thin">
        <color rgb="FF002060"/>
      </top>
      <bottom style="medium">
        <color rgb="FF1108C0"/>
      </bottom>
      <diagonal/>
    </border>
    <border>
      <left style="medium">
        <color rgb="FF1108C0"/>
      </left>
      <right style="medium">
        <color auto="1"/>
      </right>
      <top/>
      <bottom style="thin">
        <color rgb="FF002060"/>
      </bottom>
      <diagonal/>
    </border>
    <border>
      <left style="thin">
        <color theme="0"/>
      </left>
      <right style="thin">
        <color theme="0"/>
      </right>
      <top/>
      <bottom style="thin">
        <color rgb="FF002060"/>
      </bottom>
      <diagonal/>
    </border>
    <border diagonalUp="1" diagonalDown="1">
      <left style="thin">
        <color theme="0"/>
      </left>
      <right style="thin">
        <color theme="0"/>
      </right>
      <top/>
      <bottom style="thin">
        <color rgb="FF002060"/>
      </bottom>
      <diagonal style="thin">
        <color rgb="FF002060"/>
      </diagonal>
    </border>
    <border>
      <left style="thin">
        <color theme="0"/>
      </left>
      <right style="medium">
        <color rgb="FF1108C0"/>
      </right>
      <top/>
      <bottom style="thin">
        <color rgb="FF002060"/>
      </bottom>
      <diagonal/>
    </border>
    <border>
      <left style="medium">
        <color rgb="FF1108C0"/>
      </left>
      <right style="thin">
        <color auto="1"/>
      </right>
      <top style="thin">
        <color auto="1"/>
      </top>
      <bottom style="medium">
        <color rgb="FF1108C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1108C0"/>
      </bottom>
      <diagonal/>
    </border>
    <border>
      <left style="thin">
        <color auto="1"/>
      </left>
      <right style="medium">
        <color rgb="FF1108C0"/>
      </right>
      <top style="thin">
        <color auto="1"/>
      </top>
      <bottom style="medium">
        <color rgb="FF1108C0"/>
      </bottom>
      <diagonal/>
    </border>
    <border>
      <left style="thin">
        <color theme="0"/>
      </left>
      <right style="medium">
        <color rgb="FF1108C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1108C0"/>
      </bottom>
      <diagonal/>
    </border>
    <border>
      <left style="thin">
        <color theme="0"/>
      </left>
      <right style="medium">
        <color rgb="FF1108C0"/>
      </right>
      <top style="thin">
        <color theme="0"/>
      </top>
      <bottom style="medium">
        <color rgb="FF1108C0"/>
      </bottom>
      <diagonal/>
    </border>
    <border>
      <left style="medium">
        <color rgb="FF1108C0"/>
      </left>
      <right style="thin">
        <color theme="0"/>
      </right>
      <top style="medium">
        <color rgb="FF1108C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1108C0"/>
      </top>
      <bottom style="thin">
        <color theme="0"/>
      </bottom>
      <diagonal/>
    </border>
    <border>
      <left style="thin">
        <color theme="0"/>
      </left>
      <right style="medium">
        <color rgb="FF1108C0"/>
      </right>
      <top style="medium">
        <color rgb="FF1108C0"/>
      </top>
      <bottom style="thin">
        <color theme="0"/>
      </bottom>
      <diagonal/>
    </border>
    <border>
      <left style="medium">
        <color rgb="FF1108C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1108C0"/>
      </left>
      <right style="thin">
        <color theme="0"/>
      </right>
      <top style="thin">
        <color theme="0"/>
      </top>
      <bottom style="medium">
        <color rgb="FF1108C0"/>
      </bottom>
      <diagonal/>
    </border>
    <border>
      <left style="medium">
        <color rgb="FF1108C0"/>
      </left>
      <right/>
      <top style="medium">
        <color rgb="FF1108C0"/>
      </top>
      <bottom/>
      <diagonal/>
    </border>
    <border>
      <left/>
      <right/>
      <top style="medium">
        <color rgb="FF1108C0"/>
      </top>
      <bottom/>
      <diagonal/>
    </border>
    <border>
      <left/>
      <right style="medium">
        <color rgb="FF1108C0"/>
      </right>
      <top style="medium">
        <color rgb="FF1108C0"/>
      </top>
      <bottom/>
      <diagonal/>
    </border>
    <border>
      <left style="medium">
        <color rgb="FF1108C0"/>
      </left>
      <right/>
      <top/>
      <bottom style="medium">
        <color rgb="FF1108C0"/>
      </bottom>
      <diagonal/>
    </border>
    <border>
      <left/>
      <right/>
      <top/>
      <bottom style="medium">
        <color rgb="FF1108C0"/>
      </bottom>
      <diagonal/>
    </border>
    <border>
      <left/>
      <right style="medium">
        <color rgb="FF1108C0"/>
      </right>
      <top/>
      <bottom style="medium">
        <color rgb="FF1108C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 diagonalUp="1" diagonalDown="1">
      <left style="thin">
        <color theme="0"/>
      </left>
      <right style="thin">
        <color theme="0"/>
      </right>
      <top style="medium">
        <color rgb="FF1108C0"/>
      </top>
      <bottom style="thin">
        <color theme="0"/>
      </bottom>
      <diagonal style="thin">
        <color auto="1"/>
      </diagonal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 diagonalUp="1" diagonalDown="1"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 style="thin">
        <color auto="1"/>
      </diagonal>
    </border>
    <border diagonalUp="1" diagonalDown="1">
      <left style="thin">
        <color theme="0"/>
      </left>
      <right style="thin">
        <color theme="0"/>
      </right>
      <top style="thin">
        <color theme="0"/>
      </top>
      <bottom style="medium">
        <color rgb="FF1108C0"/>
      </bottom>
      <diagonal style="thin">
        <color auto="1"/>
      </diagonal>
    </border>
    <border>
      <left style="medium">
        <color rgb="FF1108C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rgb="FF1108C0"/>
      </right>
      <top/>
      <bottom style="thin">
        <color theme="0"/>
      </bottom>
      <diagonal/>
    </border>
    <border>
      <left style="medium">
        <color rgb="FF1108C0"/>
      </left>
      <right style="medium">
        <color rgb="FF1108C0"/>
      </right>
      <top style="medium">
        <color rgb="FF1108C0"/>
      </top>
      <bottom style="thin">
        <color theme="0"/>
      </bottom>
      <diagonal/>
    </border>
    <border>
      <left style="medium">
        <color rgb="FF1108C0"/>
      </left>
      <right style="medium">
        <color rgb="FF1108C0"/>
      </right>
      <top style="thin">
        <color theme="0"/>
      </top>
      <bottom style="medium">
        <color rgb="FF1108C0"/>
      </bottom>
      <diagonal/>
    </border>
    <border>
      <left style="medium">
        <color rgb="FF1108C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rgb="FF1108C0"/>
      </right>
      <top style="thin">
        <color theme="0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164" fontId="26" fillId="0" borderId="0" applyFont="0" applyFill="0" applyBorder="0" applyAlignment="0" applyProtection="0"/>
  </cellStyleXfs>
  <cellXfs count="25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NumberFormat="1" applyFill="1"/>
    <xf numFmtId="0" fontId="5" fillId="0" borderId="0" xfId="0" applyNumberFormat="1" applyFont="1" applyFill="1"/>
    <xf numFmtId="0" fontId="0" fillId="0" borderId="0" xfId="0" applyFill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right" vertical="center"/>
    </xf>
    <xf numFmtId="2" fontId="0" fillId="0" borderId="0" xfId="0" applyNumberFormat="1" applyFill="1" applyAlignment="1">
      <alignment horizontal="right" vertical="center"/>
    </xf>
    <xf numFmtId="0" fontId="0" fillId="0" borderId="0" xfId="0" applyFill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1" fontId="6" fillId="2" borderId="0" xfId="0" applyNumberFormat="1" applyFont="1" applyFill="1"/>
    <xf numFmtId="165" fontId="0" fillId="0" borderId="0" xfId="0" applyNumberFormat="1" applyFill="1" applyAlignment="1">
      <alignment horizontal="right" vertical="center"/>
    </xf>
    <xf numFmtId="0" fontId="0" fillId="0" borderId="0" xfId="0" applyFill="1"/>
    <xf numFmtId="0" fontId="7" fillId="3" borderId="10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horizontal="center"/>
    </xf>
    <xf numFmtId="0" fontId="5" fillId="5" borderId="24" xfId="0" applyFont="1" applyFill="1" applyBorder="1" applyAlignment="1">
      <alignment horizontal="center"/>
    </xf>
    <xf numFmtId="14" fontId="0" fillId="0" borderId="0" xfId="0" applyNumberFormat="1" applyFill="1"/>
    <xf numFmtId="0" fontId="11" fillId="0" borderId="0" xfId="0" applyFont="1" applyFill="1"/>
    <xf numFmtId="0" fontId="12" fillId="0" borderId="0" xfId="0" applyFont="1" applyFill="1"/>
    <xf numFmtId="0" fontId="13" fillId="0" borderId="0" xfId="0" applyFont="1" applyFill="1" applyAlignment="1"/>
    <xf numFmtId="0" fontId="13" fillId="0" borderId="0" xfId="0" applyFont="1" applyFill="1" applyBorder="1" applyAlignment="1">
      <alignment horizontal="center"/>
    </xf>
    <xf numFmtId="0" fontId="11" fillId="0" borderId="0" xfId="0" applyFont="1" applyFill="1" applyBorder="1"/>
    <xf numFmtId="14" fontId="13" fillId="0" borderId="0" xfId="0" applyNumberFormat="1" applyFont="1" applyFill="1" applyBorder="1" applyAlignment="1" applyProtection="1">
      <alignment horizontal="center"/>
      <protection hidden="1"/>
    </xf>
    <xf numFmtId="0" fontId="14" fillId="0" borderId="0" xfId="0" applyFont="1" applyFill="1" applyAlignment="1">
      <alignment horizontal="center" vertical="top"/>
    </xf>
    <xf numFmtId="0" fontId="15" fillId="0" borderId="0" xfId="0" applyFont="1" applyFill="1" applyAlignment="1">
      <alignment horizontal="center" vertical="top"/>
    </xf>
    <xf numFmtId="0" fontId="0" fillId="3" borderId="0" xfId="0" applyFill="1"/>
    <xf numFmtId="0" fontId="5" fillId="3" borderId="0" xfId="0" applyFont="1" applyFill="1"/>
    <xf numFmtId="0" fontId="0" fillId="0" borderId="0" xfId="0" quotePrefix="1" applyFon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9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13" fillId="0" borderId="0" xfId="0" applyFont="1" applyFill="1" applyBorder="1" applyAlignment="1"/>
    <xf numFmtId="0" fontId="22" fillId="6" borderId="50" xfId="0" applyFont="1" applyFill="1" applyBorder="1" applyAlignment="1">
      <alignment horizontal="center"/>
    </xf>
    <xf numFmtId="0" fontId="22" fillId="6" borderId="50" xfId="0" applyFont="1" applyFill="1" applyBorder="1" applyAlignment="1">
      <alignment horizontal="center" vertical="center"/>
    </xf>
    <xf numFmtId="0" fontId="0" fillId="6" borderId="0" xfId="0" applyFill="1"/>
    <xf numFmtId="0" fontId="11" fillId="0" borderId="0" xfId="0" applyFont="1" applyFill="1" applyBorder="1" applyAlignment="1">
      <alignment horizontal="left"/>
    </xf>
    <xf numFmtId="0" fontId="23" fillId="0" borderId="0" xfId="0" applyNumberFormat="1" applyFont="1" applyFill="1"/>
    <xf numFmtId="0" fontId="24" fillId="0" borderId="0" xfId="0" applyFont="1" applyAlignment="1" applyProtection="1">
      <alignment horizontal="center"/>
      <protection locked="0"/>
    </xf>
    <xf numFmtId="0" fontId="0" fillId="0" borderId="0" xfId="0" quotePrefix="1" applyFill="1"/>
    <xf numFmtId="0" fontId="5" fillId="0" borderId="0" xfId="0" applyFont="1" applyFill="1"/>
    <xf numFmtId="0" fontId="5" fillId="0" borderId="0" xfId="0" applyFont="1" applyFill="1" applyAlignment="1">
      <alignment horizontal="center" vertical="center"/>
    </xf>
    <xf numFmtId="0" fontId="5" fillId="0" borderId="0" xfId="0" quotePrefix="1" applyFont="1" applyFill="1"/>
    <xf numFmtId="0" fontId="7" fillId="3" borderId="68" xfId="2" applyNumberFormat="1" applyFont="1" applyFill="1" applyBorder="1" applyAlignment="1">
      <alignment horizontal="center" vertical="center" wrapText="1"/>
    </xf>
    <xf numFmtId="0" fontId="7" fillId="3" borderId="68" xfId="0" applyFont="1" applyFill="1" applyBorder="1" applyAlignment="1">
      <alignment horizontal="center" vertical="center" wrapText="1"/>
    </xf>
    <xf numFmtId="0" fontId="9" fillId="3" borderId="68" xfId="0" applyFont="1" applyFill="1" applyBorder="1" applyAlignment="1">
      <alignment horizontal="center" vertical="center" wrapText="1"/>
    </xf>
    <xf numFmtId="0" fontId="7" fillId="3" borderId="68" xfId="0" applyFont="1" applyFill="1" applyBorder="1" applyAlignment="1">
      <alignment horizontal="center" vertical="center"/>
    </xf>
    <xf numFmtId="0" fontId="5" fillId="5" borderId="71" xfId="0" applyFont="1" applyFill="1" applyBorder="1" applyAlignment="1">
      <alignment horizontal="center"/>
    </xf>
    <xf numFmtId="0" fontId="5" fillId="5" borderId="72" xfId="0" applyFont="1" applyFill="1" applyBorder="1" applyAlignment="1">
      <alignment horizontal="center"/>
    </xf>
    <xf numFmtId="0" fontId="5" fillId="8" borderId="82" xfId="0" applyFont="1" applyFill="1" applyBorder="1" applyAlignment="1">
      <alignment horizontal="center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NumberFormat="1" applyFont="1" applyFill="1"/>
    <xf numFmtId="0" fontId="0" fillId="0" borderId="0" xfId="0" quotePrefix="1" applyFont="1" applyAlignment="1" applyProtection="1">
      <alignment horizontal="center"/>
      <protection locked="0"/>
    </xf>
    <xf numFmtId="0" fontId="0" fillId="0" borderId="0" xfId="0" applyNumberFormat="1" applyFont="1" applyFill="1" applyAlignment="1" applyProtection="1">
      <alignment horizontal="center"/>
      <protection locked="0"/>
    </xf>
    <xf numFmtId="0" fontId="12" fillId="0" borderId="0" xfId="0" applyFont="1" applyFill="1" applyAlignment="1"/>
    <xf numFmtId="49" fontId="7" fillId="3" borderId="68" xfId="2" applyNumberFormat="1" applyFont="1" applyFill="1" applyBorder="1" applyAlignment="1">
      <alignment horizontal="center" vertical="center" wrapText="1"/>
    </xf>
    <xf numFmtId="0" fontId="7" fillId="3" borderId="68" xfId="0" applyFont="1" applyFill="1" applyBorder="1" applyAlignment="1">
      <alignment horizontal="center" vertical="center" wrapText="1"/>
    </xf>
    <xf numFmtId="0" fontId="7" fillId="3" borderId="68" xfId="2" applyNumberFormat="1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NumberFormat="1" applyFont="1" applyFill="1" applyAlignment="1">
      <alignment horizontal="center" vertical="center"/>
    </xf>
    <xf numFmtId="0" fontId="7" fillId="3" borderId="42" xfId="0" quotePrefix="1" applyFont="1" applyFill="1" applyBorder="1" applyAlignment="1">
      <alignment horizontal="center" vertical="center" wrapText="1"/>
    </xf>
    <xf numFmtId="49" fontId="0" fillId="0" borderId="0" xfId="0" applyNumberFormat="1" applyFont="1" applyAlignment="1" applyProtection="1">
      <alignment horizontal="center"/>
      <protection locked="0"/>
    </xf>
    <xf numFmtId="167" fontId="0" fillId="0" borderId="0" xfId="0" applyNumberFormat="1" applyFont="1" applyAlignment="1" applyProtection="1">
      <alignment horizontal="center"/>
      <protection locked="0"/>
    </xf>
    <xf numFmtId="49" fontId="0" fillId="0" borderId="0" xfId="0" quotePrefix="1" applyNumberFormat="1" applyFont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0" xfId="0" applyFont="1" applyAlignment="1" applyProtection="1">
      <alignment horizontal="right"/>
      <protection locked="0"/>
    </xf>
    <xf numFmtId="164" fontId="0" fillId="0" borderId="0" xfId="3" applyFont="1" applyAlignment="1" applyProtection="1">
      <protection locked="0"/>
    </xf>
    <xf numFmtId="0" fontId="0" fillId="0" borderId="0" xfId="0" applyNumberFormat="1" applyFont="1" applyProtection="1">
      <protection locked="0"/>
    </xf>
    <xf numFmtId="49" fontId="0" fillId="0" borderId="0" xfId="0" applyNumberFormat="1" applyFont="1" applyProtection="1">
      <protection locked="0"/>
    </xf>
    <xf numFmtId="167" fontId="0" fillId="0" borderId="0" xfId="0" applyNumberFormat="1" applyFont="1" applyProtection="1">
      <protection locked="0"/>
    </xf>
    <xf numFmtId="164" fontId="0" fillId="0" borderId="0" xfId="3" applyFont="1" applyFill="1" applyAlignment="1">
      <alignment horizontal="right" vertical="center"/>
    </xf>
    <xf numFmtId="164" fontId="0" fillId="0" borderId="0" xfId="3" applyFont="1" applyFill="1"/>
    <xf numFmtId="165" fontId="0" fillId="0" borderId="0" xfId="0" applyNumberFormat="1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11" fillId="10" borderId="0" xfId="0" applyFont="1" applyFill="1"/>
    <xf numFmtId="0" fontId="15" fillId="10" borderId="0" xfId="0" applyFont="1" applyFill="1" applyAlignment="1">
      <alignment horizontal="center" vertical="top"/>
    </xf>
    <xf numFmtId="0" fontId="14" fillId="10" borderId="0" xfId="0" applyFont="1" applyFill="1" applyAlignment="1">
      <alignment horizontal="center" vertical="top"/>
    </xf>
    <xf numFmtId="0" fontId="0" fillId="10" borderId="0" xfId="0" applyFill="1"/>
    <xf numFmtId="0" fontId="11" fillId="10" borderId="0" xfId="0" applyFont="1" applyFill="1" applyBorder="1" applyAlignment="1">
      <alignment horizontal="left"/>
    </xf>
    <xf numFmtId="0" fontId="13" fillId="10" borderId="0" xfId="0" applyFont="1" applyFill="1" applyBorder="1" applyAlignment="1"/>
    <xf numFmtId="0" fontId="13" fillId="10" borderId="0" xfId="0" applyFont="1" applyFill="1" applyAlignment="1"/>
    <xf numFmtId="0" fontId="12" fillId="10" borderId="0" xfId="0" applyFont="1" applyFill="1" applyAlignment="1"/>
    <xf numFmtId="0" fontId="13" fillId="10" borderId="0" xfId="0" applyFont="1" applyFill="1" applyBorder="1" applyAlignment="1">
      <alignment horizontal="center"/>
    </xf>
    <xf numFmtId="164" fontId="0" fillId="0" borderId="0" xfId="0" applyNumberFormat="1"/>
    <xf numFmtId="164" fontId="0" fillId="0" borderId="0" xfId="0" applyNumberFormat="1" applyFill="1" applyAlignment="1">
      <alignment horizontal="right" vertical="center"/>
    </xf>
    <xf numFmtId="164" fontId="19" fillId="9" borderId="0" xfId="0" applyNumberFormat="1" applyFont="1" applyFill="1" applyAlignment="1">
      <alignment horizontal="center" vertical="center"/>
    </xf>
    <xf numFmtId="0" fontId="23" fillId="0" borderId="0" xfId="0" applyFont="1" applyFill="1" applyAlignment="1" applyProtection="1">
      <alignment horizontal="center"/>
      <protection locked="0"/>
    </xf>
    <xf numFmtId="0" fontId="23" fillId="0" borderId="0" xfId="0" applyNumberFormat="1" applyFont="1" applyFill="1" applyAlignment="1" applyProtection="1">
      <alignment horizontal="center"/>
      <protection locked="0"/>
    </xf>
    <xf numFmtId="0" fontId="23" fillId="0" borderId="0" xfId="0" applyFont="1" applyFill="1"/>
    <xf numFmtId="0" fontId="23" fillId="11" borderId="0" xfId="0" applyFont="1" applyFill="1" applyAlignment="1" applyProtection="1">
      <alignment horizontal="center"/>
      <protection locked="0"/>
    </xf>
    <xf numFmtId="0" fontId="23" fillId="11" borderId="0" xfId="0" applyNumberFormat="1" applyFont="1" applyFill="1"/>
    <xf numFmtId="0" fontId="23" fillId="11" borderId="0" xfId="0" applyNumberFormat="1" applyFont="1" applyFill="1" applyAlignment="1" applyProtection="1">
      <alignment horizontal="center"/>
      <protection locked="0"/>
    </xf>
    <xf numFmtId="0" fontId="0" fillId="11" borderId="0" xfId="0" applyFont="1" applyFill="1" applyAlignment="1" applyProtection="1">
      <alignment horizontal="center"/>
      <protection locked="0"/>
    </xf>
    <xf numFmtId="0" fontId="0" fillId="11" borderId="0" xfId="0" applyNumberFormat="1" applyFont="1" applyFill="1"/>
    <xf numFmtId="0" fontId="0" fillId="11" borderId="0" xfId="0" applyNumberFormat="1" applyFont="1" applyFill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 vertical="top"/>
    </xf>
    <xf numFmtId="0" fontId="3" fillId="0" borderId="9" xfId="0" applyFont="1" applyFill="1" applyBorder="1" applyAlignment="1">
      <alignment horizontal="left" vertical="center" indent="3"/>
    </xf>
    <xf numFmtId="0" fontId="3" fillId="0" borderId="0" xfId="0" applyFont="1" applyFill="1" applyBorder="1" applyAlignment="1">
      <alignment horizontal="left" vertical="center" indent="3"/>
    </xf>
    <xf numFmtId="0" fontId="4" fillId="0" borderId="0" xfId="1" applyFont="1" applyFill="1" applyBorder="1" applyAlignment="1" applyProtection="1">
      <alignment horizontal="center" vertical="center"/>
    </xf>
    <xf numFmtId="0" fontId="4" fillId="0" borderId="5" xfId="1" applyFont="1" applyFill="1" applyBorder="1" applyAlignment="1" applyProtection="1">
      <alignment horizontal="center" vertical="center"/>
    </xf>
    <xf numFmtId="0" fontId="20" fillId="3" borderId="9" xfId="0" applyFont="1" applyFill="1" applyBorder="1" applyAlignment="1">
      <alignment horizontal="center"/>
    </xf>
    <xf numFmtId="0" fontId="20" fillId="3" borderId="0" xfId="0" applyFont="1" applyFill="1" applyBorder="1" applyAlignment="1">
      <alignment horizontal="center"/>
    </xf>
    <xf numFmtId="0" fontId="20" fillId="3" borderId="46" xfId="0" applyFont="1" applyFill="1" applyBorder="1" applyAlignment="1">
      <alignment horizontal="center"/>
    </xf>
    <xf numFmtId="0" fontId="21" fillId="6" borderId="51" xfId="0" applyFont="1" applyFill="1" applyBorder="1" applyAlignment="1">
      <alignment horizontal="center"/>
    </xf>
    <xf numFmtId="0" fontId="21" fillId="6" borderId="52" xfId="0" applyFont="1" applyFill="1" applyBorder="1" applyAlignment="1">
      <alignment horizontal="center"/>
    </xf>
    <xf numFmtId="0" fontId="21" fillId="6" borderId="50" xfId="0" applyFont="1" applyFill="1" applyBorder="1" applyAlignment="1">
      <alignment horizontal="left" indent="1"/>
    </xf>
    <xf numFmtId="0" fontId="25" fillId="3" borderId="75" xfId="0" applyFont="1" applyFill="1" applyBorder="1" applyAlignment="1">
      <alignment horizontal="left" vertical="center" indent="4"/>
    </xf>
    <xf numFmtId="0" fontId="25" fillId="3" borderId="76" xfId="0" applyFont="1" applyFill="1" applyBorder="1" applyAlignment="1">
      <alignment horizontal="left" vertical="center" indent="4"/>
    </xf>
    <xf numFmtId="0" fontId="25" fillId="3" borderId="77" xfId="0" applyFont="1" applyFill="1" applyBorder="1" applyAlignment="1">
      <alignment horizontal="left" vertical="center" indent="4"/>
    </xf>
    <xf numFmtId="0" fontId="25" fillId="3" borderId="78" xfId="0" applyFont="1" applyFill="1" applyBorder="1" applyAlignment="1">
      <alignment horizontal="left" vertical="center" indent="4"/>
    </xf>
    <xf numFmtId="0" fontId="25" fillId="3" borderId="79" xfId="0" applyFont="1" applyFill="1" applyBorder="1" applyAlignment="1">
      <alignment horizontal="left" vertical="center" indent="4"/>
    </xf>
    <xf numFmtId="0" fontId="25" fillId="3" borderId="80" xfId="0" applyFont="1" applyFill="1" applyBorder="1" applyAlignment="1">
      <alignment horizontal="left" vertical="center" indent="4"/>
    </xf>
    <xf numFmtId="0" fontId="13" fillId="0" borderId="26" xfId="0" applyFont="1" applyFill="1" applyBorder="1" applyAlignment="1">
      <alignment horizontal="left"/>
    </xf>
    <xf numFmtId="49" fontId="7" fillId="3" borderId="71" xfId="2" applyNumberFormat="1" applyFont="1" applyFill="1" applyBorder="1" applyAlignment="1">
      <alignment horizontal="center" vertical="center" wrapText="1"/>
    </xf>
    <xf numFmtId="0" fontId="17" fillId="6" borderId="70" xfId="0" applyFont="1" applyFill="1" applyBorder="1" applyAlignment="1">
      <alignment horizontal="center" vertical="center" wrapText="1"/>
    </xf>
    <xf numFmtId="0" fontId="17" fillId="6" borderId="71" xfId="0" applyFont="1" applyFill="1" applyBorder="1" applyAlignment="1">
      <alignment horizontal="center" vertical="center" wrapText="1"/>
    </xf>
    <xf numFmtId="0" fontId="17" fillId="6" borderId="72" xfId="0" applyFont="1" applyFill="1" applyBorder="1" applyAlignment="1">
      <alignment horizontal="center" vertical="center" wrapText="1"/>
    </xf>
    <xf numFmtId="0" fontId="17" fillId="6" borderId="90" xfId="0" applyFont="1" applyFill="1" applyBorder="1" applyAlignment="1">
      <alignment horizontal="center" vertical="center" wrapText="1"/>
    </xf>
    <xf numFmtId="0" fontId="17" fillId="6" borderId="81" xfId="0" applyFont="1" applyFill="1" applyBorder="1" applyAlignment="1">
      <alignment horizontal="center" vertical="center" wrapText="1"/>
    </xf>
    <xf numFmtId="0" fontId="17" fillId="6" borderId="91" xfId="0" applyFont="1" applyFill="1" applyBorder="1" applyAlignment="1">
      <alignment horizontal="center" vertical="center" wrapText="1"/>
    </xf>
    <xf numFmtId="49" fontId="7" fillId="3" borderId="68" xfId="2" applyNumberFormat="1" applyFont="1" applyFill="1" applyBorder="1" applyAlignment="1">
      <alignment horizontal="center" vertical="center" wrapText="1"/>
    </xf>
    <xf numFmtId="49" fontId="7" fillId="7" borderId="71" xfId="2" applyNumberFormat="1" applyFont="1" applyFill="1" applyBorder="1" applyAlignment="1">
      <alignment horizontal="center" vertical="center" wrapText="1"/>
    </xf>
    <xf numFmtId="49" fontId="7" fillId="7" borderId="68" xfId="2" applyNumberFormat="1" applyFont="1" applyFill="1" applyBorder="1" applyAlignment="1">
      <alignment horizontal="center" vertical="center" wrapText="1"/>
    </xf>
    <xf numFmtId="49" fontId="7" fillId="3" borderId="70" xfId="2" applyNumberFormat="1" applyFont="1" applyFill="1" applyBorder="1" applyAlignment="1">
      <alignment horizontal="center" vertical="center" wrapText="1"/>
    </xf>
    <xf numFmtId="49" fontId="7" fillId="3" borderId="74" xfId="2" applyNumberFormat="1" applyFont="1" applyFill="1" applyBorder="1" applyAlignment="1">
      <alignment horizontal="center" vertical="center" wrapText="1"/>
    </xf>
    <xf numFmtId="49" fontId="7" fillId="7" borderId="72" xfId="2" applyNumberFormat="1" applyFont="1" applyFill="1" applyBorder="1" applyAlignment="1">
      <alignment horizontal="center" vertical="center" wrapText="1"/>
    </xf>
    <xf numFmtId="49" fontId="7" fillId="7" borderId="69" xfId="2" applyNumberFormat="1" applyFont="1" applyFill="1" applyBorder="1" applyAlignment="1">
      <alignment horizontal="center" vertical="center" wrapText="1"/>
    </xf>
    <xf numFmtId="0" fontId="7" fillId="3" borderId="42" xfId="0" applyFont="1" applyFill="1" applyBorder="1" applyAlignment="1">
      <alignment horizontal="center" vertical="center" wrapText="1"/>
    </xf>
    <xf numFmtId="0" fontId="7" fillId="3" borderId="68" xfId="0" applyFont="1" applyFill="1" applyBorder="1" applyAlignment="1">
      <alignment horizontal="center" vertical="center" wrapText="1"/>
    </xf>
    <xf numFmtId="0" fontId="7" fillId="3" borderId="67" xfId="0" applyFont="1" applyFill="1" applyBorder="1" applyAlignment="1">
      <alignment horizontal="center" vertical="center" wrapText="1"/>
    </xf>
    <xf numFmtId="0" fontId="7" fillId="3" borderId="69" xfId="0" applyFont="1" applyFill="1" applyBorder="1" applyAlignment="1">
      <alignment horizontal="center" vertical="center" wrapText="1"/>
    </xf>
    <xf numFmtId="0" fontId="12" fillId="0" borderId="0" xfId="0" applyFont="1" applyFill="1" applyAlignment="1"/>
    <xf numFmtId="14" fontId="13" fillId="0" borderId="25" xfId="0" applyNumberFormat="1" applyFont="1" applyFill="1" applyBorder="1" applyAlignment="1" applyProtection="1">
      <alignment horizontal="left"/>
      <protection hidden="1"/>
    </xf>
    <xf numFmtId="0" fontId="13" fillId="0" borderId="25" xfId="0" applyFont="1" applyFill="1" applyBorder="1" applyAlignment="1" applyProtection="1">
      <alignment horizontal="left"/>
      <protection hidden="1"/>
    </xf>
    <xf numFmtId="0" fontId="7" fillId="3" borderId="42" xfId="2" applyNumberFormat="1" applyFont="1" applyFill="1" applyBorder="1" applyAlignment="1">
      <alignment horizontal="center" vertical="center" wrapText="1"/>
    </xf>
    <xf numFmtId="0" fontId="7" fillId="3" borderId="68" xfId="2" applyNumberFormat="1" applyFont="1" applyFill="1" applyBorder="1" applyAlignment="1">
      <alignment horizontal="center" vertical="center" wrapText="1"/>
    </xf>
    <xf numFmtId="0" fontId="10" fillId="5" borderId="70" xfId="0" applyFont="1" applyFill="1" applyBorder="1" applyAlignment="1">
      <alignment horizontal="center" vertical="center" textRotation="90"/>
    </xf>
    <xf numFmtId="0" fontId="10" fillId="5" borderId="73" xfId="0" applyFont="1" applyFill="1" applyBorder="1" applyAlignment="1">
      <alignment horizontal="center" vertical="center" textRotation="90"/>
    </xf>
    <xf numFmtId="0" fontId="10" fillId="5" borderId="74" xfId="0" applyFont="1" applyFill="1" applyBorder="1" applyAlignment="1">
      <alignment horizontal="center" vertical="center" textRotation="90"/>
    </xf>
    <xf numFmtId="49" fontId="7" fillId="3" borderId="42" xfId="2" applyNumberFormat="1" applyFont="1" applyFill="1" applyBorder="1" applyAlignment="1">
      <alignment horizontal="center" vertical="center" wrapText="1"/>
    </xf>
    <xf numFmtId="166" fontId="7" fillId="4" borderId="42" xfId="2" applyNumberFormat="1" applyFont="1" applyFill="1" applyBorder="1" applyAlignment="1">
      <alignment horizontal="center" vertical="center" wrapText="1"/>
    </xf>
    <xf numFmtId="166" fontId="7" fillId="4" borderId="68" xfId="2" applyNumberFormat="1" applyFont="1" applyFill="1" applyBorder="1" applyAlignment="1">
      <alignment horizontal="center" vertical="center" wrapText="1"/>
    </xf>
    <xf numFmtId="0" fontId="7" fillId="3" borderId="42" xfId="0" applyFont="1" applyFill="1" applyBorder="1" applyAlignment="1">
      <alignment horizontal="center" vertical="center"/>
    </xf>
    <xf numFmtId="0" fontId="7" fillId="3" borderId="42" xfId="0" applyNumberFormat="1" applyFont="1" applyFill="1" applyBorder="1" applyAlignment="1">
      <alignment horizontal="center" vertical="center"/>
    </xf>
    <xf numFmtId="0" fontId="7" fillId="3" borderId="42" xfId="0" quotePrefix="1" applyFont="1" applyFill="1" applyBorder="1" applyAlignment="1">
      <alignment horizontal="center" vertical="center"/>
    </xf>
    <xf numFmtId="14" fontId="7" fillId="3" borderId="42" xfId="2" applyNumberFormat="1" applyFont="1" applyFill="1" applyBorder="1" applyAlignment="1">
      <alignment horizontal="center" vertical="center" wrapText="1"/>
    </xf>
    <xf numFmtId="14" fontId="7" fillId="3" borderId="68" xfId="2" applyNumberFormat="1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14" fontId="7" fillId="3" borderId="15" xfId="2" applyNumberFormat="1" applyFont="1" applyFill="1" applyBorder="1" applyAlignment="1">
      <alignment horizontal="center" vertical="center" wrapText="1"/>
    </xf>
    <xf numFmtId="14" fontId="7" fillId="3" borderId="10" xfId="2" applyNumberFormat="1" applyFont="1" applyFill="1" applyBorder="1" applyAlignment="1">
      <alignment horizontal="center" vertical="center" wrapText="1"/>
    </xf>
    <xf numFmtId="0" fontId="7" fillId="3" borderId="15" xfId="2" applyNumberFormat="1" applyFont="1" applyFill="1" applyBorder="1" applyAlignment="1">
      <alignment horizontal="center" vertical="center" wrapText="1"/>
    </xf>
    <xf numFmtId="0" fontId="7" fillId="3" borderId="10" xfId="2" applyNumberFormat="1" applyFont="1" applyFill="1" applyBorder="1" applyAlignment="1">
      <alignment horizontal="center" vertical="center" wrapText="1"/>
    </xf>
    <xf numFmtId="14" fontId="7" fillId="3" borderId="35" xfId="2" applyNumberFormat="1" applyFont="1" applyFill="1" applyBorder="1" applyAlignment="1">
      <alignment horizontal="center" vertical="center" wrapText="1"/>
    </xf>
    <xf numFmtId="0" fontId="7" fillId="3" borderId="39" xfId="0" applyFont="1" applyFill="1" applyBorder="1" applyAlignment="1">
      <alignment horizontal="center" vertical="center" wrapText="1"/>
    </xf>
    <xf numFmtId="0" fontId="7" fillId="3" borderId="41" xfId="0" applyFont="1" applyFill="1" applyBorder="1" applyAlignment="1">
      <alignment horizontal="center" vertical="center" wrapText="1"/>
    </xf>
    <xf numFmtId="0" fontId="7" fillId="3" borderId="37" xfId="0" applyFont="1" applyFill="1" applyBorder="1" applyAlignment="1">
      <alignment horizontal="center" vertical="center" wrapText="1"/>
    </xf>
    <xf numFmtId="0" fontId="7" fillId="3" borderId="38" xfId="0" applyFont="1" applyFill="1" applyBorder="1" applyAlignment="1">
      <alignment horizontal="center" vertical="center" wrapText="1"/>
    </xf>
    <xf numFmtId="0" fontId="7" fillId="3" borderId="35" xfId="2" applyNumberFormat="1" applyFont="1" applyFill="1" applyBorder="1" applyAlignment="1">
      <alignment horizontal="center" vertical="center" wrapText="1"/>
    </xf>
    <xf numFmtId="0" fontId="7" fillId="3" borderId="36" xfId="0" applyFont="1" applyFill="1" applyBorder="1" applyAlignment="1">
      <alignment horizontal="center" vertical="center" wrapText="1"/>
    </xf>
    <xf numFmtId="0" fontId="7" fillId="3" borderId="34" xfId="0" applyFont="1" applyFill="1" applyBorder="1" applyAlignment="1">
      <alignment horizontal="center" vertical="center" wrapText="1"/>
    </xf>
    <xf numFmtId="0" fontId="7" fillId="3" borderId="40" xfId="0" applyFont="1" applyFill="1" applyBorder="1" applyAlignment="1">
      <alignment horizontal="center" vertical="center" wrapText="1"/>
    </xf>
    <xf numFmtId="0" fontId="10" fillId="5" borderId="14" xfId="0" applyFont="1" applyFill="1" applyBorder="1" applyAlignment="1">
      <alignment horizontal="center" vertical="center" textRotation="90"/>
    </xf>
    <xf numFmtId="166" fontId="7" fillId="4" borderId="22" xfId="2" applyNumberFormat="1" applyFont="1" applyFill="1" applyBorder="1" applyAlignment="1">
      <alignment horizontal="center" vertical="center" wrapText="1"/>
    </xf>
    <xf numFmtId="166" fontId="7" fillId="4" borderId="18" xfId="2" applyNumberFormat="1" applyFont="1" applyFill="1" applyBorder="1" applyAlignment="1">
      <alignment horizontal="center" vertical="center" wrapText="1"/>
    </xf>
    <xf numFmtId="166" fontId="7" fillId="4" borderId="13" xfId="2" applyNumberFormat="1" applyFont="1" applyFill="1" applyBorder="1" applyAlignment="1">
      <alignment horizontal="center" vertical="center" wrapText="1"/>
    </xf>
    <xf numFmtId="166" fontId="7" fillId="4" borderId="21" xfId="2" applyNumberFormat="1" applyFont="1" applyFill="1" applyBorder="1" applyAlignment="1">
      <alignment horizontal="center" vertical="center" wrapText="1"/>
    </xf>
    <xf numFmtId="166" fontId="7" fillId="4" borderId="17" xfId="2" applyNumberFormat="1" applyFont="1" applyFill="1" applyBorder="1" applyAlignment="1">
      <alignment horizontal="center" vertical="center" wrapText="1"/>
    </xf>
    <xf numFmtId="166" fontId="7" fillId="4" borderId="12" xfId="2" applyNumberFormat="1" applyFont="1" applyFill="1" applyBorder="1" applyAlignment="1">
      <alignment horizontal="center" vertical="center" wrapText="1"/>
    </xf>
    <xf numFmtId="166" fontId="7" fillId="4" borderId="20" xfId="2" applyNumberFormat="1" applyFont="1" applyFill="1" applyBorder="1" applyAlignment="1">
      <alignment horizontal="center" vertical="center" wrapText="1"/>
    </xf>
    <xf numFmtId="166" fontId="7" fillId="4" borderId="16" xfId="2" applyNumberFormat="1" applyFont="1" applyFill="1" applyBorder="1" applyAlignment="1">
      <alignment horizontal="center" vertical="center" wrapText="1"/>
    </xf>
    <xf numFmtId="166" fontId="7" fillId="4" borderId="11" xfId="2" applyNumberFormat="1" applyFont="1" applyFill="1" applyBorder="1" applyAlignment="1">
      <alignment horizontal="center" vertical="center" wrapText="1"/>
    </xf>
    <xf numFmtId="0" fontId="7" fillId="3" borderId="19" xfId="0" quotePrefix="1" applyFont="1" applyFill="1" applyBorder="1" applyAlignment="1">
      <alignment horizontal="center" vertical="center" wrapText="1"/>
    </xf>
    <xf numFmtId="0" fontId="14" fillId="3" borderId="0" xfId="0" applyFont="1" applyFill="1" applyAlignment="1">
      <alignment horizontal="left" vertical="top"/>
    </xf>
    <xf numFmtId="14" fontId="13" fillId="0" borderId="25" xfId="0" applyNumberFormat="1" applyFont="1" applyFill="1" applyBorder="1" applyAlignment="1" applyProtection="1">
      <alignment horizontal="center"/>
      <protection hidden="1"/>
    </xf>
    <xf numFmtId="0" fontId="13" fillId="0" borderId="25" xfId="0" applyFont="1" applyFill="1" applyBorder="1" applyAlignment="1" applyProtection="1">
      <alignment horizontal="center"/>
      <protection hidden="1"/>
    </xf>
    <xf numFmtId="0" fontId="13" fillId="0" borderId="26" xfId="0" applyFont="1" applyFill="1" applyBorder="1" applyAlignment="1">
      <alignment horizontal="center"/>
    </xf>
    <xf numFmtId="0" fontId="13" fillId="0" borderId="25" xfId="0" applyFont="1" applyFill="1" applyBorder="1" applyAlignment="1">
      <alignment horizontal="center"/>
    </xf>
    <xf numFmtId="0" fontId="16" fillId="3" borderId="27" xfId="0" applyFont="1" applyFill="1" applyBorder="1" applyAlignment="1">
      <alignment horizontal="center" vertical="center" wrapText="1"/>
    </xf>
    <xf numFmtId="0" fontId="16" fillId="3" borderId="28" xfId="0" applyFont="1" applyFill="1" applyBorder="1" applyAlignment="1">
      <alignment horizontal="center" vertical="center" wrapText="1"/>
    </xf>
    <xf numFmtId="0" fontId="16" fillId="3" borderId="29" xfId="0" applyFont="1" applyFill="1" applyBorder="1" applyAlignment="1">
      <alignment horizontal="center" vertical="center" wrapText="1"/>
    </xf>
    <xf numFmtId="0" fontId="16" fillId="3" borderId="30" xfId="0" applyFont="1" applyFill="1" applyBorder="1" applyAlignment="1">
      <alignment horizontal="center" vertical="center" wrapText="1"/>
    </xf>
    <xf numFmtId="0" fontId="16" fillId="3" borderId="31" xfId="0" applyFont="1" applyFill="1" applyBorder="1" applyAlignment="1">
      <alignment horizontal="center" vertical="center" wrapText="1"/>
    </xf>
    <xf numFmtId="0" fontId="16" fillId="3" borderId="32" xfId="0" applyFont="1" applyFill="1" applyBorder="1" applyAlignment="1">
      <alignment horizontal="center" vertical="center" wrapText="1"/>
    </xf>
    <xf numFmtId="0" fontId="16" fillId="3" borderId="33" xfId="0" applyFont="1" applyFill="1" applyBorder="1" applyAlignment="1">
      <alignment horizontal="center" vertical="center" wrapText="1"/>
    </xf>
    <xf numFmtId="0" fontId="7" fillId="8" borderId="84" xfId="2" applyNumberFormat="1" applyFont="1" applyFill="1" applyBorder="1" applyAlignment="1">
      <alignment horizontal="center" vertical="center" wrapText="1"/>
    </xf>
    <xf numFmtId="0" fontId="7" fillId="8" borderId="85" xfId="2" applyNumberFormat="1" applyFont="1" applyFill="1" applyBorder="1" applyAlignment="1">
      <alignment horizontal="center" vertical="center" wrapText="1"/>
    </xf>
    <xf numFmtId="0" fontId="17" fillId="6" borderId="74" xfId="0" applyFont="1" applyFill="1" applyBorder="1" applyAlignment="1">
      <alignment horizontal="center" vertical="center" wrapText="1"/>
    </xf>
    <xf numFmtId="0" fontId="17" fillId="6" borderId="68" xfId="0" applyFont="1" applyFill="1" applyBorder="1" applyAlignment="1">
      <alignment horizontal="center" vertical="center" wrapText="1"/>
    </xf>
    <xf numFmtId="0" fontId="17" fillId="6" borderId="69" xfId="0" applyFont="1" applyFill="1" applyBorder="1" applyAlignment="1">
      <alignment horizontal="center" vertical="center" wrapText="1"/>
    </xf>
    <xf numFmtId="49" fontId="7" fillId="3" borderId="86" xfId="2" applyNumberFormat="1" applyFont="1" applyFill="1" applyBorder="1" applyAlignment="1">
      <alignment horizontal="center" vertical="center" wrapText="1"/>
    </xf>
    <xf numFmtId="49" fontId="7" fillId="3" borderId="83" xfId="2" applyNumberFormat="1" applyFont="1" applyFill="1" applyBorder="1" applyAlignment="1">
      <alignment horizontal="center" vertical="center" wrapText="1"/>
    </xf>
    <xf numFmtId="49" fontId="7" fillId="7" borderId="86" xfId="2" applyNumberFormat="1" applyFont="1" applyFill="1" applyBorder="1" applyAlignment="1">
      <alignment horizontal="center" vertical="center" wrapText="1"/>
    </xf>
    <xf numFmtId="49" fontId="7" fillId="7" borderId="74" xfId="2" applyNumberFormat="1" applyFont="1" applyFill="1" applyBorder="1" applyAlignment="1">
      <alignment horizontal="center" vertical="center" wrapText="1"/>
    </xf>
    <xf numFmtId="49" fontId="7" fillId="7" borderId="88" xfId="2" applyNumberFormat="1" applyFont="1" applyFill="1" applyBorder="1" applyAlignment="1">
      <alignment horizontal="center" vertical="center" wrapText="1"/>
    </xf>
    <xf numFmtId="49" fontId="7" fillId="7" borderId="89" xfId="2" applyNumberFormat="1" applyFont="1" applyFill="1" applyBorder="1" applyAlignment="1">
      <alignment horizontal="center" vertical="center" wrapText="1"/>
    </xf>
    <xf numFmtId="49" fontId="7" fillId="7" borderId="87" xfId="2" applyNumberFormat="1" applyFont="1" applyFill="1" applyBorder="1" applyAlignment="1">
      <alignment horizontal="center" vertical="center" wrapText="1"/>
    </xf>
    <xf numFmtId="0" fontId="17" fillId="6" borderId="53" xfId="0" applyFont="1" applyFill="1" applyBorder="1" applyAlignment="1">
      <alignment horizontal="center" vertical="center" wrapText="1"/>
    </xf>
    <xf numFmtId="0" fontId="17" fillId="6" borderId="54" xfId="0" applyFont="1" applyFill="1" applyBorder="1" applyAlignment="1">
      <alignment horizontal="center" vertical="center" wrapText="1"/>
    </xf>
    <xf numFmtId="0" fontId="17" fillId="6" borderId="55" xfId="0" applyFont="1" applyFill="1" applyBorder="1" applyAlignment="1">
      <alignment horizontal="center" vertical="center" wrapText="1"/>
    </xf>
    <xf numFmtId="0" fontId="17" fillId="6" borderId="64" xfId="0" applyFont="1" applyFill="1" applyBorder="1" applyAlignment="1">
      <alignment horizontal="center" vertical="center" wrapText="1"/>
    </xf>
    <xf numFmtId="0" fontId="17" fillId="6" borderId="65" xfId="0" applyFont="1" applyFill="1" applyBorder="1" applyAlignment="1">
      <alignment horizontal="center" vertical="center" wrapText="1"/>
    </xf>
    <xf numFmtId="0" fontId="17" fillId="6" borderId="66" xfId="0" applyFont="1" applyFill="1" applyBorder="1" applyAlignment="1">
      <alignment horizontal="center" vertical="center" wrapText="1"/>
    </xf>
    <xf numFmtId="164" fontId="7" fillId="3" borderId="68" xfId="0" applyNumberFormat="1" applyFont="1" applyFill="1" applyBorder="1" applyAlignment="1">
      <alignment horizontal="center" vertical="center" wrapText="1"/>
    </xf>
    <xf numFmtId="49" fontId="7" fillId="8" borderId="82" xfId="2" applyNumberFormat="1" applyFont="1" applyFill="1" applyBorder="1" applyAlignment="1">
      <alignment horizontal="center" vertical="center" wrapText="1"/>
    </xf>
    <xf numFmtId="49" fontId="7" fillId="8" borderId="84" xfId="2" applyNumberFormat="1" applyFont="1" applyFill="1" applyBorder="1" applyAlignment="1">
      <alignment horizontal="center" vertical="center" wrapText="1"/>
    </xf>
    <xf numFmtId="49" fontId="7" fillId="8" borderId="85" xfId="2" applyNumberFormat="1" applyFont="1" applyFill="1" applyBorder="1" applyAlignment="1">
      <alignment horizontal="center" vertical="center" wrapText="1"/>
    </xf>
    <xf numFmtId="164" fontId="7" fillId="8" borderId="85" xfId="2" applyNumberFormat="1" applyFont="1" applyFill="1" applyBorder="1" applyAlignment="1">
      <alignment horizontal="center" vertical="center" wrapText="1"/>
    </xf>
    <xf numFmtId="0" fontId="17" fillId="6" borderId="53" xfId="0" applyFont="1" applyFill="1" applyBorder="1" applyAlignment="1">
      <alignment horizontal="left" vertical="center" wrapText="1" indent="8"/>
    </xf>
    <xf numFmtId="0" fontId="17" fillId="6" borderId="54" xfId="0" applyFont="1" applyFill="1" applyBorder="1" applyAlignment="1">
      <alignment horizontal="left" vertical="center" wrapText="1" indent="8"/>
    </xf>
    <xf numFmtId="0" fontId="17" fillId="6" borderId="55" xfId="0" applyFont="1" applyFill="1" applyBorder="1" applyAlignment="1">
      <alignment horizontal="left" vertical="center" wrapText="1" indent="8"/>
    </xf>
    <xf numFmtId="0" fontId="17" fillId="6" borderId="64" xfId="0" applyFont="1" applyFill="1" applyBorder="1" applyAlignment="1">
      <alignment horizontal="left" vertical="center" wrapText="1" indent="8"/>
    </xf>
    <xf numFmtId="0" fontId="17" fillId="6" borderId="65" xfId="0" applyFont="1" applyFill="1" applyBorder="1" applyAlignment="1">
      <alignment horizontal="left" vertical="center" wrapText="1" indent="8"/>
    </xf>
    <xf numFmtId="0" fontId="17" fillId="6" borderId="66" xfId="0" applyFont="1" applyFill="1" applyBorder="1" applyAlignment="1">
      <alignment horizontal="left" vertical="center" wrapText="1" indent="8"/>
    </xf>
    <xf numFmtId="49" fontId="7" fillId="7" borderId="60" xfId="2" applyNumberFormat="1" applyFont="1" applyFill="1" applyBorder="1" applyAlignment="1">
      <alignment horizontal="center" vertical="center" wrapText="1"/>
    </xf>
    <xf numFmtId="49" fontId="7" fillId="7" borderId="56" xfId="2" applyNumberFormat="1" applyFont="1" applyFill="1" applyBorder="1" applyAlignment="1">
      <alignment horizontal="center" vertical="center" wrapText="1"/>
    </xf>
    <xf numFmtId="49" fontId="7" fillId="3" borderId="61" xfId="2" applyNumberFormat="1" applyFont="1" applyFill="1" applyBorder="1" applyAlignment="1">
      <alignment horizontal="center" vertical="center" wrapText="1"/>
    </xf>
    <xf numFmtId="49" fontId="7" fillId="3" borderId="57" xfId="2" applyNumberFormat="1" applyFont="1" applyFill="1" applyBorder="1" applyAlignment="1">
      <alignment horizontal="center" vertical="center" wrapText="1"/>
    </xf>
    <xf numFmtId="49" fontId="7" fillId="8" borderId="62" xfId="2" applyNumberFormat="1" applyFont="1" applyFill="1" applyBorder="1" applyAlignment="1">
      <alignment horizontal="center" vertical="center" wrapText="1"/>
    </xf>
    <xf numFmtId="49" fontId="7" fillId="8" borderId="58" xfId="2" applyNumberFormat="1" applyFont="1" applyFill="1" applyBorder="1" applyAlignment="1">
      <alignment horizontal="center" vertical="center" wrapText="1"/>
    </xf>
    <xf numFmtId="49" fontId="7" fillId="7" borderId="63" xfId="2" applyNumberFormat="1" applyFont="1" applyFill="1" applyBorder="1" applyAlignment="1">
      <alignment horizontal="center" vertical="center" wrapText="1"/>
    </xf>
    <xf numFmtId="49" fontId="7" fillId="7" borderId="59" xfId="2" applyNumberFormat="1" applyFont="1" applyFill="1" applyBorder="1" applyAlignment="1">
      <alignment horizontal="center" vertical="center" wrapText="1"/>
    </xf>
    <xf numFmtId="0" fontId="13" fillId="10" borderId="26" xfId="0" applyFont="1" applyFill="1" applyBorder="1" applyAlignment="1">
      <alignment horizontal="left"/>
    </xf>
    <xf numFmtId="0" fontId="12" fillId="10" borderId="0" xfId="0" applyFont="1" applyFill="1" applyAlignment="1"/>
    <xf numFmtId="14" fontId="13" fillId="10" borderId="25" xfId="0" applyNumberFormat="1" applyFont="1" applyFill="1" applyBorder="1" applyAlignment="1" applyProtection="1">
      <alignment horizontal="left"/>
      <protection hidden="1"/>
    </xf>
    <xf numFmtId="0" fontId="13" fillId="10" borderId="25" xfId="0" applyFont="1" applyFill="1" applyBorder="1" applyAlignment="1" applyProtection="1">
      <alignment horizontal="left"/>
      <protection hidden="1"/>
    </xf>
    <xf numFmtId="0" fontId="7" fillId="3" borderId="42" xfId="0" quotePrefix="1" applyFont="1" applyFill="1" applyBorder="1" applyAlignment="1">
      <alignment horizontal="center" vertical="center" wrapText="1"/>
    </xf>
    <xf numFmtId="0" fontId="7" fillId="3" borderId="68" xfId="0" quotePrefix="1" applyFont="1" applyFill="1" applyBorder="1" applyAlignment="1">
      <alignment horizontal="center" vertical="center" wrapText="1"/>
    </xf>
    <xf numFmtId="0" fontId="13" fillId="0" borderId="25" xfId="0" applyFont="1" applyFill="1" applyBorder="1" applyAlignment="1">
      <alignment horizontal="left"/>
    </xf>
    <xf numFmtId="0" fontId="7" fillId="3" borderId="67" xfId="0" quotePrefix="1" applyFont="1" applyFill="1" applyBorder="1" applyAlignment="1">
      <alignment horizontal="center" vertical="center" wrapText="1"/>
    </xf>
    <xf numFmtId="0" fontId="7" fillId="3" borderId="69" xfId="0" quotePrefix="1" applyFont="1" applyFill="1" applyBorder="1" applyAlignment="1">
      <alignment horizontal="center" vertical="center" wrapText="1"/>
    </xf>
    <xf numFmtId="0" fontId="7" fillId="4" borderId="42" xfId="0" quotePrefix="1" applyFont="1" applyFill="1" applyBorder="1" applyAlignment="1">
      <alignment horizontal="center" vertical="center" wrapText="1"/>
    </xf>
    <xf numFmtId="0" fontId="7" fillId="4" borderId="68" xfId="0" quotePrefix="1" applyFont="1" applyFill="1" applyBorder="1" applyAlignment="1">
      <alignment horizontal="center" vertical="center" wrapText="1"/>
    </xf>
  </cellXfs>
  <cellStyles count="4">
    <cellStyle name="Hipervínculo" xfId="1" builtinId="8"/>
    <cellStyle name="Millares" xfId="3" builtinId="3"/>
    <cellStyle name="Normal" xfId="0" builtinId="0"/>
    <cellStyle name="Normal 3" xfId="2" xr:uid="{00000000-0005-0000-0000-000003000000}"/>
  </cellStyles>
  <dxfs count="0"/>
  <tableStyles count="0" defaultTableStyle="TableStyleMedium2" defaultPivotStyle="PivotStyleLight16"/>
  <colors>
    <mruColors>
      <color rgb="FF1108C0"/>
      <color rgb="FF9E1010"/>
      <color rgb="FF0063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eg"/><Relationship Id="rId3" Type="http://schemas.openxmlformats.org/officeDocument/2006/relationships/hyperlink" Target="https://www.youtube.com/user/Sebaxtiani" TargetMode="External"/><Relationship Id="rId7" Type="http://schemas.openxmlformats.org/officeDocument/2006/relationships/hyperlink" Target="https://www.facebook.com/groups/491707207676630/?fref=t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bit.ly/1NfE652" TargetMode="External"/><Relationship Id="rId6" Type="http://schemas.openxmlformats.org/officeDocument/2006/relationships/image" Target="../media/image3.png"/><Relationship Id="rId5" Type="http://schemas.openxmlformats.org/officeDocument/2006/relationships/hyperlink" Target="https://www.facebook.com/ExcelNegocios" TargetMode="External"/><Relationship Id="rId4" Type="http://schemas.openxmlformats.org/officeDocument/2006/relationships/image" Target="../media/image2.jpeg"/><Relationship Id="rId9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1</xdr:row>
      <xdr:rowOff>171450</xdr:rowOff>
    </xdr:from>
    <xdr:to>
      <xdr:col>8</xdr:col>
      <xdr:colOff>276225</xdr:colOff>
      <xdr:row>5</xdr:row>
      <xdr:rowOff>142875</xdr:rowOff>
    </xdr:to>
    <xdr:pic>
      <xdr:nvPicPr>
        <xdr:cNvPr id="2" name="Imagen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247650"/>
          <a:ext cx="4829175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85725</xdr:colOff>
      <xdr:row>8</xdr:row>
      <xdr:rowOff>28575</xdr:rowOff>
    </xdr:from>
    <xdr:to>
      <xdr:col>2</xdr:col>
      <xdr:colOff>466725</xdr:colOff>
      <xdr:row>11</xdr:row>
      <xdr:rowOff>161925</xdr:rowOff>
    </xdr:to>
    <xdr:pic>
      <xdr:nvPicPr>
        <xdr:cNvPr id="3" name="Imagen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38275"/>
          <a:ext cx="1143000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542925</xdr:colOff>
      <xdr:row>8</xdr:row>
      <xdr:rowOff>152400</xdr:rowOff>
    </xdr:from>
    <xdr:to>
      <xdr:col>5</xdr:col>
      <xdr:colOff>60960</xdr:colOff>
      <xdr:row>11</xdr:row>
      <xdr:rowOff>104775</xdr:rowOff>
    </xdr:to>
    <xdr:pic>
      <xdr:nvPicPr>
        <xdr:cNvPr id="4" name="Imagen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" y="1508760"/>
          <a:ext cx="1872615" cy="5010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198120</xdr:colOff>
      <xdr:row>8</xdr:row>
      <xdr:rowOff>161925</xdr:rowOff>
    </xdr:from>
    <xdr:to>
      <xdr:col>7</xdr:col>
      <xdr:colOff>198120</xdr:colOff>
      <xdr:row>11</xdr:row>
      <xdr:rowOff>95250</xdr:rowOff>
    </xdr:to>
    <xdr:pic>
      <xdr:nvPicPr>
        <xdr:cNvPr id="5" name="Imagen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518285"/>
          <a:ext cx="1569720" cy="4819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381000</xdr:colOff>
      <xdr:row>8</xdr:row>
      <xdr:rowOff>152400</xdr:rowOff>
    </xdr:from>
    <xdr:to>
      <xdr:col>9</xdr:col>
      <xdr:colOff>219075</xdr:colOff>
      <xdr:row>11</xdr:row>
      <xdr:rowOff>104775</xdr:rowOff>
    </xdr:to>
    <xdr:pic macro="[0]!Mostrar_Form_Suscribete">
      <xdr:nvPicPr>
        <xdr:cNvPr id="6" name="Imagen 1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1562100"/>
          <a:ext cx="1362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219075</xdr:colOff>
          <xdr:row>8</xdr:row>
          <xdr:rowOff>438150</xdr:rowOff>
        </xdr:from>
        <xdr:to>
          <xdr:col>56</xdr:col>
          <xdr:colOff>523875</xdr:colOff>
          <xdr:row>9</xdr:row>
          <xdr:rowOff>476250</xdr:rowOff>
        </xdr:to>
        <xdr:sp macro="" textlink="">
          <xdr:nvSpPr>
            <xdr:cNvPr id="2058" name="CommandButton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219075</xdr:colOff>
          <xdr:row>9</xdr:row>
          <xdr:rowOff>590550</xdr:rowOff>
        </xdr:from>
        <xdr:to>
          <xdr:col>56</xdr:col>
          <xdr:colOff>523875</xdr:colOff>
          <xdr:row>10</xdr:row>
          <xdr:rowOff>447675</xdr:rowOff>
        </xdr:to>
        <xdr:sp macro="" textlink="">
          <xdr:nvSpPr>
            <xdr:cNvPr id="2059" name="CommandButton2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3</xdr:row>
          <xdr:rowOff>171450</xdr:rowOff>
        </xdr:from>
        <xdr:to>
          <xdr:col>8</xdr:col>
          <xdr:colOff>1304925</xdr:colOff>
          <xdr:row>6</xdr:row>
          <xdr:rowOff>47625</xdr:rowOff>
        </xdr:to>
        <xdr:sp macro="" textlink="">
          <xdr:nvSpPr>
            <xdr:cNvPr id="2060" name="CommandButton3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171450</xdr:rowOff>
        </xdr:from>
        <xdr:to>
          <xdr:col>11</xdr:col>
          <xdr:colOff>504825</xdr:colOff>
          <xdr:row>6</xdr:row>
          <xdr:rowOff>47625</xdr:rowOff>
        </xdr:to>
        <xdr:sp macro="" textlink="">
          <xdr:nvSpPr>
            <xdr:cNvPr id="2061" name="CommandButton4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7</xdr:row>
      <xdr:rowOff>0</xdr:rowOff>
    </xdr:from>
    <xdr:to>
      <xdr:col>17</xdr:col>
      <xdr:colOff>0</xdr:colOff>
      <xdr:row>9</xdr:row>
      <xdr:rowOff>477993</xdr:rowOff>
    </xdr:to>
    <xdr:sp macro="" textlink="">
      <xdr:nvSpPr>
        <xdr:cNvPr id="8" name="Mensajero" hidden="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160780" y="1371600"/>
          <a:ext cx="16090900" cy="111807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s-PE" sz="1100"/>
            <a:t>1. Obligatorio
2. Registrar '0' cuando el Comprobante de Pago o documento no da derecho al crédito fiscal.
3. Registrar '1' cuando se anota el Comprobante de Pago o documento en el periodo que se emitió o que se pagó el impuesto, según corresponda, y da derecho al crédito fiscal.
4. Registrar '6' cuando la fecha de emisión del Comprobante de Pago o de pago del impuesto, por operaciones que dan derecho a crédito fiscal, es anterior al periodo de anotación y esta se produce dentro de los doce meses siguientes a la emisión o pago del impuesto, según corresponda.
5. Registrar '7' cuando la fecha de emisión del Comprobante de Pago o pago del impuesto, por operaciones que no dan derecho a crédito fiscal, es anterior al periodo de anotación y esta se produce luego de los doce meses siguientes a la emisión o pago del impuesto, según corresponda.
6. Registrar '9' cuando se realice un ajuste o rectificación en la anotación de la información de una operación registrada en un periodo anterior.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180975</xdr:colOff>
          <xdr:row>8</xdr:row>
          <xdr:rowOff>438150</xdr:rowOff>
        </xdr:from>
        <xdr:to>
          <xdr:col>57</xdr:col>
          <xdr:colOff>285750</xdr:colOff>
          <xdr:row>9</xdr:row>
          <xdr:rowOff>476250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180975</xdr:colOff>
          <xdr:row>9</xdr:row>
          <xdr:rowOff>590550</xdr:rowOff>
        </xdr:from>
        <xdr:to>
          <xdr:col>57</xdr:col>
          <xdr:colOff>285750</xdr:colOff>
          <xdr:row>10</xdr:row>
          <xdr:rowOff>447675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3</xdr:row>
          <xdr:rowOff>171450</xdr:rowOff>
        </xdr:from>
        <xdr:to>
          <xdr:col>8</xdr:col>
          <xdr:colOff>1295400</xdr:colOff>
          <xdr:row>6</xdr:row>
          <xdr:rowOff>47625</xdr:rowOff>
        </xdr:to>
        <xdr:sp macro="" textlink="">
          <xdr:nvSpPr>
            <xdr:cNvPr id="4101" name="CommandButton3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</xdr:row>
          <xdr:rowOff>171450</xdr:rowOff>
        </xdr:from>
        <xdr:to>
          <xdr:col>12</xdr:col>
          <xdr:colOff>285750</xdr:colOff>
          <xdr:row>6</xdr:row>
          <xdr:rowOff>47625</xdr:rowOff>
        </xdr:to>
        <xdr:sp macro="" textlink="">
          <xdr:nvSpPr>
            <xdr:cNvPr id="4102" name="CommandButton4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8</xdr:row>
      <xdr:rowOff>0</xdr:rowOff>
    </xdr:from>
    <xdr:to>
      <xdr:col>27</xdr:col>
      <xdr:colOff>0</xdr:colOff>
      <xdr:row>10</xdr:row>
      <xdr:rowOff>477993</xdr:rowOff>
    </xdr:to>
    <xdr:sp macro="" textlink="">
      <xdr:nvSpPr>
        <xdr:cNvPr id="8" name="Mensajero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160780" y="1371600"/>
          <a:ext cx="26842720" cy="111807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s-PE" sz="1100"/>
            <a:t>1. Obligatorio
2. Registrar '0' cuando el Comprobante de Pago o documento no da derecho al crédito fiscal.
3. Registrar '1' cuando se anota el Comprobante de Pago o documento en el periodo que se emitió o que se pagó el impuesto, según corresponda, y da derecho al crédito fiscal.
4. Registrar '6' cuando la fecha de emisión del Comprobante de Pago o de pago del impuesto, por operaciones que dan derecho a crédito fiscal, es anterior al periodo de anotación y esta se produce dentro de los doce meses siguientes a la emisión o pago del impuesto, según corresponda.
5. Registrar '7' cuando la fecha de emisión del Comprobante de Pago o pago del impuesto, por operaciones que no dan derecho a crédito fiscal, es anterior al periodo de anotación y esta se produce luego de los doce meses siguientes a la emisión o pago del impuesto, según corresponda.
6. Registrar '9' cuando se realice un ajuste o rectificación en la anotación de la información de una operación registrada en un periodo anterior.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200025</xdr:colOff>
          <xdr:row>10</xdr:row>
          <xdr:rowOff>0</xdr:rowOff>
        </xdr:from>
        <xdr:to>
          <xdr:col>56</xdr:col>
          <xdr:colOff>466725</xdr:colOff>
          <xdr:row>10</xdr:row>
          <xdr:rowOff>485775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200025</xdr:colOff>
          <xdr:row>10</xdr:row>
          <xdr:rowOff>590550</xdr:rowOff>
        </xdr:from>
        <xdr:to>
          <xdr:col>56</xdr:col>
          <xdr:colOff>466725</xdr:colOff>
          <xdr:row>12</xdr:row>
          <xdr:rowOff>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3</xdr:row>
          <xdr:rowOff>171450</xdr:rowOff>
        </xdr:from>
        <xdr:to>
          <xdr:col>9</xdr:col>
          <xdr:colOff>76200</xdr:colOff>
          <xdr:row>6</xdr:row>
          <xdr:rowOff>47625</xdr:rowOff>
        </xdr:to>
        <xdr:sp macro="" textlink="">
          <xdr:nvSpPr>
            <xdr:cNvPr id="6148" name="CommandButton3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3</xdr:row>
          <xdr:rowOff>171450</xdr:rowOff>
        </xdr:from>
        <xdr:to>
          <xdr:col>12</xdr:col>
          <xdr:colOff>533400</xdr:colOff>
          <xdr:row>6</xdr:row>
          <xdr:rowOff>47625</xdr:rowOff>
        </xdr:to>
        <xdr:sp macro="" textlink="">
          <xdr:nvSpPr>
            <xdr:cNvPr id="6149" name="CommandButton4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8</xdr:row>
      <xdr:rowOff>0</xdr:rowOff>
    </xdr:from>
    <xdr:to>
      <xdr:col>27</xdr:col>
      <xdr:colOff>0</xdr:colOff>
      <xdr:row>10</xdr:row>
      <xdr:rowOff>477993</xdr:rowOff>
    </xdr:to>
    <xdr:sp macro="" textlink="">
      <xdr:nvSpPr>
        <xdr:cNvPr id="8" name="Mensajero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160780" y="1371600"/>
          <a:ext cx="17927320" cy="111807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s-PE" sz="1100"/>
            <a:t>1. Obligatorio
2. Registrar '0' cuando el Comprobante de Pago o documento no da derecho al crédito fiscal.
3. Registrar '1' cuando se anota el Comprobante de Pago o documento en el periodo que se emitió o que se pagó el impuesto, según corresponda, y da derecho al crédito fiscal.
4. Registrar '6' cuando la fecha de emisión del Comprobante de Pago o de pago del impuesto, por operaciones que dan derecho a crédito fiscal, es anterior al periodo de anotación y esta se produce dentro de los doce meses siguientes a la emisión o pago del impuesto, según corresponda.
5. Registrar '7' cuando la fecha de emisión del Comprobante de Pago o pago del impuesto, por operaciones que no dan derecho a crédito fiscal, es anterior al periodo de anotación y esta se produce luego de los doce meses siguientes a la emisión o pago del impuesto, según corresponda.
6. Registrar '9' cuando se realice un ajuste o rectificación en la anotación de la información de una operación registrada en un periodo anterior.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171450</xdr:colOff>
          <xdr:row>9</xdr:row>
          <xdr:rowOff>419100</xdr:rowOff>
        </xdr:from>
        <xdr:to>
          <xdr:col>56</xdr:col>
          <xdr:colOff>438150</xdr:colOff>
          <xdr:row>10</xdr:row>
          <xdr:rowOff>466725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171450</xdr:colOff>
          <xdr:row>10</xdr:row>
          <xdr:rowOff>571500</xdr:rowOff>
        </xdr:from>
        <xdr:to>
          <xdr:col>56</xdr:col>
          <xdr:colOff>438150</xdr:colOff>
          <xdr:row>11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3</xdr:row>
          <xdr:rowOff>171450</xdr:rowOff>
        </xdr:from>
        <xdr:to>
          <xdr:col>9</xdr:col>
          <xdr:colOff>76200</xdr:colOff>
          <xdr:row>6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3</xdr:row>
          <xdr:rowOff>171450</xdr:rowOff>
        </xdr:from>
        <xdr:to>
          <xdr:col>12</xdr:col>
          <xdr:colOff>533400</xdr:colOff>
          <xdr:row>6</xdr:row>
          <xdr:rowOff>47625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7</xdr:row>
      <xdr:rowOff>0</xdr:rowOff>
    </xdr:from>
    <xdr:to>
      <xdr:col>16</xdr:col>
      <xdr:colOff>0</xdr:colOff>
      <xdr:row>9</xdr:row>
      <xdr:rowOff>477993</xdr:rowOff>
    </xdr:to>
    <xdr:sp macro="" textlink="">
      <xdr:nvSpPr>
        <xdr:cNvPr id="8" name="Mensajero" hidden="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160780" y="1379220"/>
          <a:ext cx="16502380" cy="91233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s-PE" sz="1100"/>
            <a:t>1. Obligatorio
2. Registrar '0' cuando el Comprobante de Pago o documento no da derecho al crédito fiscal.
3. Registrar '1' cuando se anota el Comprobante de Pago o documento en el periodo que se emitió o que se pagó el impuesto, según corresponda, y da derecho al crédito fiscal.
4. Registrar '6' cuando la fecha de emisión del Comprobante de Pago o de pago del impuesto, por operaciones que dan derecho a crédito fiscal, es anterior al periodo de anotación y esta se produce dentro de los doce meses siguientes a la emisión o pago del impuesto, según corresponda.
5. Registrar '7' cuando la fecha de emisión del Comprobante de Pago o pago del impuesto, por operaciones que no dan derecho a crédito fiscal, es anterior al periodo de anotación y esta se produce luego de los doce meses siguientes a la emisión o pago del impuesto, según corresponda.
6. Registrar '9' cuando se realice un ajuste o rectificación en la anotación de la información de una operación registrada en un periodo anterior.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</xdr:row>
          <xdr:rowOff>171450</xdr:rowOff>
        </xdr:from>
        <xdr:to>
          <xdr:col>9</xdr:col>
          <xdr:colOff>876300</xdr:colOff>
          <xdr:row>6</xdr:row>
          <xdr:rowOff>47625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Gustavo@excelnegocios.com" TargetMode="External"/><Relationship Id="rId1" Type="http://schemas.openxmlformats.org/officeDocument/2006/relationships/hyperlink" Target="http://www.excelnegocios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22.emf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21"/>
  <sheetViews>
    <sheetView showGridLines="0" workbookViewId="0"/>
  </sheetViews>
  <sheetFormatPr baseColWidth="10" defaultColWidth="0" defaultRowHeight="15" zeroHeight="1"/>
  <cols>
    <col min="1" max="1" width="1.28515625" customWidth="1"/>
    <col min="2" max="9" width="11.42578125" customWidth="1"/>
    <col min="10" max="10" width="4.28515625" customWidth="1"/>
    <col min="11" max="11" width="2.42578125" customWidth="1"/>
    <col min="12" max="12" width="1.7109375" customWidth="1"/>
    <col min="13" max="16384" width="11.42578125" hidden="1"/>
  </cols>
  <sheetData>
    <row r="1" spans="2:13" ht="6" customHeight="1" thickBot="1">
      <c r="M1" t="s">
        <v>444</v>
      </c>
    </row>
    <row r="2" spans="2:13">
      <c r="B2" s="1"/>
      <c r="C2" s="2"/>
      <c r="D2" s="2"/>
      <c r="E2" s="2"/>
      <c r="F2" s="2"/>
      <c r="G2" s="2"/>
      <c r="H2" s="2"/>
      <c r="I2" s="2"/>
      <c r="J2" s="2"/>
      <c r="K2" s="3"/>
    </row>
    <row r="3" spans="2:13">
      <c r="B3" s="4"/>
      <c r="C3" s="5"/>
      <c r="D3" s="5"/>
      <c r="E3" s="5"/>
      <c r="F3" s="5"/>
      <c r="G3" s="5"/>
      <c r="H3" s="5"/>
      <c r="I3" s="5"/>
      <c r="J3" s="5"/>
      <c r="K3" s="6"/>
    </row>
    <row r="4" spans="2:13">
      <c r="B4" s="4"/>
      <c r="C4" s="5"/>
      <c r="D4" s="5"/>
      <c r="E4" s="5"/>
      <c r="F4" s="5"/>
      <c r="G4" s="5"/>
      <c r="H4" s="5"/>
      <c r="I4" s="5"/>
      <c r="J4" s="5"/>
      <c r="K4" s="6"/>
    </row>
    <row r="5" spans="2:13">
      <c r="B5" s="4"/>
      <c r="C5" s="5"/>
      <c r="D5" s="5"/>
      <c r="E5" s="5"/>
      <c r="F5" s="5"/>
      <c r="G5" s="5"/>
      <c r="H5" s="5"/>
      <c r="I5" s="5"/>
      <c r="J5" s="5"/>
      <c r="K5" s="6"/>
    </row>
    <row r="6" spans="2:13">
      <c r="B6" s="4"/>
      <c r="C6" s="5"/>
      <c r="D6" s="5"/>
      <c r="E6" s="5"/>
      <c r="F6" s="5"/>
      <c r="G6" s="5"/>
      <c r="H6" s="5"/>
      <c r="I6" s="5"/>
      <c r="J6" s="5"/>
      <c r="K6" s="6"/>
    </row>
    <row r="7" spans="2:13">
      <c r="B7" s="4"/>
      <c r="C7" s="113" t="s">
        <v>0</v>
      </c>
      <c r="D7" s="113"/>
      <c r="E7" s="113"/>
      <c r="F7" s="113"/>
      <c r="G7" s="113"/>
      <c r="H7" s="113"/>
      <c r="I7" s="5"/>
      <c r="J7" s="5"/>
      <c r="K7" s="6"/>
    </row>
    <row r="8" spans="2:13">
      <c r="B8" s="4"/>
      <c r="C8" s="113"/>
      <c r="D8" s="113"/>
      <c r="E8" s="113"/>
      <c r="F8" s="113"/>
      <c r="G8" s="113"/>
      <c r="H8" s="113"/>
      <c r="I8" s="5"/>
      <c r="J8" s="5"/>
      <c r="K8" s="6"/>
    </row>
    <row r="9" spans="2:13">
      <c r="B9" s="4"/>
      <c r="C9" s="5"/>
      <c r="D9" s="5"/>
      <c r="E9" s="5"/>
      <c r="F9" s="5"/>
      <c r="G9" s="5"/>
      <c r="H9" s="5"/>
      <c r="I9" s="5"/>
      <c r="J9" s="5"/>
      <c r="K9" s="6"/>
    </row>
    <row r="10" spans="2:13">
      <c r="B10" s="4"/>
      <c r="C10" s="5"/>
      <c r="D10" s="5"/>
      <c r="E10" s="5"/>
      <c r="F10" s="5"/>
      <c r="G10" s="5"/>
      <c r="H10" s="5"/>
      <c r="I10" s="5"/>
      <c r="J10" s="5"/>
      <c r="K10" s="6"/>
    </row>
    <row r="11" spans="2:13">
      <c r="B11" s="4"/>
      <c r="C11" s="5"/>
      <c r="D11" s="5"/>
      <c r="E11" s="5"/>
      <c r="F11" s="5"/>
      <c r="G11" s="5"/>
      <c r="H11" s="5"/>
      <c r="I11" s="5"/>
      <c r="J11" s="5"/>
      <c r="K11" s="6"/>
    </row>
    <row r="12" spans="2:13">
      <c r="B12" s="4"/>
      <c r="C12" s="5"/>
      <c r="D12" s="5"/>
      <c r="E12" s="5"/>
      <c r="F12" s="5"/>
      <c r="G12" s="5"/>
      <c r="H12" s="5"/>
      <c r="I12" s="5"/>
      <c r="J12" s="5"/>
      <c r="K12" s="6"/>
    </row>
    <row r="13" spans="2:13" ht="7.5" customHeight="1">
      <c r="B13" s="4"/>
      <c r="C13" s="5"/>
      <c r="D13" s="5"/>
      <c r="E13" s="5"/>
      <c r="F13" s="5"/>
      <c r="G13" s="5"/>
      <c r="H13" s="5"/>
      <c r="I13" s="5"/>
      <c r="J13" s="5"/>
      <c r="K13" s="6"/>
    </row>
    <row r="14" spans="2:13">
      <c r="B14" s="114" t="s">
        <v>1</v>
      </c>
      <c r="C14" s="115"/>
      <c r="D14" s="115"/>
      <c r="E14" s="115"/>
      <c r="F14" s="115"/>
      <c r="G14" s="116" t="s">
        <v>0</v>
      </c>
      <c r="H14" s="116"/>
      <c r="I14" s="116"/>
      <c r="J14" s="116"/>
      <c r="K14" s="117"/>
    </row>
    <row r="15" spans="2:13" ht="6.75" customHeight="1" thickBot="1">
      <c r="B15" s="7"/>
      <c r="C15" s="8"/>
      <c r="D15" s="8"/>
      <c r="E15" s="8"/>
      <c r="F15" s="8"/>
      <c r="G15" s="8"/>
      <c r="H15" s="8"/>
      <c r="I15" s="8"/>
      <c r="J15" s="8"/>
      <c r="K15" s="9"/>
    </row>
    <row r="16" spans="2:13" ht="6" customHeight="1"/>
    <row r="17" hidden="1"/>
    <row r="18" hidden="1"/>
    <row r="19" hidden="1"/>
    <row r="20" hidden="1"/>
    <row r="21" hidden="1"/>
  </sheetData>
  <mergeCells count="3">
    <mergeCell ref="C7:H8"/>
    <mergeCell ref="B14:F14"/>
    <mergeCell ref="G14:K14"/>
  </mergeCells>
  <hyperlinks>
    <hyperlink ref="C7" r:id="rId1" xr:uid="{00000000-0004-0000-0000-000000000000}"/>
    <hyperlink ref="G14" r:id="rId2" display="Gustavo@excelnegocios.com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5"/>
  <sheetViews>
    <sheetView showGridLines="0" workbookViewId="0"/>
  </sheetViews>
  <sheetFormatPr baseColWidth="10" defaultColWidth="0" defaultRowHeight="15" zeroHeight="1"/>
  <cols>
    <col min="1" max="1" width="1" customWidth="1"/>
    <col min="2" max="2" width="4.28515625" customWidth="1"/>
    <col min="3" max="3" width="18.7109375" customWidth="1"/>
    <col min="4" max="9" width="11.5703125" customWidth="1"/>
    <col min="10" max="10" width="0.85546875" customWidth="1"/>
    <col min="11" max="16384" width="11.5703125" hidden="1"/>
  </cols>
  <sheetData>
    <row r="1" spans="1:10" ht="7.15" customHeight="1" thickBot="1">
      <c r="A1" s="53"/>
      <c r="B1" s="53"/>
      <c r="C1" s="53"/>
      <c r="D1" s="53"/>
      <c r="E1" s="53"/>
      <c r="F1" s="53"/>
      <c r="G1" s="53"/>
      <c r="H1" s="53"/>
      <c r="I1" s="53"/>
      <c r="J1" s="53"/>
    </row>
    <row r="2" spans="1:10" s="53" customFormat="1">
      <c r="B2" s="42"/>
      <c r="C2" s="43"/>
      <c r="D2" s="43"/>
      <c r="E2" s="43"/>
      <c r="F2" s="43"/>
      <c r="G2" s="43"/>
      <c r="H2" s="43"/>
      <c r="I2" s="44"/>
    </row>
    <row r="3" spans="1:10" s="53" customFormat="1" ht="23.25">
      <c r="B3" s="118" t="s">
        <v>164</v>
      </c>
      <c r="C3" s="119"/>
      <c r="D3" s="119"/>
      <c r="E3" s="119"/>
      <c r="F3" s="119"/>
      <c r="G3" s="119"/>
      <c r="H3" s="119"/>
      <c r="I3" s="120"/>
    </row>
    <row r="4" spans="1:10" s="53" customFormat="1">
      <c r="B4" s="46"/>
      <c r="C4" s="5"/>
      <c r="D4" s="5"/>
      <c r="E4" s="5"/>
      <c r="F4" s="5"/>
      <c r="G4" s="5"/>
      <c r="H4" s="5"/>
      <c r="I4" s="45"/>
    </row>
    <row r="5" spans="1:10" s="53" customFormat="1" ht="15.75">
      <c r="B5" s="46"/>
      <c r="C5" s="50" t="s">
        <v>55</v>
      </c>
      <c r="D5" s="121">
        <v>20440494731</v>
      </c>
      <c r="E5" s="122"/>
      <c r="F5" s="5"/>
      <c r="G5" s="5"/>
      <c r="H5" s="5"/>
      <c r="I5" s="45"/>
    </row>
    <row r="6" spans="1:10" s="53" customFormat="1">
      <c r="B6" s="46"/>
      <c r="C6"/>
      <c r="D6"/>
      <c r="E6" s="5"/>
      <c r="F6" s="5"/>
      <c r="G6" s="5"/>
      <c r="H6" s="5"/>
      <c r="I6" s="45"/>
    </row>
    <row r="7" spans="1:10" s="53" customFormat="1" ht="15.75">
      <c r="B7" s="46"/>
      <c r="C7" s="50" t="s">
        <v>54</v>
      </c>
      <c r="D7" s="123" t="s">
        <v>166</v>
      </c>
      <c r="E7" s="123"/>
      <c r="F7" s="123"/>
      <c r="G7" s="123"/>
      <c r="H7" s="123"/>
      <c r="I7" s="45"/>
    </row>
    <row r="8" spans="1:10" s="53" customFormat="1">
      <c r="B8" s="46"/>
      <c r="C8" s="5"/>
      <c r="D8" s="5"/>
      <c r="E8" s="5"/>
      <c r="F8" s="5"/>
      <c r="G8" s="5"/>
      <c r="H8" s="5"/>
      <c r="I8" s="45"/>
    </row>
    <row r="9" spans="1:10" s="53" customFormat="1" ht="15.75">
      <c r="B9" s="46"/>
      <c r="C9" s="50" t="s">
        <v>167</v>
      </c>
      <c r="D9" s="51">
        <v>2017</v>
      </c>
      <c r="E9" s="5"/>
      <c r="F9"/>
      <c r="G9" s="5"/>
      <c r="H9" s="5"/>
      <c r="I9" s="45"/>
    </row>
    <row r="10" spans="1:10" s="53" customFormat="1">
      <c r="B10" s="46"/>
      <c r="C10" s="5"/>
      <c r="D10" s="5"/>
      <c r="E10" s="5"/>
      <c r="F10" s="5"/>
      <c r="G10" s="5"/>
      <c r="H10" s="5"/>
      <c r="I10" s="45"/>
    </row>
    <row r="11" spans="1:10" s="53" customFormat="1" ht="15.75">
      <c r="B11" s="46"/>
      <c r="C11" s="50" t="s">
        <v>165</v>
      </c>
      <c r="D11" s="52">
        <v>3</v>
      </c>
      <c r="E11" s="5"/>
      <c r="F11" s="5"/>
      <c r="G11" s="5"/>
      <c r="H11" s="5"/>
      <c r="I11" s="45"/>
    </row>
    <row r="12" spans="1:10" s="53" customFormat="1" ht="15.75" thickBot="1">
      <c r="B12" s="47"/>
      <c r="C12" s="48"/>
      <c r="D12" s="48"/>
      <c r="E12" s="48"/>
      <c r="F12" s="48"/>
      <c r="G12" s="48"/>
      <c r="H12" s="48"/>
      <c r="I12" s="49"/>
    </row>
    <row r="13" spans="1:10" s="53" customFormat="1" ht="5.45" customHeight="1"/>
    <row r="14" spans="1:10" hidden="1"/>
    <row r="15" spans="1:10" hidden="1"/>
  </sheetData>
  <mergeCells count="3">
    <mergeCell ref="B3:I3"/>
    <mergeCell ref="D5:E5"/>
    <mergeCell ref="D7:H7"/>
  </mergeCells>
  <dataValidations count="2">
    <dataValidation type="list" allowBlank="1" showInputMessage="1" showErrorMessage="1" sqref="D9" xr:uid="{00000000-0002-0000-0100-000000000000}">
      <formula1>"2013,2014,2015,2016,2017,2018,2019"</formula1>
    </dataValidation>
    <dataValidation type="list" allowBlank="1" showInputMessage="1" showErrorMessage="1" sqref="D11" xr:uid="{00000000-0002-0000-0100-000001000000}">
      <formula1>"1,2,3,4,5,6,7,8,9,10,11,12"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BE44"/>
  <sheetViews>
    <sheetView showGridLines="0" tabSelected="1" workbookViewId="0">
      <selection sqref="A1:AP2"/>
    </sheetView>
  </sheetViews>
  <sheetFormatPr baseColWidth="10" defaultColWidth="11.42578125" defaultRowHeight="15"/>
  <cols>
    <col min="1" max="1" width="4.5703125" style="55" customWidth="1"/>
    <col min="2" max="2" width="11.42578125" style="69"/>
    <col min="3" max="3" width="13" style="69" customWidth="1"/>
    <col min="4" max="4" width="19.28515625" style="69" customWidth="1"/>
    <col min="5" max="5" width="10.7109375" style="69" customWidth="1"/>
    <col min="6" max="6" width="12.140625" style="69" customWidth="1"/>
    <col min="7" max="7" width="12.5703125" style="77" bestFit="1" customWidth="1"/>
    <col min="8" max="8" width="8" style="69" customWidth="1"/>
    <col min="9" max="9" width="21.28515625" style="69" bestFit="1" customWidth="1"/>
    <col min="10" max="10" width="14.5703125" style="69" customWidth="1"/>
    <col min="11" max="13" width="11.42578125" style="69"/>
    <col min="14" max="14" width="12" style="69" bestFit="1" customWidth="1"/>
    <col min="15" max="15" width="58" style="69" bestFit="1" customWidth="1"/>
    <col min="16" max="16" width="11.85546875" style="69" bestFit="1" customWidth="1"/>
    <col min="17" max="24" width="11.42578125" style="69"/>
    <col min="25" max="25" width="16.28515625" style="69" customWidth="1"/>
    <col min="26" max="26" width="11.42578125" style="69"/>
    <col min="27" max="27" width="10.7109375" style="69" customWidth="1"/>
    <col min="28" max="30" width="11.42578125" style="69"/>
    <col min="31" max="31" width="13.28515625" style="69" customWidth="1"/>
    <col min="32" max="35" width="11.42578125" style="69"/>
    <col min="36" max="36" width="14.5703125" style="69" customWidth="1"/>
    <col min="37" max="37" width="18.28515625" style="69" customWidth="1"/>
    <col min="38" max="39" width="11.42578125" style="69"/>
    <col min="40" max="40" width="17.140625" style="69" customWidth="1"/>
    <col min="41" max="41" width="33.140625" style="69" bestFit="1" customWidth="1"/>
    <col min="42" max="42" width="14.5703125" style="69" customWidth="1"/>
    <col min="43" max="43" width="3.28515625" style="69" customWidth="1"/>
    <col min="44" max="44" width="11.42578125" style="69"/>
    <col min="45" max="45" width="17.140625" style="69" customWidth="1"/>
    <col min="46" max="47" width="14.28515625" style="69" customWidth="1"/>
    <col min="48" max="48" width="13.5703125" style="69" customWidth="1"/>
    <col min="49" max="49" width="16.85546875" style="69" customWidth="1"/>
    <col min="50" max="50" width="14.7109375" style="69" customWidth="1"/>
    <col min="51" max="51" width="11.42578125" style="69"/>
    <col min="52" max="52" width="11.42578125" style="76"/>
    <col min="53" max="53" width="11.42578125" style="69"/>
    <col min="54" max="55" width="11.42578125" style="76"/>
    <col min="56" max="16384" width="11.42578125" style="69"/>
  </cols>
  <sheetData>
    <row r="1" spans="1:57" s="21" customFormat="1" ht="14.45" customHeight="1">
      <c r="A1" s="124" t="s">
        <v>56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6"/>
      <c r="AS1" s="58">
        <v>16</v>
      </c>
      <c r="AT1" s="58">
        <v>17</v>
      </c>
      <c r="AU1" s="58">
        <v>23</v>
      </c>
      <c r="AV1" s="58">
        <v>24</v>
      </c>
      <c r="AW1" s="58">
        <v>25</v>
      </c>
      <c r="AX1" s="58">
        <f>+AS1</f>
        <v>16</v>
      </c>
      <c r="AY1" s="58">
        <f>+AX1</f>
        <v>16</v>
      </c>
      <c r="AZ1" s="58">
        <f>+AX1</f>
        <v>16</v>
      </c>
      <c r="BA1" s="58">
        <f>+AZ1</f>
        <v>16</v>
      </c>
      <c r="BB1" s="58">
        <v>25</v>
      </c>
      <c r="BD1" s="57"/>
      <c r="BE1" s="60" t="s">
        <v>183</v>
      </c>
    </row>
    <row r="2" spans="1:57" s="21" customFormat="1" ht="30" customHeight="1" thickBot="1">
      <c r="A2" s="127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9"/>
      <c r="AS2" s="58">
        <v>18</v>
      </c>
      <c r="AT2" s="58">
        <v>19</v>
      </c>
      <c r="AU2" s="58">
        <v>43</v>
      </c>
      <c r="AV2" s="58">
        <v>43</v>
      </c>
      <c r="AW2" s="58">
        <v>43</v>
      </c>
      <c r="AX2" s="58">
        <f t="shared" ref="AX2:AX5" si="0">+AS2</f>
        <v>18</v>
      </c>
      <c r="AY2" s="58">
        <f t="shared" ref="AY2:AY5" si="1">+AX2</f>
        <v>18</v>
      </c>
      <c r="AZ2" s="58">
        <f t="shared" ref="AZ2:AZ5" si="2">+AX2</f>
        <v>18</v>
      </c>
      <c r="BA2" s="58">
        <f t="shared" ref="BA2:BA5" si="3">+AZ2</f>
        <v>18</v>
      </c>
      <c r="BB2" s="58">
        <v>43</v>
      </c>
    </row>
    <row r="3" spans="1:57" s="21" customFormat="1" ht="5.25" customHeight="1">
      <c r="A3" s="26"/>
      <c r="B3" s="33"/>
      <c r="C3" s="33"/>
      <c r="D3" s="32"/>
      <c r="E3" s="32"/>
      <c r="F3" s="32"/>
      <c r="G3" s="32"/>
      <c r="H3" s="32"/>
      <c r="AS3" s="58">
        <v>20</v>
      </c>
      <c r="AT3" s="58">
        <v>21</v>
      </c>
      <c r="AU3" s="58">
        <v>43</v>
      </c>
      <c r="AV3" s="58">
        <v>43</v>
      </c>
      <c r="AW3" s="58">
        <v>43</v>
      </c>
      <c r="AX3" s="58">
        <f t="shared" si="0"/>
        <v>20</v>
      </c>
      <c r="AY3" s="58">
        <f t="shared" si="1"/>
        <v>20</v>
      </c>
      <c r="AZ3" s="58">
        <f t="shared" si="2"/>
        <v>20</v>
      </c>
      <c r="BA3" s="58">
        <f t="shared" si="3"/>
        <v>20</v>
      </c>
      <c r="BB3" s="58">
        <v>43</v>
      </c>
    </row>
    <row r="4" spans="1:57" s="21" customFormat="1" ht="18" customHeight="1">
      <c r="A4" s="26"/>
      <c r="B4" s="149" t="s">
        <v>58</v>
      </c>
      <c r="C4" s="149"/>
      <c r="D4" s="150" t="str">
        <f>+CONFIGURACION!D9&amp;"-"&amp;TEXT(CONFIGURACION!D11,"00")</f>
        <v>2017-03</v>
      </c>
      <c r="E4" s="151"/>
      <c r="F4" s="151"/>
      <c r="G4"/>
      <c r="H4" s="31"/>
      <c r="I4" s="26"/>
      <c r="J4" s="26"/>
      <c r="K4" s="26"/>
      <c r="AS4" s="58">
        <v>22</v>
      </c>
      <c r="AT4" s="58">
        <v>43</v>
      </c>
      <c r="AU4" s="58">
        <v>43</v>
      </c>
      <c r="AV4" s="58">
        <v>43</v>
      </c>
      <c r="AW4" s="58">
        <v>43</v>
      </c>
      <c r="AX4" s="58">
        <f t="shared" si="0"/>
        <v>22</v>
      </c>
      <c r="AY4" s="58">
        <f t="shared" si="1"/>
        <v>22</v>
      </c>
      <c r="AZ4" s="58">
        <f t="shared" si="2"/>
        <v>22</v>
      </c>
      <c r="BA4" s="58">
        <f t="shared" si="3"/>
        <v>22</v>
      </c>
      <c r="BB4" s="58">
        <v>43</v>
      </c>
    </row>
    <row r="5" spans="1:57" s="21" customFormat="1" ht="18" customHeight="1">
      <c r="A5" s="26"/>
      <c r="B5" s="149" t="s">
        <v>59</v>
      </c>
      <c r="C5" s="149"/>
      <c r="D5" s="130">
        <f>+CONFIGURACION!D5</f>
        <v>20440494731</v>
      </c>
      <c r="E5" s="130"/>
      <c r="F5" s="130"/>
      <c r="G5"/>
      <c r="H5" s="29"/>
      <c r="I5" s="26"/>
      <c r="J5" s="26"/>
      <c r="K5" s="26"/>
      <c r="AS5" s="58">
        <v>43</v>
      </c>
      <c r="AT5" s="58">
        <v>43</v>
      </c>
      <c r="AU5" s="58">
        <v>43</v>
      </c>
      <c r="AV5" s="58">
        <v>43</v>
      </c>
      <c r="AW5" s="58">
        <v>43</v>
      </c>
      <c r="AX5" s="58">
        <f t="shared" si="0"/>
        <v>43</v>
      </c>
      <c r="AY5" s="58">
        <f t="shared" si="1"/>
        <v>43</v>
      </c>
      <c r="AZ5" s="58">
        <f t="shared" si="2"/>
        <v>43</v>
      </c>
      <c r="BA5" s="58">
        <f t="shared" si="3"/>
        <v>43</v>
      </c>
      <c r="BB5" s="58">
        <v>43</v>
      </c>
    </row>
    <row r="6" spans="1:57" s="21" customFormat="1" ht="18" customHeight="1">
      <c r="A6" s="26"/>
      <c r="B6" s="149" t="s">
        <v>60</v>
      </c>
      <c r="C6" s="149"/>
      <c r="D6" s="130" t="str">
        <f>+CONFIGURACION!D7</f>
        <v>EXCEL NEGOCIOS SAC</v>
      </c>
      <c r="E6" s="130"/>
      <c r="F6" s="130"/>
      <c r="G6"/>
      <c r="H6" s="29"/>
      <c r="I6" s="28"/>
      <c r="J6" s="26"/>
      <c r="K6" s="26"/>
      <c r="AS6" s="59" t="s">
        <v>138</v>
      </c>
      <c r="AT6" s="59" t="s">
        <v>138</v>
      </c>
      <c r="AU6" s="59" t="s">
        <v>138</v>
      </c>
      <c r="AV6" s="59" t="s">
        <v>138</v>
      </c>
      <c r="AW6" s="59" t="s">
        <v>139</v>
      </c>
      <c r="AX6" s="59" t="s">
        <v>138</v>
      </c>
      <c r="AY6" s="59" t="s">
        <v>139</v>
      </c>
      <c r="AZ6" s="59" t="s">
        <v>138</v>
      </c>
      <c r="BA6" s="59" t="s">
        <v>139</v>
      </c>
      <c r="BB6" s="59" t="s">
        <v>139</v>
      </c>
    </row>
    <row r="7" spans="1:57" s="21" customFormat="1" ht="18" customHeight="1" thickBot="1">
      <c r="A7" s="26"/>
      <c r="B7" s="27"/>
      <c r="C7" s="26"/>
      <c r="N7" s="25"/>
      <c r="AS7" s="58">
        <f>COLUMN(AS6)</f>
        <v>45</v>
      </c>
      <c r="AT7" s="58">
        <f>COLUMN(AT6)</f>
        <v>46</v>
      </c>
      <c r="AU7" s="58">
        <f t="shared" ref="AU7:BB7" si="4">COLUMN(AU6)</f>
        <v>47</v>
      </c>
      <c r="AV7" s="58">
        <f t="shared" si="4"/>
        <v>48</v>
      </c>
      <c r="AW7" s="58">
        <f t="shared" si="4"/>
        <v>49</v>
      </c>
      <c r="AX7" s="58">
        <f t="shared" si="4"/>
        <v>50</v>
      </c>
      <c r="AY7" s="58">
        <f t="shared" si="4"/>
        <v>51</v>
      </c>
      <c r="AZ7" s="58">
        <f t="shared" si="4"/>
        <v>52</v>
      </c>
      <c r="BA7" s="58">
        <f t="shared" si="4"/>
        <v>53</v>
      </c>
      <c r="BB7" s="58">
        <f t="shared" si="4"/>
        <v>54</v>
      </c>
    </row>
    <row r="8" spans="1:57" s="21" customFormat="1" ht="15.75" customHeight="1">
      <c r="A8" s="154" t="s">
        <v>61</v>
      </c>
      <c r="B8" s="65">
        <v>41</v>
      </c>
      <c r="C8" s="65">
        <v>1</v>
      </c>
      <c r="D8" s="65">
        <v>2</v>
      </c>
      <c r="E8" s="65">
        <v>3</v>
      </c>
      <c r="F8" s="65">
        <v>4</v>
      </c>
      <c r="G8" s="65">
        <v>5</v>
      </c>
      <c r="H8" s="65">
        <v>6</v>
      </c>
      <c r="I8" s="65">
        <v>7</v>
      </c>
      <c r="J8" s="65">
        <v>8</v>
      </c>
      <c r="K8" s="65">
        <v>9</v>
      </c>
      <c r="L8" s="65">
        <v>10</v>
      </c>
      <c r="M8" s="65">
        <v>11</v>
      </c>
      <c r="N8" s="65">
        <v>12</v>
      </c>
      <c r="O8" s="65">
        <v>13</v>
      </c>
      <c r="P8" s="65">
        <v>14</v>
      </c>
      <c r="Q8" s="65">
        <v>15</v>
      </c>
      <c r="R8" s="65">
        <v>16</v>
      </c>
      <c r="S8" s="65">
        <v>17</v>
      </c>
      <c r="T8" s="65">
        <v>18</v>
      </c>
      <c r="U8" s="65">
        <v>19</v>
      </c>
      <c r="V8" s="65">
        <v>20</v>
      </c>
      <c r="W8" s="65">
        <v>21</v>
      </c>
      <c r="X8" s="65">
        <v>22</v>
      </c>
      <c r="Y8" s="65">
        <v>23</v>
      </c>
      <c r="Z8" s="65">
        <v>24</v>
      </c>
      <c r="AA8" s="65">
        <v>25</v>
      </c>
      <c r="AB8" s="65">
        <v>26</v>
      </c>
      <c r="AC8" s="65">
        <v>27</v>
      </c>
      <c r="AD8" s="65">
        <v>28</v>
      </c>
      <c r="AE8" s="65">
        <v>29</v>
      </c>
      <c r="AF8" s="65">
        <v>30</v>
      </c>
      <c r="AG8" s="65">
        <v>31</v>
      </c>
      <c r="AH8" s="65">
        <v>32</v>
      </c>
      <c r="AI8" s="65">
        <v>33</v>
      </c>
      <c r="AJ8" s="65">
        <v>34</v>
      </c>
      <c r="AK8" s="65">
        <v>35</v>
      </c>
      <c r="AL8" s="65">
        <v>36</v>
      </c>
      <c r="AM8" s="65">
        <v>37</v>
      </c>
      <c r="AN8" s="65">
        <v>38</v>
      </c>
      <c r="AO8" s="65">
        <v>39</v>
      </c>
      <c r="AP8" s="66">
        <v>40</v>
      </c>
      <c r="AS8" s="132" t="s">
        <v>177</v>
      </c>
      <c r="AT8" s="133"/>
      <c r="AU8" s="133"/>
      <c r="AV8" s="133"/>
      <c r="AW8" s="133"/>
      <c r="AX8" s="133"/>
      <c r="AY8" s="133"/>
      <c r="AZ8" s="133"/>
      <c r="BA8" s="133"/>
      <c r="BB8" s="134"/>
    </row>
    <row r="9" spans="1:57" s="21" customFormat="1" ht="35.25" customHeight="1" thickBot="1">
      <c r="A9" s="155"/>
      <c r="B9" s="158" t="s">
        <v>53</v>
      </c>
      <c r="C9" s="158" t="s">
        <v>52</v>
      </c>
      <c r="D9" s="158" t="s">
        <v>51</v>
      </c>
      <c r="E9" s="158" t="s">
        <v>50</v>
      </c>
      <c r="F9" s="162" t="s">
        <v>49</v>
      </c>
      <c r="G9" s="162"/>
      <c r="H9" s="162"/>
      <c r="I9" s="162"/>
      <c r="J9" s="162"/>
      <c r="K9" s="162"/>
      <c r="L9" s="162"/>
      <c r="M9" s="160" t="s">
        <v>48</v>
      </c>
      <c r="N9" s="160"/>
      <c r="O9" s="160"/>
      <c r="P9" s="145" t="s">
        <v>47</v>
      </c>
      <c r="Q9" s="145"/>
      <c r="R9" s="145" t="s">
        <v>46</v>
      </c>
      <c r="S9" s="145"/>
      <c r="T9" s="145" t="s">
        <v>45</v>
      </c>
      <c r="U9" s="145"/>
      <c r="V9" s="145" t="s">
        <v>44</v>
      </c>
      <c r="W9" s="145" t="s">
        <v>43</v>
      </c>
      <c r="X9" s="145" t="s">
        <v>42</v>
      </c>
      <c r="Y9" s="145" t="s">
        <v>41</v>
      </c>
      <c r="Z9" s="145" t="s">
        <v>40</v>
      </c>
      <c r="AA9" s="145"/>
      <c r="AB9" s="145" t="s">
        <v>39</v>
      </c>
      <c r="AC9" s="145"/>
      <c r="AD9" s="145"/>
      <c r="AE9" s="145"/>
      <c r="AF9" s="145"/>
      <c r="AG9" s="145" t="s">
        <v>38</v>
      </c>
      <c r="AH9" s="145"/>
      <c r="AI9" s="145" t="s">
        <v>37</v>
      </c>
      <c r="AJ9" s="145" t="s">
        <v>36</v>
      </c>
      <c r="AK9" s="145" t="s">
        <v>35</v>
      </c>
      <c r="AL9" s="145" t="s">
        <v>34</v>
      </c>
      <c r="AM9" s="145" t="s">
        <v>33</v>
      </c>
      <c r="AN9" s="145" t="s">
        <v>32</v>
      </c>
      <c r="AO9" s="145" t="s">
        <v>31</v>
      </c>
      <c r="AP9" s="147" t="s">
        <v>30</v>
      </c>
      <c r="AS9" s="135"/>
      <c r="AT9" s="136"/>
      <c r="AU9" s="136"/>
      <c r="AV9" s="136"/>
      <c r="AW9" s="136"/>
      <c r="AX9" s="136"/>
      <c r="AY9" s="136"/>
      <c r="AZ9" s="136"/>
      <c r="BA9" s="136"/>
      <c r="BB9" s="137"/>
    </row>
    <row r="10" spans="1:57" s="21" customFormat="1" ht="49.5" customHeight="1">
      <c r="A10" s="155"/>
      <c r="B10" s="158"/>
      <c r="C10" s="158"/>
      <c r="D10" s="158"/>
      <c r="E10" s="158"/>
      <c r="F10" s="163" t="s">
        <v>29</v>
      </c>
      <c r="G10" s="163" t="s">
        <v>28</v>
      </c>
      <c r="H10" s="163" t="s">
        <v>27</v>
      </c>
      <c r="I10" s="152" t="s">
        <v>26</v>
      </c>
      <c r="J10" s="152" t="s">
        <v>25</v>
      </c>
      <c r="K10" s="152" t="s">
        <v>24</v>
      </c>
      <c r="L10" s="152" t="s">
        <v>23</v>
      </c>
      <c r="M10" s="161" t="s">
        <v>22</v>
      </c>
      <c r="N10" s="161"/>
      <c r="O10" s="157" t="s">
        <v>21</v>
      </c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7"/>
      <c r="AS10" s="141" t="s">
        <v>141</v>
      </c>
      <c r="AT10" s="131" t="s">
        <v>136</v>
      </c>
      <c r="AU10" s="131" t="s">
        <v>137</v>
      </c>
      <c r="AV10" s="131" t="s">
        <v>134</v>
      </c>
      <c r="AW10" s="139" t="s">
        <v>135</v>
      </c>
      <c r="AX10" s="131" t="s">
        <v>142</v>
      </c>
      <c r="AY10" s="131"/>
      <c r="AZ10" s="131" t="s">
        <v>163</v>
      </c>
      <c r="BA10" s="131"/>
      <c r="BB10" s="143" t="s">
        <v>140</v>
      </c>
    </row>
    <row r="11" spans="1:57" s="21" customFormat="1" ht="36" customHeight="1" thickBot="1">
      <c r="A11" s="156"/>
      <c r="B11" s="159"/>
      <c r="C11" s="159"/>
      <c r="D11" s="159"/>
      <c r="E11" s="159"/>
      <c r="F11" s="164"/>
      <c r="G11" s="164"/>
      <c r="H11" s="164"/>
      <c r="I11" s="153"/>
      <c r="J11" s="153"/>
      <c r="K11" s="153"/>
      <c r="L11" s="153"/>
      <c r="M11" s="75" t="s">
        <v>20</v>
      </c>
      <c r="N11" s="75" t="s">
        <v>19</v>
      </c>
      <c r="O11" s="138"/>
      <c r="P11" s="73" t="s">
        <v>18</v>
      </c>
      <c r="Q11" s="73" t="s">
        <v>17</v>
      </c>
      <c r="R11" s="73" t="s">
        <v>18</v>
      </c>
      <c r="S11" s="73" t="s">
        <v>17</v>
      </c>
      <c r="T11" s="73" t="s">
        <v>18</v>
      </c>
      <c r="U11" s="73" t="s">
        <v>17</v>
      </c>
      <c r="V11" s="146"/>
      <c r="W11" s="146"/>
      <c r="X11" s="146"/>
      <c r="Y11" s="146"/>
      <c r="Z11" s="63" t="s">
        <v>16</v>
      </c>
      <c r="AA11" s="74" t="s">
        <v>15</v>
      </c>
      <c r="AB11" s="64" t="s">
        <v>14</v>
      </c>
      <c r="AC11" s="74" t="s">
        <v>13</v>
      </c>
      <c r="AD11" s="64" t="s">
        <v>12</v>
      </c>
      <c r="AE11" s="74" t="s">
        <v>11</v>
      </c>
      <c r="AF11" s="64" t="s">
        <v>10</v>
      </c>
      <c r="AG11" s="73" t="s">
        <v>9</v>
      </c>
      <c r="AH11" s="73" t="s">
        <v>8</v>
      </c>
      <c r="AI11" s="146"/>
      <c r="AJ11" s="146"/>
      <c r="AK11" s="146"/>
      <c r="AL11" s="146"/>
      <c r="AM11" s="146"/>
      <c r="AN11" s="146"/>
      <c r="AO11" s="146"/>
      <c r="AP11" s="148"/>
      <c r="AS11" s="142"/>
      <c r="AT11" s="138"/>
      <c r="AU11" s="138"/>
      <c r="AV11" s="138"/>
      <c r="AW11" s="140"/>
      <c r="AX11" s="73" t="s">
        <v>143</v>
      </c>
      <c r="AY11" s="73" t="s">
        <v>144</v>
      </c>
      <c r="AZ11" s="73" t="s">
        <v>143</v>
      </c>
      <c r="BA11" s="73" t="s">
        <v>144</v>
      </c>
      <c r="BB11" s="144"/>
    </row>
    <row r="12" spans="1:57">
      <c r="A12">
        <v>1</v>
      </c>
      <c r="B12" s="68">
        <v>1</v>
      </c>
      <c r="C12" s="68">
        <v>20170300</v>
      </c>
      <c r="D12" s="79" t="s">
        <v>184</v>
      </c>
      <c r="E12" s="68" t="s">
        <v>7</v>
      </c>
      <c r="F12" s="80">
        <v>42798</v>
      </c>
      <c r="G12" s="80"/>
      <c r="H12" s="81" t="s">
        <v>185</v>
      </c>
      <c r="I12" s="70" t="s">
        <v>186</v>
      </c>
      <c r="J12" s="82"/>
      <c r="K12" s="83">
        <v>8232</v>
      </c>
      <c r="L12" s="82"/>
      <c r="M12" s="68">
        <v>6</v>
      </c>
      <c r="N12" s="68">
        <v>20127765279</v>
      </c>
      <c r="O12" s="82" t="s">
        <v>187</v>
      </c>
      <c r="P12" s="84">
        <v>207.48</v>
      </c>
      <c r="Q12" s="84">
        <v>37.35</v>
      </c>
      <c r="R12" s="84"/>
      <c r="S12" s="84"/>
      <c r="T12" s="84"/>
      <c r="U12" s="84"/>
      <c r="V12" s="84"/>
      <c r="W12" s="84"/>
      <c r="X12" s="84"/>
      <c r="Y12" s="84">
        <v>244.82999999999998</v>
      </c>
      <c r="Z12" s="68"/>
      <c r="AA12" s="79"/>
      <c r="AC12" s="85"/>
      <c r="AD12" s="86"/>
      <c r="AE12" s="82"/>
      <c r="AF12" s="82"/>
      <c r="AG12" s="87"/>
      <c r="AH12" s="82"/>
      <c r="AI12" s="82"/>
      <c r="AJ12" s="68"/>
      <c r="AK12" s="82"/>
      <c r="AL12" s="82"/>
      <c r="AM12" s="82"/>
      <c r="AN12" s="82"/>
      <c r="AO12" s="82"/>
      <c r="AP12" s="82">
        <v>1</v>
      </c>
      <c r="AS12" s="104">
        <v>60111</v>
      </c>
      <c r="AT12" s="104">
        <v>40111</v>
      </c>
      <c r="AU12" s="55"/>
      <c r="AV12" s="55"/>
      <c r="AW12" s="104">
        <v>42111</v>
      </c>
      <c r="AX12" s="105">
        <v>20111</v>
      </c>
      <c r="AY12" s="105">
        <v>61111</v>
      </c>
      <c r="AZ12" s="105"/>
      <c r="BA12" s="105"/>
      <c r="BB12" s="105">
        <v>10411</v>
      </c>
      <c r="BC12" s="106"/>
      <c r="BD12" s="55"/>
    </row>
    <row r="13" spans="1:57">
      <c r="A13">
        <v>2</v>
      </c>
      <c r="B13" s="68">
        <v>1</v>
      </c>
      <c r="C13" s="68">
        <v>20170300</v>
      </c>
      <c r="D13" s="79" t="s">
        <v>188</v>
      </c>
      <c r="E13" s="68" t="s">
        <v>6</v>
      </c>
      <c r="F13" s="80">
        <v>42799</v>
      </c>
      <c r="G13" s="80"/>
      <c r="H13" s="81" t="s">
        <v>189</v>
      </c>
      <c r="I13" s="70" t="s">
        <v>190</v>
      </c>
      <c r="J13" s="82"/>
      <c r="K13" s="83" t="s">
        <v>191</v>
      </c>
      <c r="L13" s="82"/>
      <c r="M13" s="68">
        <v>6</v>
      </c>
      <c r="N13" s="68">
        <v>20467534026</v>
      </c>
      <c r="O13" s="82" t="s">
        <v>192</v>
      </c>
      <c r="P13" s="84">
        <v>-4758.59</v>
      </c>
      <c r="Q13" s="84">
        <v>-856.55</v>
      </c>
      <c r="R13" s="84"/>
      <c r="S13" s="84"/>
      <c r="T13" s="84"/>
      <c r="U13" s="84"/>
      <c r="V13" s="84"/>
      <c r="W13" s="84"/>
      <c r="X13" s="84"/>
      <c r="Y13" s="84">
        <v>-5615.14</v>
      </c>
      <c r="Z13" s="68"/>
      <c r="AA13" s="79"/>
      <c r="AB13" s="87">
        <v>42692</v>
      </c>
      <c r="AC13" s="86" t="s">
        <v>2</v>
      </c>
      <c r="AD13" s="86" t="s">
        <v>193</v>
      </c>
      <c r="AE13" s="82"/>
      <c r="AF13" s="82" t="s">
        <v>194</v>
      </c>
      <c r="AG13" s="87"/>
      <c r="AH13" s="82"/>
      <c r="AI13" s="82"/>
      <c r="AJ13" s="68"/>
      <c r="AK13" s="82"/>
      <c r="AL13" s="82"/>
      <c r="AM13" s="82"/>
      <c r="AN13" s="82"/>
      <c r="AO13" s="82"/>
      <c r="AP13" s="82">
        <v>1</v>
      </c>
      <c r="AS13" s="104">
        <v>60111</v>
      </c>
      <c r="AT13" s="104">
        <v>40111</v>
      </c>
      <c r="AU13" s="55"/>
      <c r="AV13" s="55"/>
      <c r="AW13" s="104">
        <v>42111</v>
      </c>
      <c r="AX13" s="105">
        <v>20111</v>
      </c>
      <c r="AY13" s="105">
        <v>61111</v>
      </c>
      <c r="AZ13" s="105"/>
      <c r="BA13" s="105"/>
      <c r="BB13" s="105"/>
      <c r="BC13" s="106"/>
      <c r="BD13" s="55"/>
    </row>
    <row r="14" spans="1:57">
      <c r="A14">
        <v>3</v>
      </c>
      <c r="B14" s="68">
        <v>1</v>
      </c>
      <c r="C14" s="68">
        <v>20170300</v>
      </c>
      <c r="D14" s="79" t="s">
        <v>195</v>
      </c>
      <c r="E14" s="68" t="s">
        <v>5</v>
      </c>
      <c r="F14" s="80">
        <v>42803</v>
      </c>
      <c r="G14" s="80"/>
      <c r="H14" s="81" t="s">
        <v>189</v>
      </c>
      <c r="I14" s="70" t="s">
        <v>196</v>
      </c>
      <c r="J14" s="82"/>
      <c r="K14" s="83" t="s">
        <v>197</v>
      </c>
      <c r="L14" s="82"/>
      <c r="M14" s="68">
        <v>6</v>
      </c>
      <c r="N14" s="68">
        <v>20600745311</v>
      </c>
      <c r="O14" s="82" t="s">
        <v>198</v>
      </c>
      <c r="P14" s="84">
        <v>-261.02</v>
      </c>
      <c r="Q14" s="84">
        <v>-46.98</v>
      </c>
      <c r="R14" s="84"/>
      <c r="S14" s="84"/>
      <c r="T14" s="84"/>
      <c r="U14" s="84"/>
      <c r="V14" s="84"/>
      <c r="W14" s="84"/>
      <c r="X14" s="84"/>
      <c r="Y14" s="84">
        <v>-308</v>
      </c>
      <c r="Z14" s="68"/>
      <c r="AA14" s="79"/>
      <c r="AB14" s="87">
        <v>42727</v>
      </c>
      <c r="AC14" s="86" t="s">
        <v>2</v>
      </c>
      <c r="AD14" s="86" t="s">
        <v>193</v>
      </c>
      <c r="AE14" s="82"/>
      <c r="AF14" s="82" t="s">
        <v>199</v>
      </c>
      <c r="AG14" s="87"/>
      <c r="AH14" s="82"/>
      <c r="AI14" s="82"/>
      <c r="AJ14" s="68"/>
      <c r="AK14" s="82"/>
      <c r="AL14" s="82"/>
      <c r="AM14" s="82"/>
      <c r="AN14" s="82"/>
      <c r="AO14" s="82"/>
      <c r="AP14" s="82">
        <v>1</v>
      </c>
      <c r="AS14" s="104">
        <v>60111</v>
      </c>
      <c r="AT14" s="104">
        <v>40111</v>
      </c>
      <c r="AU14" s="55"/>
      <c r="AV14" s="55"/>
      <c r="AW14" s="104">
        <v>42111</v>
      </c>
      <c r="AX14" s="105">
        <v>20111</v>
      </c>
      <c r="AY14" s="105">
        <v>61111</v>
      </c>
      <c r="AZ14" s="105"/>
      <c r="BA14" s="105"/>
      <c r="BB14" s="105">
        <v>10411</v>
      </c>
      <c r="BC14" s="106"/>
      <c r="BD14" s="55"/>
    </row>
    <row r="15" spans="1:57">
      <c r="A15">
        <v>4</v>
      </c>
      <c r="B15" s="68">
        <v>1</v>
      </c>
      <c r="C15" s="68">
        <v>20170300</v>
      </c>
      <c r="D15" s="79" t="s">
        <v>200</v>
      </c>
      <c r="E15" s="68" t="s">
        <v>3</v>
      </c>
      <c r="F15" s="80">
        <v>42803</v>
      </c>
      <c r="G15" s="80"/>
      <c r="H15" s="81" t="s">
        <v>201</v>
      </c>
      <c r="I15" s="70" t="s">
        <v>196</v>
      </c>
      <c r="J15" s="82"/>
      <c r="K15" s="83" t="s">
        <v>202</v>
      </c>
      <c r="L15" s="82"/>
      <c r="M15" s="68">
        <v>6</v>
      </c>
      <c r="N15" s="68">
        <v>20600745311</v>
      </c>
      <c r="O15" s="82" t="s">
        <v>198</v>
      </c>
      <c r="P15" s="84">
        <v>901.69</v>
      </c>
      <c r="Q15" s="84">
        <v>162.30000000000001</v>
      </c>
      <c r="R15" s="84"/>
      <c r="S15" s="84"/>
      <c r="T15" s="84"/>
      <c r="U15" s="84"/>
      <c r="V15" s="84"/>
      <c r="W15" s="84"/>
      <c r="X15" s="84"/>
      <c r="Y15" s="84">
        <v>1063.99</v>
      </c>
      <c r="Z15" s="68"/>
      <c r="AA15" s="79"/>
      <c r="AB15" s="87">
        <v>42626</v>
      </c>
      <c r="AC15" s="86" t="s">
        <v>2</v>
      </c>
      <c r="AD15" s="86" t="s">
        <v>193</v>
      </c>
      <c r="AE15" s="82"/>
      <c r="AF15" s="82" t="s">
        <v>203</v>
      </c>
      <c r="AG15" s="87"/>
      <c r="AH15" s="82"/>
      <c r="AI15" s="82"/>
      <c r="AJ15" s="68"/>
      <c r="AK15" s="82"/>
      <c r="AL15" s="82"/>
      <c r="AM15" s="82"/>
      <c r="AN15" s="82"/>
      <c r="AO15" s="82"/>
      <c r="AP15" s="82">
        <v>1</v>
      </c>
      <c r="AS15" s="107">
        <v>63291</v>
      </c>
      <c r="AT15" s="107">
        <v>40111</v>
      </c>
      <c r="AU15" s="108"/>
      <c r="AV15" s="108"/>
      <c r="AW15" s="107">
        <v>42112</v>
      </c>
      <c r="AX15" s="109"/>
      <c r="AY15" s="109"/>
      <c r="AZ15" s="109">
        <v>94111</v>
      </c>
      <c r="BA15" s="109">
        <v>79111</v>
      </c>
      <c r="BB15" s="109">
        <v>10411</v>
      </c>
      <c r="BC15" s="106"/>
      <c r="BD15" s="55"/>
    </row>
    <row r="16" spans="1:57">
      <c r="A16">
        <v>5</v>
      </c>
      <c r="B16" s="68">
        <v>1</v>
      </c>
      <c r="C16" s="68">
        <v>20170300</v>
      </c>
      <c r="D16" s="79" t="s">
        <v>204</v>
      </c>
      <c r="E16" s="68" t="s">
        <v>205</v>
      </c>
      <c r="F16" s="80">
        <v>42803</v>
      </c>
      <c r="G16" s="80"/>
      <c r="H16" s="81" t="s">
        <v>189</v>
      </c>
      <c r="I16" s="70" t="s">
        <v>190</v>
      </c>
      <c r="J16" s="82"/>
      <c r="K16" s="83" t="s">
        <v>206</v>
      </c>
      <c r="L16" s="82"/>
      <c r="M16" s="68">
        <v>6</v>
      </c>
      <c r="N16" s="68">
        <v>20600745311</v>
      </c>
      <c r="O16" s="82" t="s">
        <v>198</v>
      </c>
      <c r="P16" s="84">
        <v>-13247.51</v>
      </c>
      <c r="Q16" s="84">
        <v>-2384.5500000000002</v>
      </c>
      <c r="R16" s="84"/>
      <c r="S16" s="84"/>
      <c r="T16" s="84"/>
      <c r="U16" s="84"/>
      <c r="V16" s="84"/>
      <c r="W16" s="84"/>
      <c r="X16" s="84"/>
      <c r="Y16" s="84">
        <v>-15632.060000000001</v>
      </c>
      <c r="Z16" s="68"/>
      <c r="AA16" s="79"/>
      <c r="AB16" s="87">
        <v>42702</v>
      </c>
      <c r="AC16" s="86" t="s">
        <v>2</v>
      </c>
      <c r="AD16" s="86" t="s">
        <v>193</v>
      </c>
      <c r="AE16" s="82"/>
      <c r="AF16" s="82" t="s">
        <v>207</v>
      </c>
      <c r="AG16" s="87"/>
      <c r="AH16" s="82"/>
      <c r="AI16" s="82"/>
      <c r="AJ16" s="68"/>
      <c r="AK16" s="82"/>
      <c r="AL16" s="82"/>
      <c r="AM16" s="82"/>
      <c r="AN16" s="82"/>
      <c r="AO16" s="82"/>
      <c r="AP16" s="82">
        <v>1</v>
      </c>
      <c r="AS16" s="107">
        <v>63291</v>
      </c>
      <c r="AT16" s="107">
        <v>40111</v>
      </c>
      <c r="AU16" s="108"/>
      <c r="AV16" s="108"/>
      <c r="AW16" s="107">
        <v>42112</v>
      </c>
      <c r="AX16" s="109"/>
      <c r="AY16" s="109"/>
      <c r="AZ16" s="109">
        <v>94111</v>
      </c>
      <c r="BA16" s="109">
        <v>79111</v>
      </c>
      <c r="BB16" s="109"/>
      <c r="BC16" s="106"/>
      <c r="BD16" s="55"/>
    </row>
    <row r="17" spans="1:56">
      <c r="A17">
        <v>6</v>
      </c>
      <c r="B17" s="68">
        <v>1</v>
      </c>
      <c r="C17" s="68">
        <v>20170300</v>
      </c>
      <c r="D17" s="79" t="s">
        <v>208</v>
      </c>
      <c r="E17" s="68" t="s">
        <v>209</v>
      </c>
      <c r="F17" s="80">
        <v>42803</v>
      </c>
      <c r="G17" s="80"/>
      <c r="H17" s="81" t="s">
        <v>2</v>
      </c>
      <c r="I17" s="70" t="s">
        <v>210</v>
      </c>
      <c r="J17" s="82"/>
      <c r="K17" s="83" t="s">
        <v>211</v>
      </c>
      <c r="L17" s="82"/>
      <c r="M17" s="68">
        <v>6</v>
      </c>
      <c r="N17" s="68">
        <v>20429324778</v>
      </c>
      <c r="O17" s="82" t="s">
        <v>212</v>
      </c>
      <c r="P17" s="84">
        <v>446.95</v>
      </c>
      <c r="Q17" s="84">
        <v>80.45</v>
      </c>
      <c r="R17" s="84"/>
      <c r="S17" s="84"/>
      <c r="T17" s="84"/>
      <c r="U17" s="84"/>
      <c r="V17" s="84"/>
      <c r="W17" s="84"/>
      <c r="X17" s="84"/>
      <c r="Y17" s="84">
        <v>527.4</v>
      </c>
      <c r="Z17" s="68"/>
      <c r="AA17" s="79"/>
      <c r="AB17" s="87"/>
      <c r="AC17" s="86"/>
      <c r="AD17" s="86"/>
      <c r="AE17" s="82"/>
      <c r="AF17" s="82"/>
      <c r="AG17" s="87"/>
      <c r="AH17" s="82"/>
      <c r="AI17" s="82"/>
      <c r="AJ17" s="68"/>
      <c r="AK17" s="82"/>
      <c r="AL17" s="82"/>
      <c r="AM17" s="82"/>
      <c r="AN17" s="82"/>
      <c r="AO17" s="82"/>
      <c r="AP17" s="82">
        <v>1</v>
      </c>
      <c r="AS17" s="107">
        <v>63291</v>
      </c>
      <c r="AT17" s="107">
        <v>40111</v>
      </c>
      <c r="AU17" s="108"/>
      <c r="AV17" s="108"/>
      <c r="AW17" s="107">
        <v>42112</v>
      </c>
      <c r="AX17" s="109"/>
      <c r="AY17" s="109"/>
      <c r="AZ17" s="109">
        <v>94111</v>
      </c>
      <c r="BA17" s="109">
        <v>79111</v>
      </c>
      <c r="BB17" s="109"/>
      <c r="BC17" s="106"/>
      <c r="BD17" s="55"/>
    </row>
    <row r="18" spans="1:56">
      <c r="A18">
        <v>7</v>
      </c>
      <c r="B18" s="68">
        <v>1</v>
      </c>
      <c r="C18" s="68">
        <v>20170300</v>
      </c>
      <c r="D18" s="79" t="s">
        <v>213</v>
      </c>
      <c r="E18" s="68" t="s">
        <v>214</v>
      </c>
      <c r="F18" s="80">
        <v>42803</v>
      </c>
      <c r="G18" s="80"/>
      <c r="H18" s="81" t="s">
        <v>2</v>
      </c>
      <c r="I18" s="70" t="s">
        <v>210</v>
      </c>
      <c r="J18" s="82"/>
      <c r="K18" s="83" t="s">
        <v>215</v>
      </c>
      <c r="L18" s="82"/>
      <c r="M18" s="68">
        <v>6</v>
      </c>
      <c r="N18" s="68">
        <v>20429324778</v>
      </c>
      <c r="O18" s="82" t="s">
        <v>212</v>
      </c>
      <c r="P18" s="84">
        <v>1307.75</v>
      </c>
      <c r="Q18" s="84">
        <v>235.4</v>
      </c>
      <c r="R18" s="84"/>
      <c r="S18" s="84"/>
      <c r="T18" s="84"/>
      <c r="U18" s="84"/>
      <c r="V18" s="84">
        <v>220</v>
      </c>
      <c r="W18" s="84"/>
      <c r="X18" s="84"/>
      <c r="Y18" s="84">
        <v>1763.15</v>
      </c>
      <c r="Z18" s="68"/>
      <c r="AA18" s="79"/>
      <c r="AB18" s="87"/>
      <c r="AC18" s="86"/>
      <c r="AD18" s="86"/>
      <c r="AE18" s="82"/>
      <c r="AF18" s="82"/>
      <c r="AG18" s="87"/>
      <c r="AH18" s="82"/>
      <c r="AI18" s="82"/>
      <c r="AJ18" s="68"/>
      <c r="AK18" s="82"/>
      <c r="AL18" s="82"/>
      <c r="AM18" s="82"/>
      <c r="AN18" s="82"/>
      <c r="AO18" s="82"/>
      <c r="AP18" s="82">
        <v>1</v>
      </c>
      <c r="AS18" s="104">
        <v>60111</v>
      </c>
      <c r="AT18" s="104">
        <v>40111</v>
      </c>
      <c r="AU18" s="55"/>
      <c r="AV18" s="55"/>
      <c r="AW18" s="104">
        <v>42111</v>
      </c>
      <c r="AX18" s="105">
        <v>20111</v>
      </c>
      <c r="AY18" s="105">
        <v>61111</v>
      </c>
      <c r="AZ18" s="105"/>
      <c r="BA18" s="105"/>
      <c r="BB18" s="105">
        <v>10411</v>
      </c>
      <c r="BC18" s="106"/>
      <c r="BD18" s="55"/>
    </row>
    <row r="19" spans="1:56">
      <c r="A19">
        <v>8</v>
      </c>
      <c r="B19" s="68">
        <v>1</v>
      </c>
      <c r="C19" s="68">
        <v>20170300</v>
      </c>
      <c r="D19" s="79" t="s">
        <v>216</v>
      </c>
      <c r="E19" s="68" t="s">
        <v>217</v>
      </c>
      <c r="F19" s="80">
        <v>42803</v>
      </c>
      <c r="G19" s="80"/>
      <c r="H19" s="81" t="s">
        <v>185</v>
      </c>
      <c r="I19" s="70" t="s">
        <v>218</v>
      </c>
      <c r="J19" s="82"/>
      <c r="K19" s="83">
        <v>8091</v>
      </c>
      <c r="L19" s="82"/>
      <c r="M19" s="68">
        <v>6</v>
      </c>
      <c r="N19" s="68">
        <v>20455306478</v>
      </c>
      <c r="O19" s="82" t="s">
        <v>219</v>
      </c>
      <c r="P19" s="84">
        <v>20.38</v>
      </c>
      <c r="Q19" s="84">
        <v>3.67</v>
      </c>
      <c r="R19" s="84"/>
      <c r="S19" s="84"/>
      <c r="T19" s="84"/>
      <c r="U19" s="84"/>
      <c r="V19" s="84"/>
      <c r="W19" s="84"/>
      <c r="X19" s="84"/>
      <c r="Y19" s="84">
        <v>24.049999999999997</v>
      </c>
      <c r="Z19" s="68"/>
      <c r="AA19" s="79"/>
      <c r="AB19" s="87"/>
      <c r="AC19" s="86"/>
      <c r="AD19" s="86"/>
      <c r="AE19" s="82"/>
      <c r="AF19" s="82"/>
      <c r="AG19" s="87"/>
      <c r="AH19" s="82"/>
      <c r="AI19" s="82"/>
      <c r="AJ19" s="68"/>
      <c r="AK19" s="82"/>
      <c r="AL19" s="82"/>
      <c r="AM19" s="82"/>
      <c r="AN19" s="82"/>
      <c r="AO19" s="82"/>
      <c r="AP19" s="82">
        <v>1</v>
      </c>
      <c r="AS19" s="104">
        <v>60111</v>
      </c>
      <c r="AT19" s="104">
        <v>40111</v>
      </c>
      <c r="AU19" s="55"/>
      <c r="AV19" s="55"/>
      <c r="AW19" s="104">
        <v>42111</v>
      </c>
      <c r="AX19" s="105">
        <v>20111</v>
      </c>
      <c r="AY19" s="105">
        <v>61111</v>
      </c>
      <c r="AZ19" s="105"/>
      <c r="BA19" s="105"/>
      <c r="BB19" s="105"/>
      <c r="BC19" s="106"/>
      <c r="BD19" s="55"/>
    </row>
    <row r="20" spans="1:56">
      <c r="A20">
        <v>9</v>
      </c>
      <c r="B20" s="68">
        <v>1</v>
      </c>
      <c r="C20" s="68">
        <v>20170300</v>
      </c>
      <c r="D20" s="79" t="s">
        <v>220</v>
      </c>
      <c r="E20" s="68" t="s">
        <v>221</v>
      </c>
      <c r="F20" s="80">
        <v>42803</v>
      </c>
      <c r="G20" s="80"/>
      <c r="H20" s="81" t="s">
        <v>185</v>
      </c>
      <c r="I20" s="70" t="s">
        <v>218</v>
      </c>
      <c r="J20" s="82"/>
      <c r="K20" s="83">
        <v>8092</v>
      </c>
      <c r="L20" s="82"/>
      <c r="M20" s="68">
        <v>6</v>
      </c>
      <c r="N20" s="68">
        <v>20455306478</v>
      </c>
      <c r="O20" s="82" t="s">
        <v>219</v>
      </c>
      <c r="P20" s="84">
        <v>9.32</v>
      </c>
      <c r="Q20" s="84">
        <v>1.68</v>
      </c>
      <c r="R20" s="84"/>
      <c r="S20" s="84"/>
      <c r="T20" s="84"/>
      <c r="U20" s="84"/>
      <c r="V20" s="84"/>
      <c r="W20" s="84"/>
      <c r="X20" s="84"/>
      <c r="Y20" s="84">
        <v>11</v>
      </c>
      <c r="Z20" s="68"/>
      <c r="AA20" s="79"/>
      <c r="AB20" s="87"/>
      <c r="AC20" s="86"/>
      <c r="AD20" s="86"/>
      <c r="AE20" s="82"/>
      <c r="AF20" s="82"/>
      <c r="AG20" s="87"/>
      <c r="AH20" s="82"/>
      <c r="AI20" s="82"/>
      <c r="AJ20" s="68"/>
      <c r="AK20" s="82"/>
      <c r="AL20" s="82"/>
      <c r="AM20" s="82"/>
      <c r="AN20" s="82"/>
      <c r="AO20" s="82"/>
      <c r="AP20" s="82">
        <v>1</v>
      </c>
      <c r="AS20" s="104">
        <v>60111</v>
      </c>
      <c r="AT20" s="104">
        <v>40111</v>
      </c>
      <c r="AU20" s="55"/>
      <c r="AV20" s="55"/>
      <c r="AW20" s="104">
        <v>42111</v>
      </c>
      <c r="AX20" s="105">
        <v>20111</v>
      </c>
      <c r="AY20" s="105">
        <v>61111</v>
      </c>
      <c r="AZ20" s="105"/>
      <c r="BA20" s="105"/>
      <c r="BB20" s="105">
        <v>10411</v>
      </c>
      <c r="BC20" s="106"/>
      <c r="BD20" s="55"/>
    </row>
    <row r="21" spans="1:56">
      <c r="A21">
        <v>10</v>
      </c>
      <c r="B21" s="68">
        <v>1</v>
      </c>
      <c r="C21" s="68">
        <v>20170300</v>
      </c>
      <c r="D21" s="79" t="s">
        <v>222</v>
      </c>
      <c r="E21" s="68" t="s">
        <v>223</v>
      </c>
      <c r="F21" s="80">
        <v>42804</v>
      </c>
      <c r="G21" s="80"/>
      <c r="H21" s="81" t="s">
        <v>189</v>
      </c>
      <c r="I21" s="70" t="s">
        <v>190</v>
      </c>
      <c r="J21" s="82"/>
      <c r="K21" s="83" t="s">
        <v>224</v>
      </c>
      <c r="L21" s="82"/>
      <c r="M21" s="68">
        <v>6</v>
      </c>
      <c r="N21" s="68">
        <v>20467534026</v>
      </c>
      <c r="O21" s="82" t="s">
        <v>225</v>
      </c>
      <c r="P21" s="84">
        <v>-51.9</v>
      </c>
      <c r="Q21" s="84">
        <v>-9.34</v>
      </c>
      <c r="R21" s="84"/>
      <c r="S21" s="84"/>
      <c r="T21" s="84"/>
      <c r="U21" s="84"/>
      <c r="V21" s="84"/>
      <c r="W21" s="84"/>
      <c r="X21" s="84"/>
      <c r="Y21" s="84">
        <v>-61.239999999999995</v>
      </c>
      <c r="Z21" s="68"/>
      <c r="AA21" s="79"/>
      <c r="AB21" s="87">
        <v>42345</v>
      </c>
      <c r="AC21" s="86" t="s">
        <v>2</v>
      </c>
      <c r="AD21" s="86" t="s">
        <v>193</v>
      </c>
      <c r="AE21" s="82"/>
      <c r="AF21" s="82" t="s">
        <v>226</v>
      </c>
      <c r="AG21" s="87"/>
      <c r="AH21" s="82"/>
      <c r="AI21" s="82"/>
      <c r="AJ21" s="68"/>
      <c r="AK21" s="82"/>
      <c r="AL21" s="82"/>
      <c r="AM21" s="82"/>
      <c r="AN21" s="82"/>
      <c r="AO21" s="82"/>
      <c r="AP21" s="82">
        <v>1</v>
      </c>
      <c r="AS21" s="104">
        <v>60111</v>
      </c>
      <c r="AT21" s="104">
        <v>40111</v>
      </c>
      <c r="AU21" s="55"/>
      <c r="AV21" s="55"/>
      <c r="AW21" s="104">
        <v>42111</v>
      </c>
      <c r="AX21" s="105">
        <v>20111</v>
      </c>
      <c r="AY21" s="105">
        <v>61111</v>
      </c>
      <c r="AZ21" s="105"/>
      <c r="BA21" s="105"/>
      <c r="BB21" s="105"/>
      <c r="BC21" s="106"/>
      <c r="BD21" s="55"/>
    </row>
    <row r="22" spans="1:56">
      <c r="A22">
        <v>11</v>
      </c>
      <c r="B22" s="68">
        <v>1</v>
      </c>
      <c r="C22" s="68">
        <v>20170300</v>
      </c>
      <c r="D22" s="79" t="s">
        <v>227</v>
      </c>
      <c r="E22" s="68" t="s">
        <v>228</v>
      </c>
      <c r="F22" s="80">
        <v>42804</v>
      </c>
      <c r="G22" s="80"/>
      <c r="H22" s="81" t="s">
        <v>201</v>
      </c>
      <c r="I22" s="70" t="s">
        <v>190</v>
      </c>
      <c r="J22" s="82"/>
      <c r="K22" s="83" t="s">
        <v>229</v>
      </c>
      <c r="L22" s="82"/>
      <c r="M22" s="68">
        <v>6</v>
      </c>
      <c r="N22" s="68">
        <v>20153541982</v>
      </c>
      <c r="O22" s="82" t="s">
        <v>230</v>
      </c>
      <c r="P22" s="84">
        <v>69569.47</v>
      </c>
      <c r="Q22" s="84">
        <v>12522.5</v>
      </c>
      <c r="R22" s="84"/>
      <c r="S22" s="84"/>
      <c r="T22" s="84"/>
      <c r="U22" s="84"/>
      <c r="V22" s="84"/>
      <c r="W22" s="84">
        <v>104.35</v>
      </c>
      <c r="X22" s="84"/>
      <c r="Y22" s="84">
        <v>82196.320000000007</v>
      </c>
      <c r="Z22" s="68"/>
      <c r="AA22" s="79"/>
      <c r="AB22" s="87">
        <v>42345</v>
      </c>
      <c r="AC22" s="86" t="s">
        <v>2</v>
      </c>
      <c r="AD22" s="86" t="s">
        <v>193</v>
      </c>
      <c r="AE22" s="82"/>
      <c r="AF22" s="82" t="s">
        <v>226</v>
      </c>
      <c r="AG22" s="87"/>
      <c r="AH22" s="82"/>
      <c r="AI22" s="82"/>
      <c r="AJ22" s="68"/>
      <c r="AK22" s="82"/>
      <c r="AL22" s="82"/>
      <c r="AM22" s="82"/>
      <c r="AN22" s="82"/>
      <c r="AO22" s="82"/>
      <c r="AP22" s="82">
        <v>1</v>
      </c>
      <c r="AS22" s="104">
        <v>60111</v>
      </c>
      <c r="AT22" s="104">
        <v>40111</v>
      </c>
      <c r="AU22" s="55">
        <v>40121</v>
      </c>
      <c r="AV22" s="55"/>
      <c r="AW22" s="104">
        <v>42111</v>
      </c>
      <c r="AX22" s="105">
        <v>20111</v>
      </c>
      <c r="AY22" s="105">
        <v>61111</v>
      </c>
      <c r="AZ22" s="105"/>
      <c r="BA22" s="105"/>
      <c r="BB22" s="105">
        <v>10411</v>
      </c>
      <c r="BC22" s="106"/>
      <c r="BD22" s="55"/>
    </row>
    <row r="23" spans="1:56">
      <c r="A23">
        <v>12</v>
      </c>
      <c r="B23" s="68">
        <v>1</v>
      </c>
      <c r="C23" s="68">
        <v>20170300</v>
      </c>
      <c r="D23" s="79" t="s">
        <v>231</v>
      </c>
      <c r="E23" s="68" t="s">
        <v>232</v>
      </c>
      <c r="F23" s="80">
        <v>42805</v>
      </c>
      <c r="G23" s="80"/>
      <c r="H23" s="81" t="s">
        <v>2</v>
      </c>
      <c r="I23" s="70" t="s">
        <v>193</v>
      </c>
      <c r="J23" s="82"/>
      <c r="K23" s="83" t="s">
        <v>233</v>
      </c>
      <c r="L23" s="82"/>
      <c r="M23" s="68">
        <v>6</v>
      </c>
      <c r="N23" s="68">
        <v>20467534026</v>
      </c>
      <c r="O23" s="82" t="s">
        <v>225</v>
      </c>
      <c r="P23" s="84">
        <v>1847.2</v>
      </c>
      <c r="Q23" s="84">
        <v>332.5</v>
      </c>
      <c r="R23" s="84"/>
      <c r="S23" s="84"/>
      <c r="T23" s="84"/>
      <c r="U23" s="84"/>
      <c r="V23" s="84"/>
      <c r="W23" s="84"/>
      <c r="X23" s="84">
        <v>36.944000000000003</v>
      </c>
      <c r="Y23" s="84">
        <v>2216.6439999999998</v>
      </c>
      <c r="Z23" s="68"/>
      <c r="AA23" s="79"/>
      <c r="AB23" s="87"/>
      <c r="AC23" s="86"/>
      <c r="AD23" s="86"/>
      <c r="AE23" s="82"/>
      <c r="AF23" s="82"/>
      <c r="AG23" s="87"/>
      <c r="AH23" s="82"/>
      <c r="AI23" s="82"/>
      <c r="AJ23" s="68"/>
      <c r="AK23" s="82"/>
      <c r="AL23" s="82"/>
      <c r="AM23" s="82"/>
      <c r="AN23" s="82"/>
      <c r="AO23" s="82"/>
      <c r="AP23" s="82">
        <v>1</v>
      </c>
      <c r="AS23" s="107">
        <v>63291</v>
      </c>
      <c r="AT23" s="107">
        <v>40111</v>
      </c>
      <c r="AU23" s="108"/>
      <c r="AV23" s="108">
        <v>40113</v>
      </c>
      <c r="AW23" s="107">
        <v>42112</v>
      </c>
      <c r="AX23" s="109"/>
      <c r="AY23" s="109"/>
      <c r="AZ23" s="109">
        <v>94111</v>
      </c>
      <c r="BA23" s="109">
        <v>79111</v>
      </c>
      <c r="BB23" s="109">
        <v>10411</v>
      </c>
      <c r="BC23" s="106"/>
      <c r="BD23" s="55"/>
    </row>
    <row r="24" spans="1:56">
      <c r="A24">
        <v>13</v>
      </c>
      <c r="B24" s="68">
        <v>1</v>
      </c>
      <c r="C24" s="68">
        <v>20170300</v>
      </c>
      <c r="D24" s="79" t="s">
        <v>234</v>
      </c>
      <c r="E24" s="68" t="s">
        <v>235</v>
      </c>
      <c r="F24" s="80">
        <v>42805</v>
      </c>
      <c r="G24" s="80"/>
      <c r="H24" s="81" t="s">
        <v>201</v>
      </c>
      <c r="I24" s="70" t="s">
        <v>190</v>
      </c>
      <c r="J24" s="82"/>
      <c r="K24" s="83" t="s">
        <v>236</v>
      </c>
      <c r="L24" s="82"/>
      <c r="M24" s="68">
        <v>6</v>
      </c>
      <c r="N24" s="68">
        <v>20467534026</v>
      </c>
      <c r="O24" s="82" t="s">
        <v>237</v>
      </c>
      <c r="P24" s="84">
        <v>84.74</v>
      </c>
      <c r="Q24" s="84">
        <v>15.25</v>
      </c>
      <c r="R24" s="84"/>
      <c r="S24" s="84"/>
      <c r="T24" s="84"/>
      <c r="U24" s="84"/>
      <c r="V24" s="84"/>
      <c r="W24" s="84"/>
      <c r="X24" s="84"/>
      <c r="Y24" s="84">
        <v>99.99</v>
      </c>
      <c r="Z24" s="68"/>
      <c r="AA24" s="79"/>
      <c r="AB24" s="87">
        <v>42721</v>
      </c>
      <c r="AC24" s="86" t="s">
        <v>2</v>
      </c>
      <c r="AD24" s="86" t="s">
        <v>193</v>
      </c>
      <c r="AE24" s="82"/>
      <c r="AF24" s="82" t="s">
        <v>238</v>
      </c>
      <c r="AG24" s="87"/>
      <c r="AH24" s="82"/>
      <c r="AI24" s="82"/>
      <c r="AJ24" s="68"/>
      <c r="AK24" s="82"/>
      <c r="AL24" s="82"/>
      <c r="AM24" s="82"/>
      <c r="AN24" s="82"/>
      <c r="AO24" s="82"/>
      <c r="AP24" s="82">
        <v>1</v>
      </c>
      <c r="AS24" s="107">
        <v>63291</v>
      </c>
      <c r="AT24" s="107">
        <v>40111</v>
      </c>
      <c r="AU24" s="108"/>
      <c r="AV24" s="108"/>
      <c r="AW24" s="107">
        <v>42112</v>
      </c>
      <c r="AX24" s="109"/>
      <c r="AY24" s="109"/>
      <c r="AZ24" s="109">
        <v>94111</v>
      </c>
      <c r="BA24" s="109">
        <v>79111</v>
      </c>
      <c r="BB24" s="109"/>
      <c r="BC24" s="106"/>
      <c r="BD24" s="55"/>
    </row>
    <row r="25" spans="1:56">
      <c r="A25">
        <v>14</v>
      </c>
      <c r="B25" s="68">
        <v>1</v>
      </c>
      <c r="C25" s="68">
        <v>20170300</v>
      </c>
      <c r="D25" s="79" t="s">
        <v>239</v>
      </c>
      <c r="E25" s="68" t="s">
        <v>240</v>
      </c>
      <c r="F25" s="80">
        <v>42805</v>
      </c>
      <c r="G25" s="80"/>
      <c r="H25" s="81" t="s">
        <v>189</v>
      </c>
      <c r="I25" s="70" t="s">
        <v>196</v>
      </c>
      <c r="J25" s="82"/>
      <c r="K25" s="83" t="s">
        <v>241</v>
      </c>
      <c r="L25" s="82"/>
      <c r="M25" s="68">
        <v>6</v>
      </c>
      <c r="N25" s="68">
        <v>20153541982</v>
      </c>
      <c r="O25" s="82" t="s">
        <v>230</v>
      </c>
      <c r="P25" s="84">
        <v>-111.86</v>
      </c>
      <c r="Q25" s="84">
        <v>-20.13</v>
      </c>
      <c r="R25" s="84"/>
      <c r="S25" s="84"/>
      <c r="T25" s="84"/>
      <c r="U25" s="84"/>
      <c r="V25" s="84"/>
      <c r="W25" s="84"/>
      <c r="X25" s="84"/>
      <c r="Y25" s="84">
        <v>-131.99</v>
      </c>
      <c r="Z25" s="68"/>
      <c r="AA25" s="79"/>
      <c r="AB25" s="87">
        <v>42656</v>
      </c>
      <c r="AC25" s="86" t="s">
        <v>2</v>
      </c>
      <c r="AD25" s="86" t="s">
        <v>193</v>
      </c>
      <c r="AE25" s="82"/>
      <c r="AF25" s="82" t="s">
        <v>242</v>
      </c>
      <c r="AG25" s="87"/>
      <c r="AH25" s="82"/>
      <c r="AI25" s="82"/>
      <c r="AJ25" s="68"/>
      <c r="AK25" s="82"/>
      <c r="AL25" s="82"/>
      <c r="AM25" s="82"/>
      <c r="AN25" s="82"/>
      <c r="AO25" s="82"/>
      <c r="AP25" s="82">
        <v>1</v>
      </c>
      <c r="AS25" s="107">
        <v>63291</v>
      </c>
      <c r="AT25" s="107">
        <v>40111</v>
      </c>
      <c r="AU25" s="108"/>
      <c r="AV25" s="108"/>
      <c r="AW25" s="107">
        <v>42112</v>
      </c>
      <c r="AX25" s="109"/>
      <c r="AY25" s="109"/>
      <c r="AZ25" s="109">
        <v>94111</v>
      </c>
      <c r="BA25" s="109">
        <v>79111</v>
      </c>
      <c r="BB25" s="109">
        <v>10411</v>
      </c>
      <c r="BC25" s="106"/>
      <c r="BD25" s="55"/>
    </row>
    <row r="26" spans="1:56">
      <c r="A26">
        <v>15</v>
      </c>
      <c r="B26" s="68">
        <v>1</v>
      </c>
      <c r="C26" s="68">
        <v>20170300</v>
      </c>
      <c r="D26" s="79" t="s">
        <v>243</v>
      </c>
      <c r="E26" s="68" t="s">
        <v>244</v>
      </c>
      <c r="F26" s="80">
        <v>42805</v>
      </c>
      <c r="G26" s="80"/>
      <c r="H26" s="81" t="s">
        <v>189</v>
      </c>
      <c r="I26" s="70" t="s">
        <v>190</v>
      </c>
      <c r="J26" s="82"/>
      <c r="K26" s="83" t="s">
        <v>245</v>
      </c>
      <c r="L26" s="82"/>
      <c r="M26" s="68">
        <v>6</v>
      </c>
      <c r="N26" s="68">
        <v>20467534026</v>
      </c>
      <c r="O26" s="82" t="s">
        <v>246</v>
      </c>
      <c r="P26" s="84">
        <v>-1403.73</v>
      </c>
      <c r="Q26" s="84">
        <v>-252.67</v>
      </c>
      <c r="R26" s="84"/>
      <c r="S26" s="84"/>
      <c r="T26" s="84"/>
      <c r="U26" s="84"/>
      <c r="V26" s="84"/>
      <c r="W26" s="84"/>
      <c r="X26" s="84"/>
      <c r="Y26" s="84">
        <v>-1656.4</v>
      </c>
      <c r="Z26" s="68"/>
      <c r="AA26" s="79"/>
      <c r="AB26" s="87">
        <v>42721</v>
      </c>
      <c r="AC26" s="86" t="s">
        <v>2</v>
      </c>
      <c r="AD26" s="86" t="s">
        <v>193</v>
      </c>
      <c r="AE26" s="82"/>
      <c r="AF26" s="82" t="s">
        <v>247</v>
      </c>
      <c r="AG26" s="87"/>
      <c r="AH26" s="82"/>
      <c r="AI26" s="82"/>
      <c r="AJ26" s="68"/>
      <c r="AK26" s="82"/>
      <c r="AL26" s="82"/>
      <c r="AM26" s="82"/>
      <c r="AN26" s="82"/>
      <c r="AO26" s="82"/>
      <c r="AP26" s="82">
        <v>1</v>
      </c>
      <c r="AS26" s="107">
        <v>63291</v>
      </c>
      <c r="AT26" s="107">
        <v>40111</v>
      </c>
      <c r="AU26" s="108"/>
      <c r="AV26" s="108"/>
      <c r="AW26" s="107">
        <v>42112</v>
      </c>
      <c r="AX26" s="109"/>
      <c r="AY26" s="109"/>
      <c r="AZ26" s="109">
        <v>94111</v>
      </c>
      <c r="BA26" s="109">
        <v>79111</v>
      </c>
      <c r="BB26" s="109"/>
      <c r="BC26" s="106"/>
      <c r="BD26" s="55"/>
    </row>
    <row r="27" spans="1:56">
      <c r="A27">
        <v>16</v>
      </c>
      <c r="B27" s="68">
        <v>1</v>
      </c>
      <c r="C27" s="68">
        <v>20170300</v>
      </c>
      <c r="D27" s="79" t="s">
        <v>248</v>
      </c>
      <c r="E27" s="68" t="s">
        <v>249</v>
      </c>
      <c r="F27" s="80">
        <v>42805</v>
      </c>
      <c r="G27" s="80"/>
      <c r="H27" s="81" t="s">
        <v>2</v>
      </c>
      <c r="I27" s="70" t="s">
        <v>193</v>
      </c>
      <c r="J27" s="82"/>
      <c r="K27" s="83" t="s">
        <v>250</v>
      </c>
      <c r="L27" s="82"/>
      <c r="M27" s="68">
        <v>6</v>
      </c>
      <c r="N27" s="68">
        <v>20520588486</v>
      </c>
      <c r="O27" s="82" t="s">
        <v>251</v>
      </c>
      <c r="P27" s="84">
        <v>457.2</v>
      </c>
      <c r="Q27" s="84">
        <v>82.3</v>
      </c>
      <c r="R27" s="84"/>
      <c r="S27" s="84"/>
      <c r="T27" s="84"/>
      <c r="U27" s="84"/>
      <c r="V27" s="84"/>
      <c r="W27" s="84"/>
      <c r="X27" s="84"/>
      <c r="Y27" s="84">
        <v>539.5</v>
      </c>
      <c r="Z27" s="68"/>
      <c r="AA27" s="79"/>
      <c r="AB27" s="87"/>
      <c r="AC27" s="86"/>
      <c r="AD27" s="86"/>
      <c r="AE27" s="82"/>
      <c r="AF27" s="82"/>
      <c r="AG27" s="87"/>
      <c r="AH27" s="82"/>
      <c r="AI27" s="82"/>
      <c r="AJ27" s="68"/>
      <c r="AK27" s="82"/>
      <c r="AL27" s="82"/>
      <c r="AM27" s="82"/>
      <c r="AN27" s="82"/>
      <c r="AO27" s="82"/>
      <c r="AP27" s="82">
        <v>1</v>
      </c>
      <c r="AS27" s="107">
        <v>63291</v>
      </c>
      <c r="AT27" s="107">
        <v>40111</v>
      </c>
      <c r="AU27" s="108"/>
      <c r="AV27" s="108"/>
      <c r="AW27" s="107">
        <v>42112</v>
      </c>
      <c r="AX27" s="109"/>
      <c r="AY27" s="109"/>
      <c r="AZ27" s="109">
        <v>94111</v>
      </c>
      <c r="BA27" s="109">
        <v>79111</v>
      </c>
      <c r="BB27" s="109">
        <v>10411</v>
      </c>
      <c r="BC27" s="106"/>
      <c r="BD27" s="55"/>
    </row>
    <row r="28" spans="1:56">
      <c r="A28">
        <v>17</v>
      </c>
      <c r="B28" s="68">
        <v>1</v>
      </c>
      <c r="C28" s="68">
        <v>20170300</v>
      </c>
      <c r="D28" s="79" t="s">
        <v>252</v>
      </c>
      <c r="E28" s="68" t="s">
        <v>253</v>
      </c>
      <c r="F28" s="80">
        <v>42805</v>
      </c>
      <c r="G28" s="80"/>
      <c r="H28" s="81" t="s">
        <v>2</v>
      </c>
      <c r="I28" s="70" t="s">
        <v>193</v>
      </c>
      <c r="J28" s="82"/>
      <c r="K28" s="83" t="s">
        <v>254</v>
      </c>
      <c r="L28" s="82"/>
      <c r="M28" s="68">
        <v>6</v>
      </c>
      <c r="N28" s="68">
        <v>20520588486</v>
      </c>
      <c r="O28" s="82" t="s">
        <v>251</v>
      </c>
      <c r="P28" s="84">
        <v>228.6</v>
      </c>
      <c r="Q28" s="84">
        <v>41.15</v>
      </c>
      <c r="R28" s="84"/>
      <c r="S28" s="84"/>
      <c r="T28" s="84"/>
      <c r="U28" s="84"/>
      <c r="V28" s="84"/>
      <c r="W28" s="84"/>
      <c r="X28" s="84"/>
      <c r="Y28" s="84">
        <v>269.75</v>
      </c>
      <c r="Z28" s="68"/>
      <c r="AA28" s="79"/>
      <c r="AB28" s="87"/>
      <c r="AC28" s="86"/>
      <c r="AD28" s="86"/>
      <c r="AE28" s="82"/>
      <c r="AF28" s="82"/>
      <c r="AG28" s="87"/>
      <c r="AH28" s="82"/>
      <c r="AI28" s="82"/>
      <c r="AJ28" s="68"/>
      <c r="AK28" s="82"/>
      <c r="AL28" s="82"/>
      <c r="AM28" s="82"/>
      <c r="AN28" s="82"/>
      <c r="AO28" s="82"/>
      <c r="AP28" s="82">
        <v>1</v>
      </c>
      <c r="AS28" s="68">
        <v>60111</v>
      </c>
      <c r="AT28" s="68">
        <v>40111</v>
      </c>
      <c r="AW28" s="68">
        <v>42111</v>
      </c>
      <c r="AX28" s="71">
        <v>20111</v>
      </c>
      <c r="AY28" s="105">
        <v>61111</v>
      </c>
      <c r="AZ28" s="71"/>
      <c r="BA28" s="71"/>
      <c r="BB28" s="71"/>
    </row>
    <row r="29" spans="1:56">
      <c r="A29">
        <v>18</v>
      </c>
      <c r="B29" s="68">
        <v>1</v>
      </c>
      <c r="C29" s="68">
        <v>20170300</v>
      </c>
      <c r="D29" s="79" t="s">
        <v>255</v>
      </c>
      <c r="E29" s="68" t="s">
        <v>256</v>
      </c>
      <c r="F29" s="80">
        <v>42806</v>
      </c>
      <c r="G29" s="80"/>
      <c r="H29" s="81" t="s">
        <v>201</v>
      </c>
      <c r="I29" s="70" t="s">
        <v>190</v>
      </c>
      <c r="J29" s="82"/>
      <c r="K29" s="83" t="s">
        <v>257</v>
      </c>
      <c r="L29" s="82"/>
      <c r="M29" s="68">
        <v>6</v>
      </c>
      <c r="N29" s="68">
        <v>20520588486</v>
      </c>
      <c r="O29" s="82" t="s">
        <v>251</v>
      </c>
      <c r="P29" s="84">
        <v>287.29000000000002</v>
      </c>
      <c r="Q29" s="84">
        <v>51.71</v>
      </c>
      <c r="R29" s="84"/>
      <c r="S29" s="84"/>
      <c r="T29" s="84"/>
      <c r="U29" s="84"/>
      <c r="V29" s="84"/>
      <c r="W29" s="84"/>
      <c r="X29" s="84"/>
      <c r="Y29" s="84">
        <v>339</v>
      </c>
      <c r="Z29" s="68"/>
      <c r="AA29" s="79"/>
      <c r="AB29" s="87">
        <v>42727</v>
      </c>
      <c r="AC29" s="86" t="s">
        <v>2</v>
      </c>
      <c r="AD29" s="86" t="s">
        <v>193</v>
      </c>
      <c r="AE29" s="82"/>
      <c r="AF29" s="82" t="s">
        <v>199</v>
      </c>
      <c r="AG29" s="87"/>
      <c r="AH29" s="82"/>
      <c r="AI29" s="82"/>
      <c r="AJ29" s="68"/>
      <c r="AK29" s="82"/>
      <c r="AL29" s="82"/>
      <c r="AM29" s="82"/>
      <c r="AN29" s="82"/>
      <c r="AO29" s="82"/>
      <c r="AP29" s="82">
        <v>1</v>
      </c>
      <c r="AS29" s="68">
        <v>60111</v>
      </c>
      <c r="AT29" s="68">
        <v>40111</v>
      </c>
      <c r="AW29" s="68">
        <v>42111</v>
      </c>
      <c r="AX29" s="71">
        <v>20111</v>
      </c>
      <c r="AY29" s="105">
        <v>61111</v>
      </c>
      <c r="AZ29" s="71"/>
      <c r="BA29" s="71"/>
      <c r="BB29" s="71"/>
    </row>
    <row r="30" spans="1:56">
      <c r="A30">
        <v>19</v>
      </c>
      <c r="B30" s="68">
        <v>1</v>
      </c>
      <c r="C30" s="68">
        <v>20170300</v>
      </c>
      <c r="D30" s="79" t="s">
        <v>258</v>
      </c>
      <c r="E30" s="68" t="s">
        <v>259</v>
      </c>
      <c r="F30" s="80">
        <v>42807</v>
      </c>
      <c r="G30" s="80"/>
      <c r="H30" s="81" t="s">
        <v>2</v>
      </c>
      <c r="I30" s="70" t="s">
        <v>193</v>
      </c>
      <c r="J30" s="82"/>
      <c r="K30" s="83" t="s">
        <v>260</v>
      </c>
      <c r="L30" s="82"/>
      <c r="M30" s="68">
        <v>6</v>
      </c>
      <c r="N30" s="68">
        <v>20153541982</v>
      </c>
      <c r="O30" s="82" t="s">
        <v>230</v>
      </c>
      <c r="P30" s="84">
        <v>212</v>
      </c>
      <c r="Q30" s="84">
        <v>38.159999999999997</v>
      </c>
      <c r="R30" s="84"/>
      <c r="S30" s="84"/>
      <c r="T30" s="84"/>
      <c r="U30" s="84"/>
      <c r="V30" s="84"/>
      <c r="W30" s="84"/>
      <c r="X30" s="84"/>
      <c r="Y30" s="84">
        <v>250.16</v>
      </c>
      <c r="Z30" s="68"/>
      <c r="AA30" s="79"/>
      <c r="AB30" s="87"/>
      <c r="AC30" s="86"/>
      <c r="AD30" s="86"/>
      <c r="AE30" s="82"/>
      <c r="AF30" s="82"/>
      <c r="AG30" s="87"/>
      <c r="AH30" s="82"/>
      <c r="AI30" s="82"/>
      <c r="AJ30" s="68"/>
      <c r="AK30" s="82"/>
      <c r="AL30" s="82"/>
      <c r="AM30" s="82"/>
      <c r="AN30" s="82"/>
      <c r="AO30" s="82"/>
      <c r="AP30" s="82">
        <v>1</v>
      </c>
      <c r="AS30" s="68">
        <v>60111</v>
      </c>
      <c r="AT30" s="68">
        <v>40111</v>
      </c>
      <c r="AW30" s="68">
        <v>42111</v>
      </c>
      <c r="AX30" s="71">
        <v>20111</v>
      </c>
      <c r="AY30" s="105">
        <v>61111</v>
      </c>
      <c r="AZ30" s="71"/>
      <c r="BA30" s="71"/>
      <c r="BB30" s="71">
        <v>10411</v>
      </c>
    </row>
    <row r="31" spans="1:56">
      <c r="A31">
        <v>20</v>
      </c>
      <c r="B31" s="68">
        <v>1</v>
      </c>
      <c r="C31" s="68">
        <v>20170300</v>
      </c>
      <c r="D31" s="79" t="s">
        <v>261</v>
      </c>
      <c r="E31" s="68" t="s">
        <v>262</v>
      </c>
      <c r="F31" s="80">
        <v>42807</v>
      </c>
      <c r="G31" s="80"/>
      <c r="H31" s="81" t="s">
        <v>2</v>
      </c>
      <c r="I31" s="70" t="s">
        <v>193</v>
      </c>
      <c r="J31" s="82"/>
      <c r="K31" s="83" t="s">
        <v>263</v>
      </c>
      <c r="L31" s="82"/>
      <c r="M31" s="68">
        <v>6</v>
      </c>
      <c r="N31" s="68">
        <v>20153541982</v>
      </c>
      <c r="O31" s="82" t="s">
        <v>230</v>
      </c>
      <c r="P31" s="84">
        <v>8959.14</v>
      </c>
      <c r="Q31" s="84">
        <v>1612.65</v>
      </c>
      <c r="R31" s="84"/>
      <c r="S31" s="84"/>
      <c r="T31" s="84"/>
      <c r="U31" s="84"/>
      <c r="V31" s="84"/>
      <c r="W31" s="84">
        <v>39.25</v>
      </c>
      <c r="X31" s="84"/>
      <c r="Y31" s="84">
        <v>10611.039999999999</v>
      </c>
      <c r="Z31" s="68"/>
      <c r="AA31" s="79"/>
      <c r="AB31" s="87"/>
      <c r="AC31" s="86"/>
      <c r="AD31" s="86"/>
      <c r="AE31" s="82"/>
      <c r="AF31" s="82"/>
      <c r="AG31" s="87"/>
      <c r="AH31" s="82"/>
      <c r="AI31" s="82"/>
      <c r="AJ31" s="68"/>
      <c r="AK31" s="82"/>
      <c r="AL31" s="82"/>
      <c r="AM31" s="82"/>
      <c r="AN31" s="82"/>
      <c r="AO31" s="82"/>
      <c r="AP31" s="82">
        <v>1</v>
      </c>
      <c r="AS31" s="107">
        <v>63291</v>
      </c>
      <c r="AT31" s="110">
        <v>40111</v>
      </c>
      <c r="AU31" s="111">
        <v>40121</v>
      </c>
      <c r="AV31" s="111"/>
      <c r="AW31" s="107">
        <v>42112</v>
      </c>
      <c r="AX31" s="112"/>
      <c r="AY31" s="112"/>
      <c r="AZ31" s="109">
        <v>94111</v>
      </c>
      <c r="BA31" s="109">
        <v>79111</v>
      </c>
      <c r="BB31" s="112"/>
    </row>
    <row r="32" spans="1:56">
      <c r="A32">
        <v>21</v>
      </c>
      <c r="B32" s="68">
        <v>1</v>
      </c>
      <c r="C32" s="68">
        <v>20170300</v>
      </c>
      <c r="D32" s="79" t="s">
        <v>264</v>
      </c>
      <c r="E32" s="68" t="s">
        <v>265</v>
      </c>
      <c r="F32" s="80">
        <v>42807</v>
      </c>
      <c r="G32" s="80"/>
      <c r="H32" s="81" t="s">
        <v>2</v>
      </c>
      <c r="I32" s="70" t="s">
        <v>193</v>
      </c>
      <c r="J32" s="82"/>
      <c r="K32" s="83" t="s">
        <v>266</v>
      </c>
      <c r="L32" s="82"/>
      <c r="M32" s="68">
        <v>6</v>
      </c>
      <c r="N32" s="68">
        <v>20153541982</v>
      </c>
      <c r="O32" s="82" t="s">
        <v>230</v>
      </c>
      <c r="P32" s="84">
        <v>10169.799999999999</v>
      </c>
      <c r="Q32" s="84">
        <v>1830.56</v>
      </c>
      <c r="R32" s="84"/>
      <c r="S32" s="84"/>
      <c r="T32" s="84"/>
      <c r="U32" s="84"/>
      <c r="V32" s="84"/>
      <c r="W32" s="84"/>
      <c r="X32" s="84">
        <v>200.34</v>
      </c>
      <c r="Y32" s="84">
        <v>12200.699999999999</v>
      </c>
      <c r="Z32" s="68"/>
      <c r="AA32" s="79"/>
      <c r="AB32" s="87"/>
      <c r="AC32" s="86"/>
      <c r="AD32" s="86"/>
      <c r="AE32" s="82"/>
      <c r="AF32" s="82"/>
      <c r="AG32" s="87"/>
      <c r="AH32" s="82"/>
      <c r="AI32" s="82"/>
      <c r="AJ32" s="68"/>
      <c r="AK32" s="82"/>
      <c r="AL32" s="82"/>
      <c r="AM32" s="82"/>
      <c r="AN32" s="82"/>
      <c r="AO32" s="82"/>
      <c r="AP32" s="82">
        <v>1</v>
      </c>
      <c r="AS32" s="68">
        <v>60111</v>
      </c>
      <c r="AT32" s="68">
        <v>40111</v>
      </c>
      <c r="AV32" s="69">
        <v>40113</v>
      </c>
      <c r="AW32" s="68">
        <v>42111</v>
      </c>
      <c r="AX32" s="71">
        <v>20111</v>
      </c>
      <c r="AY32" s="105">
        <v>61111</v>
      </c>
      <c r="AZ32" s="71"/>
      <c r="BA32" s="71"/>
      <c r="BB32" s="71">
        <v>10411</v>
      </c>
    </row>
    <row r="33" spans="1:54">
      <c r="A33">
        <v>22</v>
      </c>
      <c r="B33" s="68">
        <v>1</v>
      </c>
      <c r="C33" s="68">
        <v>20170300</v>
      </c>
      <c r="D33" s="79" t="s">
        <v>267</v>
      </c>
      <c r="E33" s="68" t="s">
        <v>268</v>
      </c>
      <c r="F33" s="80">
        <v>42807</v>
      </c>
      <c r="G33" s="80"/>
      <c r="H33" s="81" t="s">
        <v>2</v>
      </c>
      <c r="I33" s="70" t="s">
        <v>193</v>
      </c>
      <c r="J33" s="82"/>
      <c r="K33" s="83" t="s">
        <v>269</v>
      </c>
      <c r="L33" s="82"/>
      <c r="M33" s="68">
        <v>6</v>
      </c>
      <c r="N33" s="68">
        <v>20153541982</v>
      </c>
      <c r="O33" s="82" t="s">
        <v>230</v>
      </c>
      <c r="P33" s="84">
        <v>3000</v>
      </c>
      <c r="Q33" s="84">
        <v>540</v>
      </c>
      <c r="R33" s="84"/>
      <c r="S33" s="84"/>
      <c r="T33" s="84"/>
      <c r="U33" s="84"/>
      <c r="V33" s="84">
        <v>80</v>
      </c>
      <c r="W33" s="84"/>
      <c r="X33" s="84"/>
      <c r="Y33" s="84">
        <v>3620</v>
      </c>
      <c r="Z33" s="68"/>
      <c r="AA33" s="79"/>
      <c r="AB33" s="87"/>
      <c r="AC33" s="86"/>
      <c r="AD33" s="86"/>
      <c r="AE33" s="82"/>
      <c r="AF33" s="82"/>
      <c r="AG33" s="87"/>
      <c r="AH33" s="82"/>
      <c r="AI33" s="82"/>
      <c r="AJ33" s="68"/>
      <c r="AK33" s="82"/>
      <c r="AL33" s="82"/>
      <c r="AM33" s="82"/>
      <c r="AN33" s="82"/>
      <c r="AO33" s="82"/>
      <c r="AP33" s="82">
        <v>1</v>
      </c>
      <c r="AS33" s="107">
        <v>63291</v>
      </c>
      <c r="AT33" s="110">
        <v>40111</v>
      </c>
      <c r="AU33" s="111"/>
      <c r="AV33" s="111"/>
      <c r="AW33" s="107">
        <v>42112</v>
      </c>
      <c r="AX33" s="112"/>
      <c r="AY33" s="112"/>
      <c r="AZ33" s="109">
        <v>94111</v>
      </c>
      <c r="BA33" s="109">
        <v>79111</v>
      </c>
      <c r="BB33" s="112">
        <v>10411</v>
      </c>
    </row>
    <row r="34" spans="1:54">
      <c r="A34">
        <v>23</v>
      </c>
      <c r="B34" s="68">
        <v>1</v>
      </c>
      <c r="C34" s="68">
        <v>20170300</v>
      </c>
      <c r="D34" s="79" t="s">
        <v>270</v>
      </c>
      <c r="E34" s="68" t="s">
        <v>271</v>
      </c>
      <c r="F34" s="80">
        <v>42807</v>
      </c>
      <c r="G34" s="80"/>
      <c r="H34" s="81" t="s">
        <v>2</v>
      </c>
      <c r="I34" s="70" t="s">
        <v>272</v>
      </c>
      <c r="J34" s="82"/>
      <c r="K34" s="83" t="s">
        <v>273</v>
      </c>
      <c r="L34" s="82"/>
      <c r="M34" s="68">
        <v>6</v>
      </c>
      <c r="N34" s="68">
        <v>20153541982</v>
      </c>
      <c r="O34" s="82" t="s">
        <v>230</v>
      </c>
      <c r="P34" s="84">
        <v>7881.35</v>
      </c>
      <c r="Q34" s="84">
        <v>1418.64</v>
      </c>
      <c r="R34" s="84"/>
      <c r="S34" s="84"/>
      <c r="T34" s="84"/>
      <c r="U34" s="84"/>
      <c r="V34" s="84"/>
      <c r="W34" s="84"/>
      <c r="X34" s="84"/>
      <c r="Y34" s="84">
        <v>9299.99</v>
      </c>
      <c r="Z34" s="68"/>
      <c r="AA34" s="79"/>
      <c r="AB34" s="87"/>
      <c r="AC34" s="86"/>
      <c r="AD34" s="86"/>
      <c r="AE34" s="82"/>
      <c r="AF34" s="82"/>
      <c r="AG34" s="87">
        <v>42755</v>
      </c>
      <c r="AH34" s="82">
        <v>61997742</v>
      </c>
      <c r="AI34" s="82"/>
      <c r="AJ34" s="68"/>
      <c r="AK34" s="82"/>
      <c r="AL34" s="82"/>
      <c r="AM34" s="82"/>
      <c r="AN34" s="82"/>
      <c r="AO34" s="82"/>
      <c r="AP34" s="82">
        <v>1</v>
      </c>
      <c r="AS34" s="68">
        <v>60111</v>
      </c>
      <c r="AT34" s="68">
        <v>40111</v>
      </c>
      <c r="AW34" s="68">
        <v>42111</v>
      </c>
      <c r="AX34" s="71">
        <v>20111</v>
      </c>
      <c r="AY34" s="105">
        <v>61111</v>
      </c>
      <c r="AZ34" s="71"/>
      <c r="BA34" s="71"/>
      <c r="BB34" s="71"/>
    </row>
    <row r="35" spans="1:5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 s="68"/>
      <c r="AT35" s="68"/>
      <c r="AW35" s="68"/>
      <c r="AX35" s="71"/>
      <c r="AY35" s="71"/>
      <c r="BB35" s="71"/>
    </row>
    <row r="36" spans="1:5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 s="68"/>
      <c r="AT36" s="68"/>
      <c r="AW36" s="68"/>
      <c r="AX36" s="71"/>
      <c r="AY36" s="71"/>
      <c r="BB36" s="71"/>
    </row>
    <row r="37" spans="1:5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 s="68"/>
      <c r="AT37" s="68"/>
      <c r="AW37" s="68"/>
      <c r="AX37" s="71"/>
      <c r="AY37" s="71"/>
      <c r="BB37" s="71"/>
    </row>
    <row r="38" spans="1:5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 s="68"/>
      <c r="AT38" s="68"/>
      <c r="AW38" s="68"/>
      <c r="AX38" s="71"/>
      <c r="AY38" s="71"/>
      <c r="BB38" s="71"/>
    </row>
    <row r="39" spans="1:5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 s="68"/>
      <c r="AT39" s="68"/>
      <c r="AW39" s="68"/>
      <c r="AX39" s="71"/>
      <c r="AY39" s="71"/>
      <c r="BB39" s="71"/>
    </row>
    <row r="40" spans="1:5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 s="68"/>
      <c r="AT40" s="68"/>
      <c r="AW40" s="68"/>
      <c r="AX40" s="71"/>
      <c r="AY40" s="71"/>
      <c r="BB40" s="71"/>
    </row>
    <row r="41" spans="1:5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 s="68"/>
      <c r="AT41" s="68"/>
      <c r="AW41" s="68"/>
      <c r="AX41" s="71"/>
      <c r="AY41" s="71"/>
      <c r="BB41" s="71"/>
    </row>
    <row r="42" spans="1:5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 s="68"/>
      <c r="AT42" s="68"/>
      <c r="AV42" s="68"/>
      <c r="AW42" s="68"/>
      <c r="AX42" s="71"/>
      <c r="AY42" s="71"/>
      <c r="BB42" s="71"/>
    </row>
    <row r="43" spans="1:5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 s="68"/>
      <c r="AT43" s="68"/>
      <c r="AW43" s="68"/>
      <c r="AX43" s="71"/>
      <c r="AY43" s="71"/>
      <c r="BB43" s="71"/>
    </row>
    <row r="44" spans="1:5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 s="68"/>
      <c r="AT44" s="68"/>
      <c r="AV44" s="68"/>
      <c r="AW44" s="68"/>
      <c r="AX44" s="71"/>
      <c r="AY44" s="71"/>
      <c r="BB44" s="71"/>
    </row>
  </sheetData>
  <mergeCells count="50">
    <mergeCell ref="AK9:AK11"/>
    <mergeCell ref="AL9:AL11"/>
    <mergeCell ref="AM9:AM11"/>
    <mergeCell ref="A8:A11"/>
    <mergeCell ref="O10:O11"/>
    <mergeCell ref="B9:B11"/>
    <mergeCell ref="C9:C11"/>
    <mergeCell ref="D9:D11"/>
    <mergeCell ref="E9:E11"/>
    <mergeCell ref="M9:O9"/>
    <mergeCell ref="M10:N10"/>
    <mergeCell ref="F9:L9"/>
    <mergeCell ref="F10:F11"/>
    <mergeCell ref="G10:G11"/>
    <mergeCell ref="H10:H11"/>
    <mergeCell ref="I10:I11"/>
    <mergeCell ref="J10:J11"/>
    <mergeCell ref="K10:K11"/>
    <mergeCell ref="AP9:AP11"/>
    <mergeCell ref="B4:C4"/>
    <mergeCell ref="B5:C5"/>
    <mergeCell ref="B6:C6"/>
    <mergeCell ref="D4:F4"/>
    <mergeCell ref="D5:F5"/>
    <mergeCell ref="Z9:AA10"/>
    <mergeCell ref="L10:L11"/>
    <mergeCell ref="AG9:AH10"/>
    <mergeCell ref="AI9:AI11"/>
    <mergeCell ref="P9:Q10"/>
    <mergeCell ref="R9:S10"/>
    <mergeCell ref="T9:U10"/>
    <mergeCell ref="Y9:Y11"/>
    <mergeCell ref="AB9:AF10"/>
    <mergeCell ref="AN9:AN11"/>
    <mergeCell ref="A1:AP2"/>
    <mergeCell ref="D6:F6"/>
    <mergeCell ref="AZ10:BA10"/>
    <mergeCell ref="AS8:BB9"/>
    <mergeCell ref="AV10:AV11"/>
    <mergeCell ref="AW10:AW11"/>
    <mergeCell ref="AS10:AS11"/>
    <mergeCell ref="AT10:AT11"/>
    <mergeCell ref="AU10:AU11"/>
    <mergeCell ref="BB10:BB11"/>
    <mergeCell ref="AX10:AY10"/>
    <mergeCell ref="AO9:AO11"/>
    <mergeCell ref="V9:V11"/>
    <mergeCell ref="W9:W11"/>
    <mergeCell ref="X9:X11"/>
    <mergeCell ref="AJ9:AJ11"/>
  </mergeCells>
  <pageMargins left="0.7" right="0.7" top="0.75" bottom="0.75" header="0.3" footer="0.3"/>
  <pageSetup orientation="portrait" r:id="rId1"/>
  <ignoredErrors>
    <ignoredError sqref="AZ1:AZ5" formula="1"/>
  </ignoredErrors>
  <drawing r:id="rId2"/>
  <legacyDrawing r:id="rId3"/>
  <controls>
    <mc:AlternateContent xmlns:mc="http://schemas.openxmlformats.org/markup-compatibility/2006">
      <mc:Choice Requires="x14">
        <control shapeId="2061" r:id="rId4" name="CommandButton4">
          <controlPr defaultSize="0" autoLine="0" r:id="rId5">
            <anchor moveWithCells="1">
              <from>
                <xdr:col>9</xdr:col>
                <xdr:colOff>95250</xdr:colOff>
                <xdr:row>3</xdr:row>
                <xdr:rowOff>171450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2061" r:id="rId4" name="CommandButton4"/>
      </mc:Fallback>
    </mc:AlternateContent>
    <mc:AlternateContent xmlns:mc="http://schemas.openxmlformats.org/markup-compatibility/2006">
      <mc:Choice Requires="x14">
        <control shapeId="2060" r:id="rId6" name="CommandButton3">
          <controlPr defaultSize="0" autoLine="0" r:id="rId7">
            <anchor moveWithCells="1">
              <from>
                <xdr:col>6</xdr:col>
                <xdr:colOff>514350</xdr:colOff>
                <xdr:row>3</xdr:row>
                <xdr:rowOff>171450</xdr:rowOff>
              </from>
              <to>
                <xdr:col>8</xdr:col>
                <xdr:colOff>1333500</xdr:colOff>
                <xdr:row>6</xdr:row>
                <xdr:rowOff>47625</xdr:rowOff>
              </to>
            </anchor>
          </controlPr>
        </control>
      </mc:Choice>
      <mc:Fallback>
        <control shapeId="2060" r:id="rId6" name="CommandButton3"/>
      </mc:Fallback>
    </mc:AlternateContent>
    <mc:AlternateContent xmlns:mc="http://schemas.openxmlformats.org/markup-compatibility/2006">
      <mc:Choice Requires="x14">
        <control shapeId="2059" r:id="rId8" name="CommandButton2">
          <controlPr defaultSize="0" autoLine="0" r:id="rId9">
            <anchor moveWithCells="1">
              <from>
                <xdr:col>54</xdr:col>
                <xdr:colOff>219075</xdr:colOff>
                <xdr:row>9</xdr:row>
                <xdr:rowOff>590550</xdr:rowOff>
              </from>
              <to>
                <xdr:col>56</xdr:col>
                <xdr:colOff>571500</xdr:colOff>
                <xdr:row>10</xdr:row>
                <xdr:rowOff>447675</xdr:rowOff>
              </to>
            </anchor>
          </controlPr>
        </control>
      </mc:Choice>
      <mc:Fallback>
        <control shapeId="2059" r:id="rId8" name="CommandButton2"/>
      </mc:Fallback>
    </mc:AlternateContent>
    <mc:AlternateContent xmlns:mc="http://schemas.openxmlformats.org/markup-compatibility/2006">
      <mc:Choice Requires="x14">
        <control shapeId="2058" r:id="rId10" name="CommandButton1">
          <controlPr defaultSize="0" autoLine="0" r:id="rId11">
            <anchor moveWithCells="1">
              <from>
                <xdr:col>54</xdr:col>
                <xdr:colOff>219075</xdr:colOff>
                <xdr:row>8</xdr:row>
                <xdr:rowOff>438150</xdr:rowOff>
              </from>
              <to>
                <xdr:col>56</xdr:col>
                <xdr:colOff>571500</xdr:colOff>
                <xdr:row>9</xdr:row>
                <xdr:rowOff>476250</xdr:rowOff>
              </to>
            </anchor>
          </controlPr>
        </control>
      </mc:Choice>
      <mc:Fallback>
        <control shapeId="2058" r:id="rId10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A1:AK18"/>
  <sheetViews>
    <sheetView showGridLines="0" zoomScaleNormal="100" workbookViewId="0">
      <selection activeCell="D4" sqref="D4:F4"/>
    </sheetView>
  </sheetViews>
  <sheetFormatPr baseColWidth="10" defaultColWidth="11.42578125" defaultRowHeight="15"/>
  <cols>
    <col min="1" max="1" width="4.5703125" style="11" customWidth="1"/>
    <col min="2" max="2" width="11.42578125" style="10"/>
    <col min="3" max="3" width="13" style="10" customWidth="1"/>
    <col min="4" max="4" width="19.28515625" style="10" customWidth="1"/>
    <col min="5" max="5" width="11.42578125" style="10" customWidth="1"/>
    <col min="6" max="6" width="12.140625" style="10" customWidth="1"/>
    <col min="7" max="7" width="8" style="10" customWidth="1"/>
    <col min="8" max="8" width="11.85546875" style="10" bestFit="1" customWidth="1"/>
    <col min="9" max="9" width="11.42578125" style="10"/>
    <col min="10" max="10" width="13" style="10" customWidth="1"/>
    <col min="11" max="11" width="15.42578125" style="10" customWidth="1"/>
    <col min="12" max="16" width="16.28515625" style="10" customWidth="1"/>
    <col min="17" max="17" width="15" style="10" customWidth="1"/>
    <col min="18" max="18" width="11.42578125" style="10"/>
    <col min="19" max="20" width="10.7109375" style="10" customWidth="1"/>
    <col min="21" max="21" width="40.42578125" style="10" customWidth="1"/>
    <col min="22" max="22" width="35.28515625" style="10" customWidth="1"/>
    <col min="23" max="23" width="19.85546875" style="10" customWidth="1"/>
    <col min="24" max="24" width="25.85546875" style="10" customWidth="1"/>
    <col min="25" max="25" width="39.5703125" style="10" customWidth="1"/>
    <col min="26" max="26" width="13.7109375" style="10" customWidth="1"/>
    <col min="27" max="34" width="20" style="10" customWidth="1"/>
    <col min="35" max="35" width="17.5703125" style="10" customWidth="1"/>
    <col min="36" max="37" width="20" style="10" customWidth="1"/>
    <col min="38" max="38" width="11.85546875" style="10" bestFit="1" customWidth="1"/>
    <col min="39" max="16384" width="11.42578125" style="10"/>
  </cols>
  <sheetData>
    <row r="1" spans="1:37" s="21" customFormat="1" ht="4.5" customHeight="1">
      <c r="A1" s="35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</row>
    <row r="2" spans="1:37" s="21" customFormat="1" ht="30" customHeight="1">
      <c r="A2" s="35"/>
      <c r="B2" s="192" t="s">
        <v>57</v>
      </c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</row>
    <row r="3" spans="1:37" s="21" customFormat="1" ht="5.25" customHeight="1">
      <c r="A3" s="26"/>
      <c r="B3" s="33"/>
      <c r="C3" s="33"/>
      <c r="D3" s="32"/>
      <c r="E3" s="32"/>
      <c r="F3" s="32"/>
      <c r="G3" s="32"/>
    </row>
    <row r="4" spans="1:37" s="21" customFormat="1" ht="18.75">
      <c r="A4" s="26"/>
      <c r="B4" s="149" t="s">
        <v>58</v>
      </c>
      <c r="C4" s="149"/>
      <c r="D4" s="193"/>
      <c r="E4" s="194"/>
      <c r="F4" s="194"/>
      <c r="G4" s="30"/>
      <c r="H4" s="26"/>
      <c r="I4" s="26"/>
    </row>
    <row r="5" spans="1:37" s="21" customFormat="1" ht="18.75">
      <c r="A5" s="26"/>
      <c r="B5" s="149" t="s">
        <v>59</v>
      </c>
      <c r="C5" s="149"/>
      <c r="D5" s="195"/>
      <c r="E5" s="195"/>
      <c r="F5" s="195"/>
      <c r="G5" s="30"/>
      <c r="H5" s="26"/>
      <c r="I5" s="26"/>
    </row>
    <row r="6" spans="1:37" s="21" customFormat="1" ht="18.75">
      <c r="A6" s="26"/>
      <c r="B6" s="149" t="s">
        <v>60</v>
      </c>
      <c r="C6" s="149"/>
      <c r="D6" s="195"/>
      <c r="E6" s="195"/>
      <c r="F6" s="195"/>
      <c r="G6" s="196"/>
      <c r="H6" s="28"/>
      <c r="I6" s="26"/>
    </row>
    <row r="7" spans="1:37" s="21" customFormat="1" ht="15" customHeight="1">
      <c r="A7" s="26"/>
      <c r="B7" s="27"/>
      <c r="C7" s="26"/>
    </row>
    <row r="8" spans="1:37" s="21" customFormat="1" ht="15.75" customHeight="1" thickBot="1">
      <c r="A8" s="181" t="s">
        <v>61</v>
      </c>
      <c r="B8" s="24">
        <v>36</v>
      </c>
      <c r="C8" s="23">
        <v>1</v>
      </c>
      <c r="D8" s="23">
        <v>2</v>
      </c>
      <c r="E8" s="23">
        <v>3</v>
      </c>
      <c r="F8" s="23">
        <v>4</v>
      </c>
      <c r="G8" s="23">
        <v>5</v>
      </c>
      <c r="H8" s="23">
        <v>6</v>
      </c>
      <c r="I8" s="23">
        <v>7</v>
      </c>
      <c r="J8" s="23">
        <v>8</v>
      </c>
      <c r="K8" s="23">
        <v>9</v>
      </c>
      <c r="L8" s="23">
        <v>10</v>
      </c>
      <c r="M8" s="23">
        <v>11</v>
      </c>
      <c r="N8" s="23">
        <v>12</v>
      </c>
      <c r="O8" s="23">
        <v>13</v>
      </c>
      <c r="P8" s="23">
        <v>14</v>
      </c>
      <c r="Q8" s="23">
        <v>15</v>
      </c>
      <c r="R8" s="23">
        <v>16</v>
      </c>
      <c r="S8" s="23">
        <v>17</v>
      </c>
      <c r="T8" s="23">
        <v>18</v>
      </c>
      <c r="U8" s="23">
        <v>19</v>
      </c>
      <c r="V8" s="23">
        <v>20</v>
      </c>
      <c r="W8" s="23">
        <v>21</v>
      </c>
      <c r="X8" s="23">
        <v>22</v>
      </c>
      <c r="Y8" s="23">
        <v>23</v>
      </c>
      <c r="Z8" s="23">
        <v>24</v>
      </c>
      <c r="AA8" s="23">
        <v>25</v>
      </c>
      <c r="AB8" s="23">
        <v>26</v>
      </c>
      <c r="AC8" s="23">
        <v>27</v>
      </c>
      <c r="AD8" s="23">
        <v>28</v>
      </c>
      <c r="AE8" s="23">
        <v>29</v>
      </c>
      <c r="AF8" s="23">
        <v>30</v>
      </c>
      <c r="AG8" s="23">
        <v>31</v>
      </c>
      <c r="AH8" s="23">
        <v>32</v>
      </c>
      <c r="AI8" s="23">
        <v>33</v>
      </c>
      <c r="AJ8" s="23">
        <v>34</v>
      </c>
      <c r="AK8" s="23">
        <v>35</v>
      </c>
    </row>
    <row r="9" spans="1:37" s="21" customFormat="1" ht="35.25" customHeight="1">
      <c r="A9" s="181"/>
      <c r="B9" s="182" t="s">
        <v>62</v>
      </c>
      <c r="C9" s="185" t="s">
        <v>63</v>
      </c>
      <c r="D9" s="185" t="s">
        <v>64</v>
      </c>
      <c r="E9" s="188" t="s">
        <v>65</v>
      </c>
      <c r="F9" s="191" t="s">
        <v>49</v>
      </c>
      <c r="G9" s="191"/>
      <c r="H9" s="191"/>
      <c r="I9" s="191"/>
      <c r="J9" s="165" t="s">
        <v>66</v>
      </c>
      <c r="K9" s="165" t="s">
        <v>67</v>
      </c>
      <c r="L9" s="165" t="s">
        <v>41</v>
      </c>
      <c r="M9" s="197" t="s">
        <v>68</v>
      </c>
      <c r="N9" s="198"/>
      <c r="O9" s="198"/>
      <c r="P9" s="198"/>
      <c r="Q9" s="198"/>
      <c r="R9" s="198"/>
      <c r="S9" s="199"/>
      <c r="T9" s="200" t="s">
        <v>69</v>
      </c>
      <c r="U9" s="201"/>
      <c r="V9" s="201"/>
      <c r="W9" s="202"/>
      <c r="X9" s="201" t="s">
        <v>70</v>
      </c>
      <c r="Y9" s="201"/>
      <c r="Z9" s="203"/>
      <c r="AA9" s="179" t="s">
        <v>71</v>
      </c>
      <c r="AB9" s="165" t="s">
        <v>72</v>
      </c>
      <c r="AC9" s="165" t="s">
        <v>73</v>
      </c>
      <c r="AD9" s="165" t="s">
        <v>74</v>
      </c>
      <c r="AE9" s="165" t="s">
        <v>75</v>
      </c>
      <c r="AF9" s="165" t="s">
        <v>76</v>
      </c>
      <c r="AG9" s="165" t="s">
        <v>77</v>
      </c>
      <c r="AH9" s="165" t="s">
        <v>78</v>
      </c>
      <c r="AI9" s="165" t="s">
        <v>79</v>
      </c>
      <c r="AJ9" s="165" t="s">
        <v>80</v>
      </c>
      <c r="AK9" s="165" t="s">
        <v>81</v>
      </c>
    </row>
    <row r="10" spans="1:37" s="21" customFormat="1" ht="49.5" customHeight="1">
      <c r="A10" s="181"/>
      <c r="B10" s="183"/>
      <c r="C10" s="186"/>
      <c r="D10" s="186"/>
      <c r="E10" s="189"/>
      <c r="F10" s="168" t="s">
        <v>82</v>
      </c>
      <c r="G10" s="168" t="s">
        <v>83</v>
      </c>
      <c r="H10" s="170" t="s">
        <v>84</v>
      </c>
      <c r="I10" s="170" t="s">
        <v>85</v>
      </c>
      <c r="J10" s="166"/>
      <c r="K10" s="166"/>
      <c r="L10" s="166"/>
      <c r="M10" s="172" t="s">
        <v>83</v>
      </c>
      <c r="N10" s="177" t="s">
        <v>86</v>
      </c>
      <c r="O10" s="177" t="s">
        <v>87</v>
      </c>
      <c r="P10" s="172" t="s">
        <v>88</v>
      </c>
      <c r="Q10" s="178" t="s">
        <v>89</v>
      </c>
      <c r="R10" s="175" t="s">
        <v>90</v>
      </c>
      <c r="S10" s="176"/>
      <c r="T10" s="168" t="s">
        <v>91</v>
      </c>
      <c r="U10" s="168" t="s">
        <v>92</v>
      </c>
      <c r="V10" s="173" t="s">
        <v>93</v>
      </c>
      <c r="W10" s="173" t="s">
        <v>94</v>
      </c>
      <c r="X10" s="173" t="s">
        <v>95</v>
      </c>
      <c r="Y10" s="173" t="s">
        <v>92</v>
      </c>
      <c r="Z10" s="173" t="s">
        <v>96</v>
      </c>
      <c r="AA10" s="180"/>
      <c r="AB10" s="166" t="s">
        <v>72</v>
      </c>
      <c r="AC10" s="166" t="s">
        <v>73</v>
      </c>
      <c r="AD10" s="166" t="s">
        <v>74</v>
      </c>
      <c r="AE10" s="166" t="s">
        <v>75</v>
      </c>
      <c r="AF10" s="166" t="s">
        <v>76</v>
      </c>
      <c r="AG10" s="166"/>
      <c r="AH10" s="166"/>
      <c r="AI10" s="166"/>
      <c r="AJ10" s="166"/>
      <c r="AK10" s="166"/>
    </row>
    <row r="11" spans="1:37" s="21" customFormat="1" ht="33.75">
      <c r="A11" s="181"/>
      <c r="B11" s="184"/>
      <c r="C11" s="187"/>
      <c r="D11" s="187"/>
      <c r="E11" s="190"/>
      <c r="F11" s="169"/>
      <c r="G11" s="169"/>
      <c r="H11" s="171"/>
      <c r="I11" s="171"/>
      <c r="J11" s="167"/>
      <c r="K11" s="167"/>
      <c r="L11" s="167"/>
      <c r="M11" s="169"/>
      <c r="N11" s="171"/>
      <c r="O11" s="171"/>
      <c r="P11" s="169"/>
      <c r="Q11" s="174"/>
      <c r="R11" s="22" t="s">
        <v>97</v>
      </c>
      <c r="S11" s="22" t="s">
        <v>98</v>
      </c>
      <c r="T11" s="169"/>
      <c r="U11" s="169"/>
      <c r="V11" s="174"/>
      <c r="W11" s="174"/>
      <c r="X11" s="174"/>
      <c r="Y11" s="174"/>
      <c r="Z11" s="174"/>
      <c r="AA11" s="174"/>
      <c r="AB11" s="167" t="s">
        <v>72</v>
      </c>
      <c r="AC11" s="167" t="s">
        <v>73</v>
      </c>
      <c r="AD11" s="167" t="s">
        <v>74</v>
      </c>
      <c r="AE11" s="167" t="s">
        <v>75</v>
      </c>
      <c r="AF11" s="167" t="s">
        <v>76</v>
      </c>
      <c r="AG11" s="167"/>
      <c r="AH11" s="167"/>
      <c r="AI11" s="167"/>
      <c r="AJ11" s="167"/>
      <c r="AK11" s="167"/>
    </row>
    <row r="12" spans="1:37" s="21" customFormat="1">
      <c r="A12" s="19">
        <v>1</v>
      </c>
      <c r="B12" s="18">
        <v>0</v>
      </c>
      <c r="C12" s="18">
        <v>20160100</v>
      </c>
      <c r="D12" s="36" t="s">
        <v>99</v>
      </c>
      <c r="E12" s="18" t="s">
        <v>7</v>
      </c>
      <c r="F12" s="14">
        <v>42399</v>
      </c>
      <c r="G12" s="13" t="s">
        <v>100</v>
      </c>
      <c r="H12" s="12" t="s">
        <v>101</v>
      </c>
      <c r="I12" s="12">
        <v>100</v>
      </c>
      <c r="J12" s="16">
        <v>10000</v>
      </c>
      <c r="K12" s="15"/>
      <c r="L12" s="16">
        <v>10000</v>
      </c>
      <c r="M12" s="13" t="s">
        <v>102</v>
      </c>
      <c r="N12" s="13" t="s">
        <v>103</v>
      </c>
      <c r="O12" s="12">
        <v>2015</v>
      </c>
      <c r="P12" s="12">
        <v>55948</v>
      </c>
      <c r="Q12" s="16">
        <v>1800</v>
      </c>
      <c r="R12" s="12" t="s">
        <v>4</v>
      </c>
      <c r="S12" s="20">
        <v>3.2</v>
      </c>
      <c r="T12" s="12">
        <v>9249</v>
      </c>
      <c r="U12" s="17" t="s">
        <v>104</v>
      </c>
      <c r="V12" s="17" t="s">
        <v>105</v>
      </c>
      <c r="W12" s="12">
        <v>1598742</v>
      </c>
      <c r="X12" s="12">
        <v>20568335369</v>
      </c>
      <c r="Y12" s="17" t="s">
        <v>106</v>
      </c>
      <c r="Z12" s="12">
        <v>9589</v>
      </c>
      <c r="AA12" s="13" t="s">
        <v>2</v>
      </c>
      <c r="AB12" s="16">
        <v>32000</v>
      </c>
      <c r="AC12" s="15"/>
      <c r="AD12" s="16">
        <v>32000</v>
      </c>
      <c r="AE12" s="37">
        <v>30</v>
      </c>
      <c r="AF12" s="16">
        <v>9600</v>
      </c>
      <c r="AG12" s="13" t="s">
        <v>107</v>
      </c>
      <c r="AH12" s="12">
        <v>5</v>
      </c>
      <c r="AI12" s="13" t="s">
        <v>108</v>
      </c>
      <c r="AJ12" s="12">
        <v>1</v>
      </c>
      <c r="AK12" s="12"/>
    </row>
    <row r="13" spans="1:37" customFormat="1">
      <c r="A13" s="19">
        <v>2</v>
      </c>
      <c r="B13" s="18">
        <v>0</v>
      </c>
      <c r="C13" s="18">
        <v>20160100</v>
      </c>
      <c r="D13" s="36" t="s">
        <v>109</v>
      </c>
      <c r="E13" s="18" t="s">
        <v>6</v>
      </c>
      <c r="F13" s="14">
        <v>42400</v>
      </c>
      <c r="G13" s="13" t="s">
        <v>100</v>
      </c>
      <c r="H13" s="12" t="s">
        <v>110</v>
      </c>
      <c r="I13" s="12">
        <v>200</v>
      </c>
      <c r="J13" s="16">
        <v>20000</v>
      </c>
      <c r="K13" s="15"/>
      <c r="L13" s="16">
        <v>20000</v>
      </c>
      <c r="M13" s="13" t="s">
        <v>102</v>
      </c>
      <c r="N13" s="13" t="s">
        <v>103</v>
      </c>
      <c r="O13" s="12">
        <v>2015</v>
      </c>
      <c r="P13" s="12">
        <v>61325</v>
      </c>
      <c r="Q13" s="16">
        <v>3600</v>
      </c>
      <c r="R13" s="12" t="s">
        <v>4</v>
      </c>
      <c r="S13" s="20">
        <v>3.5</v>
      </c>
      <c r="T13" s="12">
        <v>9249</v>
      </c>
      <c r="U13" s="17" t="s">
        <v>111</v>
      </c>
      <c r="V13" s="17" t="s">
        <v>105</v>
      </c>
      <c r="W13" s="12" t="s">
        <v>112</v>
      </c>
      <c r="X13" s="12">
        <v>20568335369</v>
      </c>
      <c r="Y13" s="17" t="s">
        <v>106</v>
      </c>
      <c r="Z13" s="12">
        <v>9589</v>
      </c>
      <c r="AA13" s="13" t="s">
        <v>107</v>
      </c>
      <c r="AB13" s="16">
        <v>70000</v>
      </c>
      <c r="AC13" s="15"/>
      <c r="AD13" s="16">
        <v>70000</v>
      </c>
      <c r="AE13" s="37">
        <v>5</v>
      </c>
      <c r="AF13" s="16">
        <v>3500</v>
      </c>
      <c r="AG13" s="13" t="s">
        <v>107</v>
      </c>
      <c r="AH13" s="12">
        <v>5</v>
      </c>
      <c r="AI13" s="13" t="s">
        <v>108</v>
      </c>
      <c r="AJ13" s="12">
        <v>1</v>
      </c>
      <c r="AK13" s="12"/>
    </row>
    <row r="14" spans="1:37" customFormat="1">
      <c r="A14" s="19">
        <v>3</v>
      </c>
      <c r="B14" s="18">
        <v>0</v>
      </c>
      <c r="C14" s="18">
        <v>20160100</v>
      </c>
      <c r="D14" s="36" t="s">
        <v>113</v>
      </c>
      <c r="E14" s="18" t="s">
        <v>5</v>
      </c>
      <c r="F14" s="14">
        <v>42267</v>
      </c>
      <c r="G14" s="13" t="s">
        <v>100</v>
      </c>
      <c r="H14" s="12" t="s">
        <v>110</v>
      </c>
      <c r="I14" s="12">
        <v>200</v>
      </c>
      <c r="J14" s="16">
        <v>20000</v>
      </c>
      <c r="K14" s="15"/>
      <c r="L14" s="16">
        <v>20000</v>
      </c>
      <c r="M14" s="13" t="s">
        <v>102</v>
      </c>
      <c r="N14" s="13" t="s">
        <v>103</v>
      </c>
      <c r="O14" s="12">
        <v>2015</v>
      </c>
      <c r="P14" s="12">
        <v>61325</v>
      </c>
      <c r="Q14" s="16">
        <v>3600</v>
      </c>
      <c r="R14" s="12" t="s">
        <v>4</v>
      </c>
      <c r="S14" s="20">
        <v>3.5</v>
      </c>
      <c r="T14" s="12">
        <v>9249</v>
      </c>
      <c r="U14" s="17" t="s">
        <v>111</v>
      </c>
      <c r="V14" s="17" t="s">
        <v>105</v>
      </c>
      <c r="W14" s="12" t="s">
        <v>112</v>
      </c>
      <c r="X14" s="12">
        <v>20568335369</v>
      </c>
      <c r="Y14" s="17" t="s">
        <v>106</v>
      </c>
      <c r="Z14" s="12">
        <v>9589</v>
      </c>
      <c r="AA14" s="13" t="s">
        <v>107</v>
      </c>
      <c r="AB14" s="16">
        <v>70000</v>
      </c>
      <c r="AC14" s="15"/>
      <c r="AD14" s="16">
        <v>70000</v>
      </c>
      <c r="AE14" s="37">
        <v>5</v>
      </c>
      <c r="AF14" s="16">
        <v>3500</v>
      </c>
      <c r="AG14" s="13" t="s">
        <v>107</v>
      </c>
      <c r="AH14" s="12">
        <v>5</v>
      </c>
      <c r="AI14" s="13" t="s">
        <v>108</v>
      </c>
      <c r="AJ14" s="12">
        <v>1</v>
      </c>
      <c r="AK14" s="12"/>
    </row>
    <row r="15" spans="1:37" customFormat="1">
      <c r="A15" s="19">
        <v>4</v>
      </c>
      <c r="B15" s="18">
        <v>0</v>
      </c>
      <c r="C15" s="18">
        <v>20160100</v>
      </c>
      <c r="D15" s="36" t="s">
        <v>114</v>
      </c>
      <c r="E15" s="18" t="s">
        <v>3</v>
      </c>
      <c r="F15" s="14">
        <v>42307</v>
      </c>
      <c r="G15" s="13" t="s">
        <v>100</v>
      </c>
      <c r="H15" s="12" t="s">
        <v>110</v>
      </c>
      <c r="I15" s="12">
        <v>200</v>
      </c>
      <c r="J15" s="16">
        <v>20000</v>
      </c>
      <c r="K15" s="15"/>
      <c r="L15" s="16">
        <v>20000</v>
      </c>
      <c r="M15" s="13" t="s">
        <v>102</v>
      </c>
      <c r="N15" s="13" t="s">
        <v>103</v>
      </c>
      <c r="O15" s="12">
        <v>2015</v>
      </c>
      <c r="P15" s="12">
        <v>61325</v>
      </c>
      <c r="Q15" s="16">
        <v>3600</v>
      </c>
      <c r="R15" s="12" t="s">
        <v>4</v>
      </c>
      <c r="S15" s="20">
        <v>3.5</v>
      </c>
      <c r="T15" s="12">
        <v>9249</v>
      </c>
      <c r="U15" s="17" t="s">
        <v>111</v>
      </c>
      <c r="V15" s="17" t="s">
        <v>105</v>
      </c>
      <c r="W15" s="12" t="s">
        <v>112</v>
      </c>
      <c r="X15" s="12">
        <v>20568335369</v>
      </c>
      <c r="Y15" s="17" t="s">
        <v>106</v>
      </c>
      <c r="Z15" s="12">
        <v>9589</v>
      </c>
      <c r="AA15" s="13" t="s">
        <v>107</v>
      </c>
      <c r="AB15" s="16">
        <v>70000</v>
      </c>
      <c r="AC15" s="15"/>
      <c r="AD15" s="16">
        <v>70000</v>
      </c>
      <c r="AE15" s="37">
        <v>5</v>
      </c>
      <c r="AF15" s="16">
        <v>3500</v>
      </c>
      <c r="AG15" s="13" t="s">
        <v>107</v>
      </c>
      <c r="AH15" s="12">
        <v>5</v>
      </c>
      <c r="AI15" s="13" t="s">
        <v>108</v>
      </c>
      <c r="AJ15" s="12">
        <v>1</v>
      </c>
      <c r="AK15" s="12"/>
    </row>
    <row r="16" spans="1:37" customFormat="1">
      <c r="A16" s="21"/>
      <c r="B16" s="12"/>
      <c r="C16" s="21"/>
      <c r="D16" s="21"/>
      <c r="E16" s="21"/>
    </row>
    <row r="17" spans="1:5" customFormat="1">
      <c r="A17" s="21"/>
      <c r="B17" s="21"/>
      <c r="C17" s="21"/>
      <c r="D17" s="21"/>
      <c r="E17" s="21"/>
    </row>
    <row r="18" spans="1:5" customFormat="1"/>
  </sheetData>
  <mergeCells count="47">
    <mergeCell ref="F9:I9"/>
    <mergeCell ref="B2:AK2"/>
    <mergeCell ref="B4:C4"/>
    <mergeCell ref="D4:F4"/>
    <mergeCell ref="B5:C5"/>
    <mergeCell ref="D5:F5"/>
    <mergeCell ref="B6:C6"/>
    <mergeCell ref="D6:G6"/>
    <mergeCell ref="AF9:AF11"/>
    <mergeCell ref="J9:J11"/>
    <mergeCell ref="K9:K11"/>
    <mergeCell ref="L9:L11"/>
    <mergeCell ref="M9:S9"/>
    <mergeCell ref="T9:W9"/>
    <mergeCell ref="X9:Z9"/>
    <mergeCell ref="N10:N11"/>
    <mergeCell ref="A8:A11"/>
    <mergeCell ref="B9:B11"/>
    <mergeCell ref="C9:C11"/>
    <mergeCell ref="D9:D11"/>
    <mergeCell ref="E9:E11"/>
    <mergeCell ref="O10:O11"/>
    <mergeCell ref="P10:P11"/>
    <mergeCell ref="Q10:Q11"/>
    <mergeCell ref="AA9:AA11"/>
    <mergeCell ref="AB9:AB11"/>
    <mergeCell ref="AC9:AC11"/>
    <mergeCell ref="AD9:AD11"/>
    <mergeCell ref="AE9:AE11"/>
    <mergeCell ref="F10:F11"/>
    <mergeCell ref="G10:G11"/>
    <mergeCell ref="H10:H11"/>
    <mergeCell ref="I10:I11"/>
    <mergeCell ref="M10:M11"/>
    <mergeCell ref="Y10:Y11"/>
    <mergeCell ref="Z10:Z11"/>
    <mergeCell ref="R10:S10"/>
    <mergeCell ref="T10:T11"/>
    <mergeCell ref="U10:U11"/>
    <mergeCell ref="V10:V11"/>
    <mergeCell ref="W10:W11"/>
    <mergeCell ref="X10:X11"/>
    <mergeCell ref="AG9:AG11"/>
    <mergeCell ref="AH9:AH11"/>
    <mergeCell ref="AI9:AI11"/>
    <mergeCell ref="AJ9:AJ11"/>
    <mergeCell ref="AK9:AK1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1:BE234"/>
  <sheetViews>
    <sheetView showGridLines="0" topLeftCell="A7" zoomScaleNormal="100" workbookViewId="0">
      <selection sqref="A1:AG2"/>
    </sheetView>
  </sheetViews>
  <sheetFormatPr baseColWidth="10" defaultColWidth="11.42578125" defaultRowHeight="15"/>
  <cols>
    <col min="1" max="1" width="4.5703125" customWidth="1"/>
    <col min="2" max="2" width="11.42578125" style="10"/>
    <col min="3" max="3" width="13" style="10" customWidth="1"/>
    <col min="4" max="4" width="19.28515625" style="10" customWidth="1"/>
    <col min="5" max="5" width="11.42578125" style="10" customWidth="1"/>
    <col min="6" max="6" width="12.140625" style="10" customWidth="1"/>
    <col min="7" max="7" width="11.7109375" style="10" customWidth="1"/>
    <col min="8" max="8" width="8.28515625" style="10" customWidth="1"/>
    <col min="9" max="9" width="21.28515625" style="10" customWidth="1"/>
    <col min="10" max="10" width="4.7109375" style="10" customWidth="1"/>
    <col min="11" max="11" width="15.42578125" style="10" customWidth="1"/>
    <col min="12" max="12" width="13.5703125" style="10" customWidth="1"/>
    <col min="13" max="13" width="13.42578125" style="10" customWidth="1"/>
    <col min="14" max="14" width="16.28515625" style="10" customWidth="1"/>
    <col min="15" max="15" width="52.140625" style="10" bestFit="1" customWidth="1"/>
    <col min="16" max="16" width="16.28515625" style="10" customWidth="1"/>
    <col min="17" max="17" width="15" style="10" customWidth="1"/>
    <col min="18" max="18" width="16.28515625" style="10" customWidth="1"/>
    <col min="19" max="19" width="19.85546875" style="10" customWidth="1"/>
    <col min="20" max="20" width="12.7109375" style="10" customWidth="1"/>
    <col min="21" max="21" width="13" style="10" customWidth="1"/>
    <col min="22" max="22" width="11.42578125" style="10" customWidth="1"/>
    <col min="23" max="23" width="10.85546875" style="10" customWidth="1"/>
    <col min="24" max="24" width="12.5703125" style="10" customWidth="1"/>
    <col min="25" max="25" width="13.5703125" style="10" customWidth="1"/>
    <col min="26" max="26" width="13.140625" style="10" customWidth="1"/>
    <col min="27" max="27" width="14.42578125" style="10" customWidth="1"/>
    <col min="28" max="28" width="17.5703125" style="10" customWidth="1"/>
    <col min="29" max="30" width="20" style="10" customWidth="1"/>
    <col min="31" max="31" width="11.42578125" style="10"/>
    <col min="32" max="32" width="15.5703125" style="10" customWidth="1"/>
    <col min="33" max="33" width="11.42578125" style="10"/>
    <col min="34" max="44" width="0.85546875" style="10" customWidth="1"/>
    <col min="45" max="45" width="17.140625" style="69" customWidth="1"/>
    <col min="46" max="46" width="14.28515625" style="69" customWidth="1"/>
    <col min="47" max="47" width="14.28515625" style="69" hidden="1" customWidth="1"/>
    <col min="48" max="48" width="13.5703125" style="69" customWidth="1"/>
    <col min="49" max="49" width="16.85546875" style="69" customWidth="1"/>
    <col min="50" max="50" width="14.7109375" style="69" customWidth="1"/>
    <col min="51" max="51" width="11.42578125" style="69"/>
    <col min="52" max="52" width="11.42578125" style="76"/>
    <col min="53" max="53" width="11.42578125" style="69"/>
    <col min="54" max="54" width="11.42578125" style="76"/>
    <col min="55" max="55" width="3" style="10" customWidth="1"/>
    <col min="56" max="16384" width="11.42578125" style="10"/>
  </cols>
  <sheetData>
    <row r="1" spans="1:57" s="21" customFormat="1" ht="14.45" customHeight="1">
      <c r="A1" s="124" t="s">
        <v>115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6"/>
      <c r="AS1" s="58">
        <v>16</v>
      </c>
      <c r="AT1" s="58">
        <v>17</v>
      </c>
      <c r="AU1" s="58">
        <v>43</v>
      </c>
      <c r="AV1" s="58">
        <v>18</v>
      </c>
      <c r="AW1" s="58">
        <v>19</v>
      </c>
      <c r="AX1" s="58">
        <f>+AS1</f>
        <v>16</v>
      </c>
      <c r="AY1" s="58">
        <f>+AX1</f>
        <v>16</v>
      </c>
      <c r="AZ1" s="58">
        <f>+AX1</f>
        <v>16</v>
      </c>
      <c r="BA1" s="58">
        <f>+AZ1</f>
        <v>16</v>
      </c>
      <c r="BB1" s="58">
        <f>+AW1</f>
        <v>19</v>
      </c>
      <c r="BE1" s="60" t="s">
        <v>169</v>
      </c>
    </row>
    <row r="2" spans="1:57" s="21" customFormat="1" ht="30" customHeight="1" thickBot="1">
      <c r="A2" s="127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9"/>
      <c r="AS2" s="58">
        <v>43</v>
      </c>
      <c r="AT2" s="58">
        <v>43</v>
      </c>
      <c r="AU2" s="58">
        <v>43</v>
      </c>
      <c r="AV2" s="58">
        <v>43</v>
      </c>
      <c r="AW2" s="58">
        <v>43</v>
      </c>
      <c r="AX2" s="58">
        <f>+AS2</f>
        <v>43</v>
      </c>
      <c r="AY2" s="58">
        <f t="shared" ref="AY2:AY5" si="0">+AX2</f>
        <v>43</v>
      </c>
      <c r="AZ2" s="58">
        <f t="shared" ref="AZ2:AZ5" si="1">+AX2</f>
        <v>43</v>
      </c>
      <c r="BA2" s="58">
        <f t="shared" ref="BA2:BA5" si="2">+AZ2</f>
        <v>43</v>
      </c>
      <c r="BB2" s="58">
        <v>43</v>
      </c>
    </row>
    <row r="3" spans="1:57" s="21" customFormat="1" ht="5.25" customHeight="1">
      <c r="A3" s="26"/>
      <c r="B3" s="33"/>
      <c r="C3" s="33"/>
      <c r="D3" s="32"/>
      <c r="E3" s="32"/>
      <c r="F3" s="32"/>
      <c r="G3" s="32"/>
      <c r="AS3" s="58">
        <v>43</v>
      </c>
      <c r="AT3" s="58">
        <v>43</v>
      </c>
      <c r="AU3" s="58">
        <v>43</v>
      </c>
      <c r="AV3" s="58">
        <v>43</v>
      </c>
      <c r="AW3" s="58">
        <v>43</v>
      </c>
      <c r="AX3" s="58">
        <f t="shared" ref="AX3:AX5" si="3">+AS3</f>
        <v>43</v>
      </c>
      <c r="AY3" s="58">
        <f t="shared" si="0"/>
        <v>43</v>
      </c>
      <c r="AZ3" s="58">
        <f t="shared" si="1"/>
        <v>43</v>
      </c>
      <c r="BA3" s="58">
        <f t="shared" si="2"/>
        <v>43</v>
      </c>
      <c r="BB3" s="58">
        <v>43</v>
      </c>
    </row>
    <row r="4" spans="1:57" s="21" customFormat="1" ht="18" customHeight="1">
      <c r="A4" s="26"/>
      <c r="B4" s="149" t="s">
        <v>58</v>
      </c>
      <c r="C4" s="149"/>
      <c r="D4" s="150" t="str">
        <f>+CONFIGURACION!D9&amp;"-"&amp;TEXT(CONFIGURACION!D11,"00")</f>
        <v>2017-03</v>
      </c>
      <c r="E4" s="151"/>
      <c r="F4" s="151"/>
      <c r="G4"/>
      <c r="H4" s="26"/>
      <c r="I4" s="26"/>
      <c r="J4" s="26"/>
      <c r="AS4" s="58">
        <v>43</v>
      </c>
      <c r="AT4" s="58">
        <v>43</v>
      </c>
      <c r="AU4" s="58">
        <v>43</v>
      </c>
      <c r="AV4" s="58">
        <v>43</v>
      </c>
      <c r="AW4" s="58">
        <v>43</v>
      </c>
      <c r="AX4" s="58">
        <f t="shared" si="3"/>
        <v>43</v>
      </c>
      <c r="AY4" s="58">
        <f t="shared" si="0"/>
        <v>43</v>
      </c>
      <c r="AZ4" s="58">
        <f t="shared" si="1"/>
        <v>43</v>
      </c>
      <c r="BA4" s="58">
        <f t="shared" si="2"/>
        <v>43</v>
      </c>
      <c r="BB4" s="58">
        <v>43</v>
      </c>
    </row>
    <row r="5" spans="1:57" s="21" customFormat="1" ht="18" customHeight="1">
      <c r="A5" s="26"/>
      <c r="B5" s="149" t="s">
        <v>59</v>
      </c>
      <c r="C5" s="149"/>
      <c r="D5" s="130">
        <f>+CONFIGURACION!D5</f>
        <v>20440494731</v>
      </c>
      <c r="E5" s="130"/>
      <c r="F5" s="130"/>
      <c r="G5"/>
      <c r="H5" s="26"/>
      <c r="I5" s="26"/>
      <c r="J5" s="26"/>
      <c r="AS5" s="58">
        <v>43</v>
      </c>
      <c r="AT5" s="58">
        <v>43</v>
      </c>
      <c r="AU5" s="58">
        <v>43</v>
      </c>
      <c r="AV5" s="58">
        <v>43</v>
      </c>
      <c r="AW5" s="58">
        <v>43</v>
      </c>
      <c r="AX5" s="58">
        <f t="shared" si="3"/>
        <v>43</v>
      </c>
      <c r="AY5" s="58">
        <f t="shared" si="0"/>
        <v>43</v>
      </c>
      <c r="AZ5" s="58">
        <f t="shared" si="1"/>
        <v>43</v>
      </c>
      <c r="BA5" s="58">
        <f t="shared" si="2"/>
        <v>43</v>
      </c>
      <c r="BB5" s="58">
        <v>43</v>
      </c>
    </row>
    <row r="6" spans="1:57" s="21" customFormat="1" ht="18" customHeight="1">
      <c r="A6" s="26"/>
      <c r="B6" s="149" t="s">
        <v>60</v>
      </c>
      <c r="C6" s="149"/>
      <c r="D6" s="130" t="str">
        <f>+CONFIGURACION!D7</f>
        <v>EXCEL NEGOCIOS SAC</v>
      </c>
      <c r="E6" s="130"/>
      <c r="F6" s="130"/>
      <c r="G6"/>
      <c r="H6" s="28"/>
      <c r="I6" s="26"/>
      <c r="J6" s="26"/>
      <c r="AS6" s="59" t="s">
        <v>138</v>
      </c>
      <c r="AT6" s="59" t="s">
        <v>138</v>
      </c>
      <c r="AU6" s="59" t="s">
        <v>138</v>
      </c>
      <c r="AV6" s="59" t="s">
        <v>138</v>
      </c>
      <c r="AW6" s="59" t="s">
        <v>139</v>
      </c>
      <c r="AX6" s="59" t="s">
        <v>138</v>
      </c>
      <c r="AY6" s="59" t="s">
        <v>139</v>
      </c>
      <c r="AZ6" s="59" t="s">
        <v>138</v>
      </c>
      <c r="BA6" s="59" t="s">
        <v>139</v>
      </c>
      <c r="BB6" s="59" t="s">
        <v>139</v>
      </c>
    </row>
    <row r="7" spans="1:57" s="21" customFormat="1" ht="18" customHeight="1" thickBot="1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S7" s="58">
        <f>COLUMN(AS6)</f>
        <v>45</v>
      </c>
      <c r="AT7" s="58">
        <f>COLUMN(AT6)</f>
        <v>46</v>
      </c>
      <c r="AU7" s="58">
        <f t="shared" ref="AU7:BB7" si="4">COLUMN(AU6)</f>
        <v>47</v>
      </c>
      <c r="AV7" s="58">
        <f t="shared" si="4"/>
        <v>48</v>
      </c>
      <c r="AW7" s="58">
        <f t="shared" si="4"/>
        <v>49</v>
      </c>
      <c r="AX7" s="58">
        <f t="shared" si="4"/>
        <v>50</v>
      </c>
      <c r="AY7" s="58">
        <f t="shared" si="4"/>
        <v>51</v>
      </c>
      <c r="AZ7" s="58">
        <f t="shared" si="4"/>
        <v>52</v>
      </c>
      <c r="BA7" s="58">
        <f t="shared" si="4"/>
        <v>53</v>
      </c>
      <c r="BB7" s="58">
        <f t="shared" si="4"/>
        <v>54</v>
      </c>
    </row>
    <row r="8" spans="1:57" s="21" customFormat="1" ht="15.75" customHeight="1">
      <c r="A8" s="154" t="s">
        <v>61</v>
      </c>
      <c r="B8" s="65">
        <v>31</v>
      </c>
      <c r="C8" s="65">
        <v>1</v>
      </c>
      <c r="D8" s="65">
        <v>2</v>
      </c>
      <c r="E8" s="65">
        <v>3</v>
      </c>
      <c r="F8" s="65">
        <v>4</v>
      </c>
      <c r="G8" s="65">
        <v>5</v>
      </c>
      <c r="H8" s="65">
        <v>6</v>
      </c>
      <c r="I8" s="65">
        <v>7</v>
      </c>
      <c r="J8" s="67"/>
      <c r="K8" s="65">
        <v>8</v>
      </c>
      <c r="L8" s="65">
        <v>9</v>
      </c>
      <c r="M8" s="65">
        <v>10</v>
      </c>
      <c r="N8" s="65">
        <v>11</v>
      </c>
      <c r="O8" s="65">
        <v>12</v>
      </c>
      <c r="P8" s="65">
        <v>13</v>
      </c>
      <c r="Q8" s="65">
        <v>14</v>
      </c>
      <c r="R8" s="65">
        <v>15</v>
      </c>
      <c r="S8" s="65">
        <v>16</v>
      </c>
      <c r="T8" s="65">
        <v>17</v>
      </c>
      <c r="U8" s="65">
        <v>18</v>
      </c>
      <c r="V8" s="65">
        <v>19</v>
      </c>
      <c r="W8" s="65">
        <v>20</v>
      </c>
      <c r="X8" s="65">
        <v>21</v>
      </c>
      <c r="Y8" s="65">
        <v>22</v>
      </c>
      <c r="Z8" s="65">
        <v>23</v>
      </c>
      <c r="AA8" s="65">
        <v>24</v>
      </c>
      <c r="AB8" s="65">
        <v>25</v>
      </c>
      <c r="AC8" s="65">
        <v>26</v>
      </c>
      <c r="AD8" s="65">
        <v>27</v>
      </c>
      <c r="AE8" s="65">
        <v>28</v>
      </c>
      <c r="AF8" s="65">
        <v>29</v>
      </c>
      <c r="AG8" s="66">
        <v>30</v>
      </c>
      <c r="AS8" s="132" t="s">
        <v>177</v>
      </c>
      <c r="AT8" s="133"/>
      <c r="AU8" s="133"/>
      <c r="AV8" s="133"/>
      <c r="AW8" s="133"/>
      <c r="AX8" s="133"/>
      <c r="AY8" s="133"/>
      <c r="AZ8" s="133"/>
      <c r="BA8" s="133"/>
      <c r="BB8" s="134"/>
    </row>
    <row r="9" spans="1:57" s="21" customFormat="1" ht="35.25" customHeight="1" thickBot="1">
      <c r="A9" s="155"/>
      <c r="B9" s="158" t="s">
        <v>62</v>
      </c>
      <c r="C9" s="158" t="s">
        <v>63</v>
      </c>
      <c r="D9" s="158" t="s">
        <v>64</v>
      </c>
      <c r="E9" s="158" t="s">
        <v>65</v>
      </c>
      <c r="F9" s="162" t="s">
        <v>49</v>
      </c>
      <c r="G9" s="162"/>
      <c r="H9" s="162"/>
      <c r="I9" s="162"/>
      <c r="J9" s="162"/>
      <c r="K9" s="162"/>
      <c r="L9" s="162"/>
      <c r="M9" s="160" t="s">
        <v>48</v>
      </c>
      <c r="N9" s="160"/>
      <c r="O9" s="160"/>
      <c r="P9" s="145" t="s">
        <v>116</v>
      </c>
      <c r="Q9" s="145"/>
      <c r="R9" s="145" t="s">
        <v>67</v>
      </c>
      <c r="S9" s="145" t="s">
        <v>117</v>
      </c>
      <c r="T9" s="145" t="s">
        <v>40</v>
      </c>
      <c r="U9" s="145"/>
      <c r="V9" s="145" t="s">
        <v>39</v>
      </c>
      <c r="W9" s="145"/>
      <c r="X9" s="145"/>
      <c r="Y9" s="145"/>
      <c r="Z9" s="145" t="s">
        <v>38</v>
      </c>
      <c r="AA9" s="145"/>
      <c r="AB9" s="145" t="s">
        <v>37</v>
      </c>
      <c r="AC9" s="145" t="s">
        <v>118</v>
      </c>
      <c r="AD9" s="145" t="s">
        <v>34</v>
      </c>
      <c r="AE9" s="145" t="s">
        <v>33</v>
      </c>
      <c r="AF9" s="145" t="s">
        <v>32</v>
      </c>
      <c r="AG9" s="147" t="s">
        <v>30</v>
      </c>
      <c r="AS9" s="206"/>
      <c r="AT9" s="207"/>
      <c r="AU9" s="207"/>
      <c r="AV9" s="207"/>
      <c r="AW9" s="207"/>
      <c r="AX9" s="207"/>
      <c r="AY9" s="207"/>
      <c r="AZ9" s="207"/>
      <c r="BA9" s="207"/>
      <c r="BB9" s="208"/>
    </row>
    <row r="10" spans="1:57" s="21" customFormat="1" ht="49.5" customHeight="1">
      <c r="A10" s="155"/>
      <c r="B10" s="158"/>
      <c r="C10" s="158"/>
      <c r="D10" s="158"/>
      <c r="E10" s="158"/>
      <c r="F10" s="163" t="s">
        <v>82</v>
      </c>
      <c r="G10" s="163" t="s">
        <v>28</v>
      </c>
      <c r="H10" s="163" t="s">
        <v>83</v>
      </c>
      <c r="I10" s="152" t="s">
        <v>86</v>
      </c>
      <c r="J10" s="204"/>
      <c r="K10" s="152" t="s">
        <v>85</v>
      </c>
      <c r="L10" s="152" t="s">
        <v>23</v>
      </c>
      <c r="M10" s="161" t="s">
        <v>22</v>
      </c>
      <c r="N10" s="161"/>
      <c r="O10" s="157" t="s">
        <v>21</v>
      </c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7"/>
      <c r="AS10" s="209" t="s">
        <v>168</v>
      </c>
      <c r="AT10" s="210" t="s">
        <v>136</v>
      </c>
      <c r="AU10" s="210" t="s">
        <v>137</v>
      </c>
      <c r="AV10" s="210" t="s">
        <v>134</v>
      </c>
      <c r="AW10" s="211" t="s">
        <v>135</v>
      </c>
      <c r="AX10" s="210" t="s">
        <v>142</v>
      </c>
      <c r="AY10" s="210"/>
      <c r="AZ10" s="210" t="s">
        <v>163</v>
      </c>
      <c r="BA10" s="210"/>
      <c r="BB10" s="213" t="s">
        <v>140</v>
      </c>
    </row>
    <row r="11" spans="1:57" s="21" customFormat="1" ht="36" customHeight="1" thickBot="1">
      <c r="A11" s="156"/>
      <c r="B11" s="159"/>
      <c r="C11" s="159"/>
      <c r="D11" s="159"/>
      <c r="E11" s="159"/>
      <c r="F11" s="164"/>
      <c r="G11" s="164"/>
      <c r="H11" s="164"/>
      <c r="I11" s="153"/>
      <c r="J11" s="205"/>
      <c r="K11" s="153"/>
      <c r="L11" s="153"/>
      <c r="M11" s="75" t="s">
        <v>20</v>
      </c>
      <c r="N11" s="75" t="s">
        <v>19</v>
      </c>
      <c r="O11" s="138"/>
      <c r="P11" s="73" t="s">
        <v>18</v>
      </c>
      <c r="Q11" s="73" t="s">
        <v>17</v>
      </c>
      <c r="R11" s="146"/>
      <c r="S11" s="146"/>
      <c r="T11" s="63" t="s">
        <v>97</v>
      </c>
      <c r="U11" s="74" t="s">
        <v>15</v>
      </c>
      <c r="V11" s="64" t="s">
        <v>14</v>
      </c>
      <c r="W11" s="74" t="s">
        <v>13</v>
      </c>
      <c r="X11" s="64" t="s">
        <v>12</v>
      </c>
      <c r="Y11" s="64" t="s">
        <v>10</v>
      </c>
      <c r="Z11" s="73" t="s">
        <v>9</v>
      </c>
      <c r="AA11" s="73" t="s">
        <v>8</v>
      </c>
      <c r="AB11" s="146"/>
      <c r="AC11" s="146"/>
      <c r="AD11" s="146"/>
      <c r="AE11" s="146"/>
      <c r="AF11" s="146"/>
      <c r="AG11" s="148"/>
      <c r="AS11" s="142"/>
      <c r="AT11" s="138"/>
      <c r="AU11" s="138"/>
      <c r="AV11" s="138"/>
      <c r="AW11" s="212"/>
      <c r="AX11" s="73" t="s">
        <v>143</v>
      </c>
      <c r="AY11" s="73" t="s">
        <v>144</v>
      </c>
      <c r="AZ11" s="73" t="s">
        <v>143</v>
      </c>
      <c r="BA11" s="73" t="s">
        <v>144</v>
      </c>
      <c r="BB11" s="214"/>
    </row>
    <row r="12" spans="1:57" customFormat="1">
      <c r="A12">
        <v>1</v>
      </c>
      <c r="B12" s="18">
        <v>1</v>
      </c>
      <c r="C12" s="18">
        <v>20170300</v>
      </c>
      <c r="D12" s="18" t="s">
        <v>424</v>
      </c>
      <c r="E12" s="18" t="s">
        <v>7</v>
      </c>
      <c r="F12" s="14">
        <v>42795</v>
      </c>
      <c r="G12" s="12"/>
      <c r="H12" s="13" t="s">
        <v>2</v>
      </c>
      <c r="I12" s="13" t="s">
        <v>274</v>
      </c>
      <c r="J12" s="13"/>
      <c r="K12" s="13" t="s">
        <v>275</v>
      </c>
      <c r="L12" s="12"/>
      <c r="M12" s="12">
        <v>6</v>
      </c>
      <c r="N12" s="12">
        <v>20505377142</v>
      </c>
      <c r="O12" s="17" t="s">
        <v>276</v>
      </c>
      <c r="P12" s="15">
        <v>37.630000000000003</v>
      </c>
      <c r="Q12" s="16">
        <v>6.77</v>
      </c>
      <c r="R12" s="16"/>
      <c r="S12" s="16">
        <v>44.4</v>
      </c>
      <c r="T12" s="16"/>
      <c r="U12" s="12"/>
      <c r="V12" s="15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>
        <v>1</v>
      </c>
      <c r="AS12" s="68">
        <v>60111</v>
      </c>
      <c r="AT12" s="68">
        <v>40111</v>
      </c>
      <c r="AU12" s="69"/>
      <c r="AV12" s="68"/>
      <c r="AW12" s="68">
        <v>42121</v>
      </c>
      <c r="AX12" s="71">
        <v>20111</v>
      </c>
      <c r="AY12" s="71">
        <v>61111</v>
      </c>
      <c r="AZ12" s="71"/>
      <c r="BA12" s="71"/>
      <c r="BB12" s="71"/>
    </row>
    <row r="13" spans="1:57">
      <c r="A13">
        <v>2</v>
      </c>
      <c r="B13" s="18">
        <v>1</v>
      </c>
      <c r="C13" s="18">
        <v>20170300</v>
      </c>
      <c r="D13" s="18" t="s">
        <v>425</v>
      </c>
      <c r="E13" s="18" t="s">
        <v>6</v>
      </c>
      <c r="F13" s="14">
        <v>42795</v>
      </c>
      <c r="G13" s="12"/>
      <c r="H13" s="13" t="s">
        <v>277</v>
      </c>
      <c r="I13" s="13" t="s">
        <v>278</v>
      </c>
      <c r="J13" s="13"/>
      <c r="K13" s="13" t="s">
        <v>279</v>
      </c>
      <c r="L13" s="13"/>
      <c r="M13" s="12">
        <v>1</v>
      </c>
      <c r="N13" s="12">
        <v>18020965</v>
      </c>
      <c r="O13" s="17" t="s">
        <v>280</v>
      </c>
      <c r="P13" s="15">
        <v>37.97</v>
      </c>
      <c r="Q13" s="16">
        <v>6.83</v>
      </c>
      <c r="R13" s="16"/>
      <c r="S13" s="16">
        <v>44.8</v>
      </c>
      <c r="T13" s="16"/>
      <c r="U13" s="12"/>
      <c r="V13" s="15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>
        <v>1</v>
      </c>
      <c r="AH13"/>
      <c r="AI13"/>
      <c r="AJ13"/>
      <c r="AK13"/>
      <c r="AL13"/>
      <c r="AM13"/>
      <c r="AN13"/>
      <c r="AO13"/>
      <c r="AP13"/>
      <c r="AQ13"/>
      <c r="AR13"/>
      <c r="AS13" s="68">
        <v>60111</v>
      </c>
      <c r="AT13" s="68">
        <v>40111</v>
      </c>
      <c r="AV13" s="68"/>
      <c r="AW13" s="68">
        <v>42121</v>
      </c>
      <c r="AX13" s="71">
        <v>20111</v>
      </c>
      <c r="AY13" s="71">
        <v>61111</v>
      </c>
      <c r="AZ13" s="71"/>
      <c r="BA13" s="71"/>
      <c r="BB13" s="71"/>
    </row>
    <row r="14" spans="1:57">
      <c r="A14">
        <v>3</v>
      </c>
      <c r="B14" s="18">
        <v>1</v>
      </c>
      <c r="C14" s="18">
        <v>20170300</v>
      </c>
      <c r="D14" s="18" t="s">
        <v>426</v>
      </c>
      <c r="E14" s="18" t="s">
        <v>5</v>
      </c>
      <c r="F14" s="14">
        <v>42795</v>
      </c>
      <c r="G14" s="12"/>
      <c r="H14" s="13" t="s">
        <v>277</v>
      </c>
      <c r="I14" s="13" t="s">
        <v>278</v>
      </c>
      <c r="J14" s="13"/>
      <c r="K14" s="13" t="s">
        <v>281</v>
      </c>
      <c r="L14" s="13"/>
      <c r="M14" s="12">
        <v>1</v>
      </c>
      <c r="N14" s="12">
        <v>17903460</v>
      </c>
      <c r="O14" s="17" t="s">
        <v>280</v>
      </c>
      <c r="P14" s="15">
        <v>38.729999999999997</v>
      </c>
      <c r="Q14" s="16">
        <v>6.97</v>
      </c>
      <c r="R14" s="16"/>
      <c r="S14" s="16">
        <v>45.7</v>
      </c>
      <c r="T14" s="16"/>
      <c r="U14" s="12"/>
      <c r="V14" s="15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>
        <v>1</v>
      </c>
      <c r="AH14"/>
      <c r="AI14"/>
      <c r="AJ14"/>
      <c r="AK14"/>
      <c r="AL14"/>
      <c r="AM14"/>
      <c r="AN14"/>
      <c r="AO14"/>
      <c r="AP14"/>
      <c r="AQ14"/>
      <c r="AR14"/>
      <c r="AS14" s="68">
        <v>60111</v>
      </c>
      <c r="AT14" s="68">
        <v>40111</v>
      </c>
      <c r="AV14" s="68"/>
      <c r="AW14" s="68">
        <v>42121</v>
      </c>
      <c r="AX14" s="71">
        <v>20111</v>
      </c>
      <c r="AY14" s="71">
        <v>61111</v>
      </c>
      <c r="AZ14" s="71"/>
      <c r="BA14" s="71"/>
      <c r="BB14" s="71"/>
    </row>
    <row r="15" spans="1:57">
      <c r="A15">
        <v>4</v>
      </c>
      <c r="B15" s="18">
        <v>1</v>
      </c>
      <c r="C15" s="18">
        <v>20170300</v>
      </c>
      <c r="D15" s="18" t="s">
        <v>427</v>
      </c>
      <c r="E15" s="18" t="s">
        <v>3</v>
      </c>
      <c r="F15" s="14">
        <v>42795</v>
      </c>
      <c r="G15" s="12"/>
      <c r="H15" s="13" t="s">
        <v>277</v>
      </c>
      <c r="I15" s="13" t="s">
        <v>278</v>
      </c>
      <c r="J15" s="13"/>
      <c r="K15" s="13" t="s">
        <v>282</v>
      </c>
      <c r="L15" s="13"/>
      <c r="M15" s="12">
        <v>1</v>
      </c>
      <c r="N15" s="12">
        <v>18871816</v>
      </c>
      <c r="O15" s="17" t="s">
        <v>280</v>
      </c>
      <c r="P15" s="15">
        <v>39.409999999999997</v>
      </c>
      <c r="Q15" s="16">
        <v>7.09</v>
      </c>
      <c r="R15" s="16"/>
      <c r="S15" s="15">
        <v>46.5</v>
      </c>
      <c r="T15" s="16"/>
      <c r="U15" s="12"/>
      <c r="V15" s="15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>
        <v>1</v>
      </c>
      <c r="AH15"/>
      <c r="AI15"/>
      <c r="AJ15"/>
      <c r="AK15"/>
      <c r="AL15"/>
      <c r="AM15"/>
      <c r="AN15"/>
      <c r="AO15"/>
      <c r="AP15"/>
      <c r="AQ15"/>
      <c r="AR15"/>
      <c r="AS15" s="68">
        <v>63141</v>
      </c>
      <c r="AT15" s="68">
        <v>40111</v>
      </c>
      <c r="AW15" s="68">
        <v>42122</v>
      </c>
      <c r="AX15" s="71"/>
      <c r="AY15" s="71"/>
      <c r="AZ15" s="71">
        <v>94111</v>
      </c>
      <c r="BA15" s="71">
        <v>79111</v>
      </c>
      <c r="BB15" s="71">
        <v>10211</v>
      </c>
    </row>
    <row r="16" spans="1:57">
      <c r="A16">
        <v>5</v>
      </c>
      <c r="B16" s="18">
        <v>1</v>
      </c>
      <c r="C16" s="18">
        <v>20170300</v>
      </c>
      <c r="D16" s="18" t="s">
        <v>428</v>
      </c>
      <c r="E16" s="18" t="s">
        <v>205</v>
      </c>
      <c r="F16" s="14">
        <v>42795</v>
      </c>
      <c r="G16" s="12"/>
      <c r="H16" s="13" t="s">
        <v>277</v>
      </c>
      <c r="I16" s="13" t="s">
        <v>278</v>
      </c>
      <c r="J16" s="13"/>
      <c r="K16" s="13" t="s">
        <v>283</v>
      </c>
      <c r="L16" s="13"/>
      <c r="M16" s="12">
        <v>1</v>
      </c>
      <c r="N16" s="12">
        <v>17862533</v>
      </c>
      <c r="O16" s="17" t="s">
        <v>280</v>
      </c>
      <c r="P16" s="15">
        <v>39.409999999999997</v>
      </c>
      <c r="Q16" s="16">
        <v>7.09</v>
      </c>
      <c r="R16" s="16"/>
      <c r="S16" s="16">
        <v>46.5</v>
      </c>
      <c r="T16" s="16"/>
      <c r="U16" s="12"/>
      <c r="V16" s="20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>
        <v>1</v>
      </c>
      <c r="AH16"/>
      <c r="AI16"/>
      <c r="AJ16"/>
      <c r="AK16"/>
      <c r="AL16"/>
      <c r="AM16"/>
      <c r="AN16"/>
      <c r="AO16"/>
      <c r="AP16"/>
      <c r="AQ16"/>
      <c r="AR16"/>
      <c r="AS16" s="68">
        <v>63141</v>
      </c>
      <c r="AT16" s="68">
        <v>40111</v>
      </c>
      <c r="AV16" s="68"/>
      <c r="AW16" s="68">
        <v>42122</v>
      </c>
      <c r="AX16" s="71"/>
      <c r="AY16" s="71"/>
      <c r="AZ16" s="71">
        <v>94111</v>
      </c>
      <c r="BA16" s="71">
        <v>79111</v>
      </c>
      <c r="BB16" s="71">
        <v>10111</v>
      </c>
    </row>
    <row r="17" spans="1:54">
      <c r="A17">
        <v>6</v>
      </c>
      <c r="B17" s="18">
        <v>1</v>
      </c>
      <c r="C17" s="18">
        <v>20170300</v>
      </c>
      <c r="D17" s="18" t="s">
        <v>429</v>
      </c>
      <c r="E17" s="18" t="s">
        <v>209</v>
      </c>
      <c r="F17" s="14">
        <v>42795</v>
      </c>
      <c r="G17" s="12"/>
      <c r="H17" s="13" t="s">
        <v>277</v>
      </c>
      <c r="I17" s="13" t="s">
        <v>278</v>
      </c>
      <c r="J17" s="13"/>
      <c r="K17" s="13" t="s">
        <v>284</v>
      </c>
      <c r="L17" s="13"/>
      <c r="M17" s="12">
        <v>1</v>
      </c>
      <c r="N17" s="12">
        <v>19113042</v>
      </c>
      <c r="O17" s="17" t="s">
        <v>280</v>
      </c>
      <c r="P17" s="15">
        <v>39.92</v>
      </c>
      <c r="Q17" s="16">
        <v>7.18</v>
      </c>
      <c r="R17" s="16"/>
      <c r="S17" s="16">
        <v>47.1</v>
      </c>
      <c r="T17" s="16"/>
      <c r="U17" s="12"/>
      <c r="V17" s="15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>
        <v>1</v>
      </c>
      <c r="AH17"/>
      <c r="AI17"/>
      <c r="AJ17"/>
      <c r="AK17"/>
      <c r="AL17"/>
      <c r="AM17"/>
      <c r="AN17"/>
      <c r="AO17"/>
      <c r="AP17"/>
      <c r="AQ17"/>
      <c r="AR17"/>
      <c r="AS17" s="68">
        <v>63141</v>
      </c>
      <c r="AT17" s="68">
        <v>40111</v>
      </c>
      <c r="AV17" s="68"/>
      <c r="AW17" s="68">
        <v>42122</v>
      </c>
      <c r="AX17" s="71"/>
      <c r="AY17" s="71"/>
      <c r="AZ17" s="71">
        <v>94111</v>
      </c>
      <c r="BA17" s="71">
        <v>79111</v>
      </c>
      <c r="BB17" s="71">
        <v>10111</v>
      </c>
    </row>
    <row r="18" spans="1:54">
      <c r="A18">
        <v>7</v>
      </c>
      <c r="B18" s="18">
        <v>1</v>
      </c>
      <c r="C18" s="18">
        <v>20170300</v>
      </c>
      <c r="D18" s="18" t="s">
        <v>430</v>
      </c>
      <c r="E18" s="18" t="s">
        <v>214</v>
      </c>
      <c r="F18" s="14">
        <v>42795</v>
      </c>
      <c r="G18" s="14"/>
      <c r="H18" s="13" t="s">
        <v>277</v>
      </c>
      <c r="I18" s="13" t="s">
        <v>278</v>
      </c>
      <c r="J18" s="13"/>
      <c r="K18" s="13" t="s">
        <v>285</v>
      </c>
      <c r="L18" s="12"/>
      <c r="M18" s="12">
        <v>1</v>
      </c>
      <c r="N18" s="12">
        <v>19113042</v>
      </c>
      <c r="O18" s="17" t="s">
        <v>280</v>
      </c>
      <c r="P18" s="15">
        <v>39.92</v>
      </c>
      <c r="Q18" s="16">
        <v>7.18</v>
      </c>
      <c r="R18" s="16"/>
      <c r="S18" s="15">
        <v>47.1</v>
      </c>
      <c r="T18" s="16"/>
      <c r="U18" s="12"/>
      <c r="V18" s="15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>
        <v>1</v>
      </c>
      <c r="AH18"/>
      <c r="AI18"/>
      <c r="AJ18"/>
      <c r="AK18"/>
      <c r="AL18"/>
      <c r="AM18"/>
      <c r="AN18"/>
      <c r="AO18"/>
      <c r="AP18"/>
      <c r="AQ18"/>
      <c r="AR18"/>
      <c r="AS18" s="68">
        <v>60111</v>
      </c>
      <c r="AT18" s="68">
        <v>40111</v>
      </c>
      <c r="AW18" s="68">
        <v>42121</v>
      </c>
      <c r="AX18" s="71">
        <v>20111</v>
      </c>
      <c r="AY18" s="71">
        <v>61111</v>
      </c>
      <c r="AZ18" s="71"/>
      <c r="BA18" s="71"/>
      <c r="BB18" s="71"/>
    </row>
    <row r="19" spans="1:54">
      <c r="A19">
        <v>8</v>
      </c>
      <c r="B19" s="18">
        <v>1</v>
      </c>
      <c r="C19" s="18">
        <v>20170300</v>
      </c>
      <c r="D19" s="18" t="s">
        <v>431</v>
      </c>
      <c r="E19" s="18" t="s">
        <v>217</v>
      </c>
      <c r="F19" s="14">
        <v>42795</v>
      </c>
      <c r="G19" s="14"/>
      <c r="H19" s="13" t="s">
        <v>185</v>
      </c>
      <c r="I19" s="13" t="s">
        <v>286</v>
      </c>
      <c r="J19" s="13"/>
      <c r="K19" s="13">
        <v>419465</v>
      </c>
      <c r="L19" s="12">
        <v>419465</v>
      </c>
      <c r="M19" s="12">
        <v>6</v>
      </c>
      <c r="N19" s="12">
        <v>20511004251</v>
      </c>
      <c r="O19" s="17" t="s">
        <v>287</v>
      </c>
      <c r="P19" s="15">
        <v>33.049999999999997</v>
      </c>
      <c r="Q19" s="16">
        <v>5.95</v>
      </c>
      <c r="R19" s="16">
        <v>0.78</v>
      </c>
      <c r="S19" s="16">
        <f>SUM(P19:R19)</f>
        <v>39.78</v>
      </c>
      <c r="T19" s="16"/>
      <c r="U19" s="12"/>
      <c r="V19" s="15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>
        <v>1</v>
      </c>
      <c r="AH19"/>
      <c r="AI19"/>
      <c r="AJ19"/>
      <c r="AK19"/>
      <c r="AL19"/>
      <c r="AM19"/>
      <c r="AN19"/>
      <c r="AO19"/>
      <c r="AP19"/>
      <c r="AQ19"/>
      <c r="AR19"/>
      <c r="AS19" s="68">
        <v>60111</v>
      </c>
      <c r="AT19" s="68">
        <v>40111</v>
      </c>
      <c r="AV19" s="68">
        <v>40113</v>
      </c>
      <c r="AW19" s="68">
        <v>42121</v>
      </c>
      <c r="AX19" s="71">
        <v>20111</v>
      </c>
      <c r="AY19" s="71">
        <v>61111</v>
      </c>
      <c r="AZ19" s="71"/>
      <c r="BA19" s="71"/>
      <c r="BB19" s="71"/>
    </row>
    <row r="20" spans="1:54">
      <c r="A20">
        <v>9</v>
      </c>
      <c r="B20" s="18">
        <v>1</v>
      </c>
      <c r="C20" s="18">
        <v>20170300</v>
      </c>
      <c r="D20" s="18" t="s">
        <v>432</v>
      </c>
      <c r="E20" s="18" t="s">
        <v>221</v>
      </c>
      <c r="F20" s="14">
        <v>42795</v>
      </c>
      <c r="G20" s="12"/>
      <c r="H20" s="13" t="s">
        <v>185</v>
      </c>
      <c r="I20" s="13" t="s">
        <v>286</v>
      </c>
      <c r="J20" s="13"/>
      <c r="K20" s="13">
        <v>419859</v>
      </c>
      <c r="L20" s="13">
        <v>419859</v>
      </c>
      <c r="M20" s="12">
        <v>6</v>
      </c>
      <c r="N20" s="12">
        <v>20511004251</v>
      </c>
      <c r="O20" s="17" t="s">
        <v>287</v>
      </c>
      <c r="P20" s="15">
        <v>33.049999999999997</v>
      </c>
      <c r="Q20" s="16">
        <v>5.95</v>
      </c>
      <c r="R20" s="16">
        <v>0.78</v>
      </c>
      <c r="S20" s="16">
        <f>SUM(P20:R20)</f>
        <v>39.78</v>
      </c>
      <c r="T20" s="16"/>
      <c r="U20" s="12"/>
      <c r="V20" s="15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>
        <v>1</v>
      </c>
      <c r="AH20"/>
      <c r="AI20"/>
      <c r="AJ20"/>
      <c r="AK20"/>
      <c r="AL20"/>
      <c r="AM20"/>
      <c r="AN20"/>
      <c r="AO20"/>
      <c r="AP20"/>
      <c r="AQ20"/>
      <c r="AR20"/>
      <c r="AS20" s="68">
        <v>60111</v>
      </c>
      <c r="AT20" s="68">
        <v>40111</v>
      </c>
      <c r="AV20" s="68">
        <v>40113</v>
      </c>
      <c r="AW20" s="68">
        <v>42121</v>
      </c>
      <c r="AX20" s="71">
        <v>20111</v>
      </c>
      <c r="AY20" s="71">
        <v>61111</v>
      </c>
      <c r="AZ20" s="71"/>
      <c r="BA20" s="71"/>
      <c r="BB20" s="71"/>
    </row>
    <row r="21" spans="1:54">
      <c r="A21">
        <v>10</v>
      </c>
      <c r="B21" s="18">
        <v>1</v>
      </c>
      <c r="C21" s="18">
        <v>20170300</v>
      </c>
      <c r="D21" s="18" t="s">
        <v>433</v>
      </c>
      <c r="E21" s="18" t="s">
        <v>223</v>
      </c>
      <c r="F21" s="14">
        <v>42795</v>
      </c>
      <c r="G21" s="12"/>
      <c r="H21" s="13" t="s">
        <v>185</v>
      </c>
      <c r="I21" s="13" t="s">
        <v>288</v>
      </c>
      <c r="J21" s="13"/>
      <c r="K21" s="13">
        <v>412617</v>
      </c>
      <c r="L21" s="13">
        <v>412617</v>
      </c>
      <c r="M21" s="12">
        <v>6</v>
      </c>
      <c r="N21" s="12">
        <v>20522547957</v>
      </c>
      <c r="O21" s="17" t="s">
        <v>289</v>
      </c>
      <c r="P21" s="15">
        <v>62.97</v>
      </c>
      <c r="Q21" s="16">
        <v>11.33</v>
      </c>
      <c r="R21" s="16"/>
      <c r="S21" s="16">
        <v>74.3</v>
      </c>
      <c r="T21" s="16"/>
      <c r="U21" s="12"/>
      <c r="V21" s="15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>
        <v>1</v>
      </c>
      <c r="AH21"/>
      <c r="AI21"/>
      <c r="AJ21"/>
      <c r="AK21"/>
      <c r="AL21"/>
      <c r="AM21"/>
      <c r="AN21"/>
      <c r="AO21"/>
      <c r="AP21"/>
      <c r="AQ21"/>
      <c r="AR21"/>
      <c r="AS21" s="68">
        <v>63141</v>
      </c>
      <c r="AT21" s="68">
        <v>40111</v>
      </c>
      <c r="AV21" s="68"/>
      <c r="AW21" s="68">
        <v>42122</v>
      </c>
      <c r="AX21" s="71"/>
      <c r="AY21" s="71"/>
      <c r="AZ21" s="71">
        <v>94111</v>
      </c>
      <c r="BA21" s="71">
        <v>79111</v>
      </c>
      <c r="BB21" s="71">
        <v>10411</v>
      </c>
    </row>
    <row r="22" spans="1:54">
      <c r="A22">
        <v>11</v>
      </c>
      <c r="B22" s="18">
        <v>1</v>
      </c>
      <c r="C22" s="18">
        <v>20170300</v>
      </c>
      <c r="D22" s="18" t="s">
        <v>434</v>
      </c>
      <c r="E22" s="18" t="s">
        <v>228</v>
      </c>
      <c r="F22" s="14">
        <v>42795</v>
      </c>
      <c r="G22" s="12"/>
      <c r="H22" s="13" t="s">
        <v>185</v>
      </c>
      <c r="I22" s="13" t="s">
        <v>290</v>
      </c>
      <c r="J22" s="13"/>
      <c r="K22" s="13">
        <v>25135</v>
      </c>
      <c r="L22" s="13">
        <v>25135</v>
      </c>
      <c r="M22" s="12">
        <v>6</v>
      </c>
      <c r="N22" s="12">
        <v>20522547957</v>
      </c>
      <c r="O22" s="17" t="s">
        <v>289</v>
      </c>
      <c r="P22" s="15">
        <v>62.97</v>
      </c>
      <c r="Q22" s="16">
        <v>11.33</v>
      </c>
      <c r="R22" s="16"/>
      <c r="S22" s="16">
        <v>74.3</v>
      </c>
      <c r="T22" s="16"/>
      <c r="U22" s="12"/>
      <c r="V22" s="15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>
        <v>1</v>
      </c>
      <c r="AH22"/>
      <c r="AI22"/>
      <c r="AJ22"/>
      <c r="AK22"/>
      <c r="AL22"/>
      <c r="AM22"/>
      <c r="AN22"/>
      <c r="AO22"/>
      <c r="AP22"/>
      <c r="AQ22"/>
      <c r="AR22"/>
      <c r="AS22" s="68">
        <v>63141</v>
      </c>
      <c r="AT22" s="68">
        <v>40111</v>
      </c>
      <c r="AV22" s="68"/>
      <c r="AW22" s="68">
        <v>42122</v>
      </c>
      <c r="AX22" s="71"/>
      <c r="AY22" s="71"/>
      <c r="AZ22" s="71">
        <v>94111</v>
      </c>
      <c r="BA22" s="71">
        <v>79111</v>
      </c>
      <c r="BB22" s="71">
        <v>10411</v>
      </c>
    </row>
    <row r="23" spans="1:54">
      <c r="A23">
        <v>12</v>
      </c>
      <c r="B23" s="18">
        <v>1</v>
      </c>
      <c r="C23" s="18">
        <v>20170300</v>
      </c>
      <c r="D23" s="18" t="s">
        <v>435</v>
      </c>
      <c r="E23" s="18" t="s">
        <v>232</v>
      </c>
      <c r="F23" s="14">
        <v>42795</v>
      </c>
      <c r="G23" s="12"/>
      <c r="H23" s="13" t="s">
        <v>185</v>
      </c>
      <c r="I23" s="13" t="s">
        <v>291</v>
      </c>
      <c r="J23" s="13"/>
      <c r="K23" s="13">
        <v>137749</v>
      </c>
      <c r="L23" s="13">
        <v>137749</v>
      </c>
      <c r="M23" s="12">
        <v>6</v>
      </c>
      <c r="N23" s="12">
        <v>20522547957</v>
      </c>
      <c r="O23" s="17" t="s">
        <v>289</v>
      </c>
      <c r="P23" s="15">
        <v>62.97</v>
      </c>
      <c r="Q23" s="16">
        <v>11.33</v>
      </c>
      <c r="R23" s="16"/>
      <c r="S23" s="16">
        <v>74.3</v>
      </c>
      <c r="T23" s="16"/>
      <c r="U23" s="12"/>
      <c r="V23" s="15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>
        <v>1</v>
      </c>
      <c r="AH23"/>
      <c r="AI23"/>
      <c r="AJ23"/>
      <c r="AK23"/>
      <c r="AL23"/>
      <c r="AM23"/>
      <c r="AN23"/>
      <c r="AO23"/>
      <c r="AP23"/>
      <c r="AQ23"/>
      <c r="AR23"/>
      <c r="AS23" s="68">
        <v>63141</v>
      </c>
      <c r="AT23" s="68">
        <v>40111</v>
      </c>
      <c r="AV23" s="68"/>
      <c r="AW23" s="68">
        <v>42122</v>
      </c>
      <c r="AX23" s="71"/>
      <c r="AY23" s="71"/>
      <c r="AZ23" s="71">
        <v>94111</v>
      </c>
      <c r="BA23" s="71">
        <v>79111</v>
      </c>
      <c r="BB23" s="71">
        <v>10411</v>
      </c>
    </row>
    <row r="24" spans="1:54">
      <c r="A24">
        <v>13</v>
      </c>
      <c r="B24" s="18">
        <v>1</v>
      </c>
      <c r="C24" s="18">
        <v>20170300</v>
      </c>
      <c r="D24" s="18" t="s">
        <v>436</v>
      </c>
      <c r="E24" s="18" t="s">
        <v>235</v>
      </c>
      <c r="F24" s="14">
        <v>42795</v>
      </c>
      <c r="G24" s="12"/>
      <c r="H24" s="13" t="s">
        <v>185</v>
      </c>
      <c r="I24" s="13" t="s">
        <v>291</v>
      </c>
      <c r="J24" s="13"/>
      <c r="K24" s="13">
        <v>138051</v>
      </c>
      <c r="L24" s="13">
        <v>138051</v>
      </c>
      <c r="M24" s="12">
        <v>6</v>
      </c>
      <c r="N24" s="12">
        <v>20522547957</v>
      </c>
      <c r="O24" s="17" t="s">
        <v>289</v>
      </c>
      <c r="P24" s="15">
        <v>62.97</v>
      </c>
      <c r="Q24" s="16">
        <v>11.33</v>
      </c>
      <c r="R24" s="16"/>
      <c r="S24" s="16">
        <v>74.3</v>
      </c>
      <c r="T24" s="16"/>
      <c r="U24" s="12"/>
      <c r="V24" s="15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>
        <v>1</v>
      </c>
      <c r="AH24"/>
      <c r="AI24"/>
      <c r="AJ24"/>
      <c r="AK24"/>
      <c r="AL24"/>
      <c r="AM24"/>
      <c r="AN24"/>
      <c r="AO24"/>
      <c r="AP24"/>
      <c r="AQ24"/>
      <c r="AR24"/>
      <c r="AS24" s="68">
        <v>63141</v>
      </c>
      <c r="AT24" s="68">
        <v>40111</v>
      </c>
      <c r="AV24" s="68"/>
      <c r="AW24" s="68">
        <v>42122</v>
      </c>
      <c r="AX24" s="71"/>
      <c r="AY24" s="71"/>
      <c r="AZ24" s="71">
        <v>94111</v>
      </c>
      <c r="BA24" s="71">
        <v>79111</v>
      </c>
      <c r="BB24" s="71">
        <v>10411</v>
      </c>
    </row>
    <row r="25" spans="1:54">
      <c r="A25">
        <v>14</v>
      </c>
      <c r="B25" s="18">
        <v>1</v>
      </c>
      <c r="C25" s="18">
        <v>20170300</v>
      </c>
      <c r="D25" s="18" t="s">
        <v>437</v>
      </c>
      <c r="E25" s="18" t="s">
        <v>240</v>
      </c>
      <c r="F25" s="14">
        <v>42795</v>
      </c>
      <c r="G25" s="12"/>
      <c r="H25" s="13" t="s">
        <v>185</v>
      </c>
      <c r="I25" s="13" t="s">
        <v>292</v>
      </c>
      <c r="J25" s="13"/>
      <c r="K25" s="13">
        <v>17947</v>
      </c>
      <c r="L25" s="13">
        <v>17947</v>
      </c>
      <c r="M25" s="12">
        <v>6</v>
      </c>
      <c r="N25" s="12">
        <v>20600745311</v>
      </c>
      <c r="O25" s="17" t="s">
        <v>198</v>
      </c>
      <c r="P25" s="15">
        <v>477.75</v>
      </c>
      <c r="Q25" s="16">
        <v>86</v>
      </c>
      <c r="R25" s="16"/>
      <c r="S25" s="15">
        <v>563.75</v>
      </c>
      <c r="T25" s="16"/>
      <c r="U25" s="12"/>
      <c r="V25" s="15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>
        <v>1</v>
      </c>
      <c r="AH25"/>
      <c r="AI25"/>
      <c r="AJ25"/>
      <c r="AK25"/>
      <c r="AL25"/>
      <c r="AM25"/>
      <c r="AN25"/>
      <c r="AO25"/>
      <c r="AP25"/>
      <c r="AQ25"/>
      <c r="AR25"/>
      <c r="AS25" s="68">
        <v>63141</v>
      </c>
      <c r="AT25" s="68">
        <v>40111</v>
      </c>
      <c r="AW25" s="68">
        <v>42122</v>
      </c>
      <c r="AX25" s="71"/>
      <c r="AY25" s="71"/>
      <c r="AZ25" s="71">
        <v>94111</v>
      </c>
      <c r="BA25" s="71">
        <v>79111</v>
      </c>
      <c r="BB25" s="71">
        <v>10411</v>
      </c>
    </row>
    <row r="26" spans="1:54">
      <c r="A26">
        <v>15</v>
      </c>
      <c r="B26" s="18">
        <v>1</v>
      </c>
      <c r="C26" s="18">
        <v>20170300</v>
      </c>
      <c r="D26" s="18" t="s">
        <v>438</v>
      </c>
      <c r="E26" s="18" t="s">
        <v>244</v>
      </c>
      <c r="F26" s="14">
        <v>42795</v>
      </c>
      <c r="G26" s="12"/>
      <c r="H26" s="13" t="s">
        <v>185</v>
      </c>
      <c r="I26" s="13" t="s">
        <v>292</v>
      </c>
      <c r="J26" s="13"/>
      <c r="K26" s="13">
        <v>17952</v>
      </c>
      <c r="L26" s="13">
        <v>17952</v>
      </c>
      <c r="M26" s="12">
        <v>6</v>
      </c>
      <c r="N26" s="12">
        <v>20600745311</v>
      </c>
      <c r="O26" s="17" t="s">
        <v>198</v>
      </c>
      <c r="P26" s="15">
        <v>33.119999999999997</v>
      </c>
      <c r="Q26" s="16">
        <v>5.96</v>
      </c>
      <c r="R26" s="16"/>
      <c r="S26" s="16">
        <v>39.08</v>
      </c>
      <c r="T26" s="16"/>
      <c r="U26" s="12"/>
      <c r="V26" s="15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>
        <v>1</v>
      </c>
      <c r="AH26"/>
      <c r="AI26"/>
      <c r="AJ26"/>
      <c r="AK26"/>
      <c r="AL26"/>
      <c r="AM26"/>
      <c r="AN26"/>
      <c r="AO26"/>
      <c r="AP26"/>
      <c r="AQ26"/>
      <c r="AR26"/>
      <c r="AS26" s="68">
        <v>63141</v>
      </c>
      <c r="AT26" s="68">
        <v>40111</v>
      </c>
      <c r="AV26" s="68"/>
      <c r="AW26" s="68">
        <v>42122</v>
      </c>
      <c r="AX26" s="71"/>
      <c r="AY26" s="71"/>
      <c r="AZ26" s="71">
        <v>94111</v>
      </c>
      <c r="BA26" s="71">
        <v>79111</v>
      </c>
      <c r="BB26" s="71">
        <v>10411</v>
      </c>
    </row>
    <row r="27" spans="1:54">
      <c r="A27">
        <v>16</v>
      </c>
      <c r="B27" s="18">
        <v>1</v>
      </c>
      <c r="C27" s="18">
        <v>20170300</v>
      </c>
      <c r="D27" s="18" t="s">
        <v>439</v>
      </c>
      <c r="E27" s="18" t="s">
        <v>249</v>
      </c>
      <c r="F27" s="14">
        <v>42795</v>
      </c>
      <c r="G27" s="12"/>
      <c r="H27" s="13" t="s">
        <v>185</v>
      </c>
      <c r="I27" s="13" t="s">
        <v>292</v>
      </c>
      <c r="J27" s="13"/>
      <c r="K27" s="13">
        <v>17970</v>
      </c>
      <c r="L27" s="13">
        <v>17970</v>
      </c>
      <c r="M27" s="12">
        <v>6</v>
      </c>
      <c r="N27" s="12">
        <v>20600745311</v>
      </c>
      <c r="O27" s="17" t="s">
        <v>198</v>
      </c>
      <c r="P27" s="15">
        <v>1476.69</v>
      </c>
      <c r="Q27" s="16">
        <v>265.81</v>
      </c>
      <c r="R27" s="16"/>
      <c r="S27" s="16">
        <v>1742.5</v>
      </c>
      <c r="T27" s="16"/>
      <c r="U27" s="12"/>
      <c r="V27" s="15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>
        <v>1</v>
      </c>
      <c r="AH27"/>
      <c r="AI27"/>
      <c r="AJ27"/>
      <c r="AK27"/>
      <c r="AL27"/>
      <c r="AM27"/>
      <c r="AN27"/>
      <c r="AO27"/>
      <c r="AP27"/>
      <c r="AQ27"/>
      <c r="AR27"/>
      <c r="AS27" s="68">
        <v>60111</v>
      </c>
      <c r="AT27" s="68">
        <v>40111</v>
      </c>
      <c r="AV27" s="68"/>
      <c r="AW27" s="68">
        <v>42121</v>
      </c>
      <c r="AX27" s="71">
        <v>20111</v>
      </c>
      <c r="AY27" s="71">
        <v>61111</v>
      </c>
      <c r="AZ27" s="71"/>
      <c r="BA27" s="71"/>
      <c r="BB27" s="71"/>
    </row>
    <row r="28" spans="1:54">
      <c r="A28">
        <v>17</v>
      </c>
      <c r="B28" s="18">
        <v>1</v>
      </c>
      <c r="C28" s="18">
        <v>20170300</v>
      </c>
      <c r="D28" s="18" t="s">
        <v>440</v>
      </c>
      <c r="E28" s="18" t="s">
        <v>253</v>
      </c>
      <c r="F28" s="14">
        <v>42795</v>
      </c>
      <c r="G28" s="12"/>
      <c r="H28" s="13" t="s">
        <v>2</v>
      </c>
      <c r="I28" s="13" t="s">
        <v>293</v>
      </c>
      <c r="J28" s="13"/>
      <c r="K28" s="13" t="s">
        <v>294</v>
      </c>
      <c r="L28" s="13"/>
      <c r="M28" s="12">
        <v>6</v>
      </c>
      <c r="N28" s="12">
        <v>20440444394</v>
      </c>
      <c r="O28" s="17" t="s">
        <v>295</v>
      </c>
      <c r="P28" s="15">
        <v>47</v>
      </c>
      <c r="Q28" s="16">
        <v>8.4600000000000009</v>
      </c>
      <c r="R28" s="16"/>
      <c r="S28" s="16">
        <v>55.46</v>
      </c>
      <c r="T28" s="16"/>
      <c r="U28" s="12"/>
      <c r="V28" s="15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>
        <v>1</v>
      </c>
      <c r="AH28"/>
      <c r="AI28"/>
      <c r="AJ28"/>
      <c r="AK28"/>
      <c r="AL28"/>
      <c r="AM28"/>
      <c r="AN28"/>
      <c r="AO28"/>
      <c r="AP28"/>
      <c r="AQ28"/>
      <c r="AR28"/>
      <c r="AS28" s="68">
        <v>60111</v>
      </c>
      <c r="AT28" s="68">
        <v>40111</v>
      </c>
      <c r="AV28" s="68"/>
      <c r="AW28" s="68">
        <v>42121</v>
      </c>
      <c r="AX28" s="71">
        <v>20111</v>
      </c>
      <c r="AY28" s="71">
        <v>61111</v>
      </c>
      <c r="AZ28" s="71"/>
      <c r="BA28" s="71"/>
      <c r="BB28" s="71"/>
    </row>
    <row r="29" spans="1:54">
      <c r="A29">
        <v>18</v>
      </c>
      <c r="B29" s="18">
        <v>1</v>
      </c>
      <c r="C29" s="18">
        <v>20170300</v>
      </c>
      <c r="D29" s="18" t="s">
        <v>441</v>
      </c>
      <c r="E29" s="18" t="s">
        <v>256</v>
      </c>
      <c r="F29" s="14">
        <v>42795</v>
      </c>
      <c r="G29" s="12"/>
      <c r="H29" s="13" t="s">
        <v>2</v>
      </c>
      <c r="I29" s="13" t="s">
        <v>296</v>
      </c>
      <c r="J29" s="13"/>
      <c r="K29" s="13" t="s">
        <v>297</v>
      </c>
      <c r="L29" s="13"/>
      <c r="M29" s="12">
        <v>6</v>
      </c>
      <c r="N29" s="12">
        <v>20520588486</v>
      </c>
      <c r="O29" s="17" t="s">
        <v>251</v>
      </c>
      <c r="P29" s="15">
        <v>1802.75</v>
      </c>
      <c r="Q29" s="16">
        <v>324.49</v>
      </c>
      <c r="R29" s="16"/>
      <c r="S29" s="16">
        <v>2127.2399999999998</v>
      </c>
      <c r="T29" s="16"/>
      <c r="U29" s="12"/>
      <c r="V29" s="15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>
        <v>1</v>
      </c>
      <c r="AH29"/>
      <c r="AI29"/>
      <c r="AJ29"/>
      <c r="AK29"/>
      <c r="AL29"/>
      <c r="AM29"/>
      <c r="AN29"/>
      <c r="AO29"/>
      <c r="AP29"/>
      <c r="AQ29"/>
      <c r="AR29"/>
      <c r="AS29" s="68">
        <v>63141</v>
      </c>
      <c r="AT29" s="68">
        <v>40111</v>
      </c>
      <c r="AV29" s="68"/>
      <c r="AW29" s="68">
        <v>42122</v>
      </c>
      <c r="AX29" s="71"/>
      <c r="AY29" s="71"/>
      <c r="AZ29" s="71">
        <v>94111</v>
      </c>
      <c r="BA29" s="71">
        <v>79111</v>
      </c>
      <c r="BB29" s="71">
        <v>10411</v>
      </c>
    </row>
    <row r="30" spans="1:54">
      <c r="A30">
        <v>19</v>
      </c>
      <c r="B30" s="18">
        <v>1</v>
      </c>
      <c r="C30" s="18">
        <v>20170300</v>
      </c>
      <c r="D30" s="18" t="s">
        <v>442</v>
      </c>
      <c r="E30" s="18" t="s">
        <v>259</v>
      </c>
      <c r="F30" s="14">
        <v>42795</v>
      </c>
      <c r="G30" s="12"/>
      <c r="H30" s="13">
        <v>1</v>
      </c>
      <c r="I30" s="13" t="s">
        <v>296</v>
      </c>
      <c r="J30" s="13"/>
      <c r="K30" s="13" t="s">
        <v>298</v>
      </c>
      <c r="L30" s="13"/>
      <c r="M30" s="12">
        <v>6</v>
      </c>
      <c r="N30" s="12">
        <v>20520588486</v>
      </c>
      <c r="O30" s="17" t="s">
        <v>251</v>
      </c>
      <c r="P30" s="15">
        <v>1802.75</v>
      </c>
      <c r="Q30" s="16">
        <v>324.49</v>
      </c>
      <c r="R30" s="16"/>
      <c r="S30" s="16">
        <v>2127.2399999999998</v>
      </c>
      <c r="T30" s="16"/>
      <c r="U30" s="12"/>
      <c r="V30" s="15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>
        <v>1</v>
      </c>
      <c r="AH30"/>
      <c r="AI30"/>
      <c r="AJ30"/>
      <c r="AK30"/>
      <c r="AL30"/>
      <c r="AM30"/>
      <c r="AN30"/>
      <c r="AO30"/>
      <c r="AP30"/>
      <c r="AQ30"/>
      <c r="AR30"/>
      <c r="AS30" s="68">
        <v>63141</v>
      </c>
      <c r="AT30" s="68">
        <v>40111</v>
      </c>
      <c r="AV30" s="68"/>
      <c r="AW30" s="68">
        <v>42122</v>
      </c>
      <c r="AX30" s="71"/>
      <c r="AY30" s="71"/>
      <c r="AZ30" s="71">
        <v>94111</v>
      </c>
      <c r="BA30" s="71">
        <v>79111</v>
      </c>
      <c r="BB30" s="71">
        <v>10411</v>
      </c>
    </row>
    <row r="31" spans="1:54">
      <c r="A31">
        <v>20</v>
      </c>
      <c r="B31" s="18">
        <v>1</v>
      </c>
      <c r="C31" s="18">
        <v>20170300</v>
      </c>
      <c r="D31" s="18" t="s">
        <v>443</v>
      </c>
      <c r="E31" s="18" t="s">
        <v>262</v>
      </c>
      <c r="F31" s="14">
        <v>42795</v>
      </c>
      <c r="G31" s="12"/>
      <c r="H31" s="13" t="s">
        <v>2</v>
      </c>
      <c r="I31" s="13" t="s">
        <v>296</v>
      </c>
      <c r="J31" s="13"/>
      <c r="K31" s="13" t="s">
        <v>299</v>
      </c>
      <c r="L31" s="13"/>
      <c r="M31" s="12">
        <v>6</v>
      </c>
      <c r="N31" s="12">
        <v>20520588486</v>
      </c>
      <c r="O31" s="17" t="s">
        <v>251</v>
      </c>
      <c r="P31" s="15">
        <v>1802.75</v>
      </c>
      <c r="Q31" s="16">
        <v>324.49</v>
      </c>
      <c r="R31" s="16"/>
      <c r="S31" s="15">
        <v>2127.2399999999998</v>
      </c>
      <c r="T31" s="16"/>
      <c r="U31" s="12"/>
      <c r="V31" s="15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>
        <v>1</v>
      </c>
      <c r="AH31"/>
      <c r="AI31"/>
      <c r="AJ31"/>
      <c r="AK31"/>
      <c r="AL31"/>
      <c r="AM31"/>
      <c r="AN31"/>
      <c r="AO31"/>
      <c r="AP31"/>
      <c r="AQ31"/>
      <c r="AR31"/>
      <c r="AS31" s="68">
        <v>60111</v>
      </c>
      <c r="AT31" s="68">
        <v>40111</v>
      </c>
      <c r="AW31" s="68">
        <v>42121</v>
      </c>
      <c r="AX31" s="71">
        <v>20111</v>
      </c>
      <c r="AY31" s="71">
        <v>61111</v>
      </c>
      <c r="AZ31" s="71"/>
      <c r="BA31" s="71"/>
      <c r="BB31" s="71">
        <v>10411</v>
      </c>
    </row>
    <row r="32" spans="1:54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 s="68"/>
      <c r="AT32" s="68"/>
      <c r="AV32" s="68"/>
      <c r="AW32" s="68"/>
      <c r="AX32" s="71"/>
      <c r="AY32" s="71"/>
      <c r="BB32" s="71"/>
    </row>
    <row r="33" spans="2:54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 s="68"/>
      <c r="AT33" s="68"/>
      <c r="AW33" s="68"/>
      <c r="AX33" s="71"/>
      <c r="AY33" s="71"/>
      <c r="BB33" s="71"/>
    </row>
    <row r="34" spans="2:54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 s="68"/>
      <c r="AT34" s="68"/>
      <c r="AV34" s="68"/>
      <c r="AW34" s="68"/>
      <c r="AX34" s="71"/>
      <c r="AY34" s="71"/>
      <c r="BB34" s="71"/>
    </row>
    <row r="35" spans="2:54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 s="68"/>
      <c r="AT35" s="68"/>
      <c r="AV35" s="68"/>
      <c r="AW35" s="68"/>
      <c r="AX35" s="71"/>
      <c r="AY35" s="71"/>
      <c r="BB35" s="71"/>
    </row>
    <row r="36" spans="2:54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 s="68"/>
      <c r="AT36" s="68"/>
      <c r="AV36" s="68"/>
      <c r="AW36" s="68"/>
      <c r="AX36" s="71"/>
      <c r="AY36" s="71"/>
      <c r="BB36" s="71"/>
    </row>
    <row r="37" spans="2:54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 s="68"/>
      <c r="AT37" s="68"/>
      <c r="AV37" s="68"/>
      <c r="AW37" s="68"/>
      <c r="AX37" s="71"/>
      <c r="AY37" s="71"/>
      <c r="BB37" s="71"/>
    </row>
    <row r="38" spans="2:54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 s="68"/>
      <c r="AT38" s="68"/>
      <c r="AV38" s="68"/>
      <c r="AW38" s="68"/>
      <c r="AX38" s="71"/>
      <c r="AY38" s="71"/>
      <c r="BB38" s="71"/>
    </row>
    <row r="39" spans="2:54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 s="68"/>
      <c r="AT39" s="68"/>
      <c r="AV39" s="68"/>
      <c r="AW39" s="68"/>
      <c r="AX39" s="71"/>
      <c r="AY39" s="71"/>
      <c r="BB39" s="71"/>
    </row>
    <row r="40" spans="2:54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 s="68"/>
      <c r="AT40" s="68"/>
      <c r="AV40" s="68"/>
      <c r="AW40" s="68"/>
      <c r="AX40" s="71"/>
      <c r="AY40" s="71"/>
      <c r="BB40" s="71"/>
    </row>
    <row r="41" spans="2:54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 s="68"/>
      <c r="AT41" s="68"/>
      <c r="AV41" s="68"/>
      <c r="AW41" s="68"/>
      <c r="AX41" s="71"/>
      <c r="AY41" s="71"/>
      <c r="BB41" s="71"/>
    </row>
    <row r="42" spans="2:54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 s="68"/>
      <c r="AT42" s="68"/>
      <c r="AV42" s="68"/>
      <c r="AW42" s="68"/>
      <c r="AX42" s="71"/>
      <c r="AY42" s="71"/>
      <c r="BB42" s="71"/>
    </row>
    <row r="43" spans="2:54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 s="68"/>
      <c r="AT43" s="68"/>
      <c r="AV43" s="68"/>
      <c r="AW43" s="68"/>
      <c r="AX43" s="71"/>
      <c r="AY43" s="71"/>
      <c r="BB43" s="71"/>
    </row>
    <row r="44" spans="2:54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 s="68"/>
      <c r="AT44" s="68"/>
      <c r="AV44" s="68"/>
      <c r="AW44" s="68"/>
      <c r="AX44" s="71"/>
      <c r="AY44" s="71"/>
      <c r="BB44" s="71"/>
    </row>
    <row r="45" spans="2:54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2:54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2:54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2:54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2:44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2:44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2:44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2:44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2:44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2:44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2:44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2:44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2:44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2:44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2:44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2:44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2:44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2:44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2:44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2:44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2:44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2:44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2:44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2:44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2:44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2:44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2:44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2:44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2:44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2:44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2:44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2:44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2:44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2:44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2:44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2:44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2:44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2:44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2:44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2:44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2:44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2:44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2:44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2:44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2:44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2:44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2:44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2:44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2:44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2:44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2:44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2:44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2:44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2:44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2:44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2:44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2:44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2:44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2:44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2:44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2:44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2:44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2:44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2:44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2:44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2:44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2:44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2:44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2:44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2:44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2:44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2:44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2:44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2:44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2:44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2:44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2:44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2:44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2:44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2:44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2:44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2:44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2:44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2:44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2:44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2:44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2:44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2:44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2:44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2:44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2:44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2:44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2:44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2:44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2:44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2:44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2:44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2:44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2:44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2:44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2:44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2:44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2:44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2:44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2:44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2:44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2:44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2:44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2:44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2:44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2:44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2:44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2:44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2:44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2:44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2:44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2:44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2:44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2:44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2:44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2:44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2:44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2:44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2:44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2:44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2:44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2:44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2:44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2:44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2:44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2:44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2:44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2:44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2:44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2:44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2:44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2:44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2:44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2:44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2:44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2:44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2:44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2:44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2:44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2:44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2:44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2:44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2:44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2:44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2:44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2:44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2:44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2:44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2:44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2:44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2:44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2:44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2:44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2:44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2:44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2:44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2:44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2:44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2:44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2:44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2:44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2:44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2:44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2:44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2:44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2:44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2:44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2:44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2:44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2:44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2:44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2:44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2:44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2:44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2:44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2:44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2:44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2:44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2:44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2:44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2:44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2:44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2:44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2:44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2:44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</sheetData>
  <mergeCells count="44">
    <mergeCell ref="A1:AG2"/>
    <mergeCell ref="D6:F6"/>
    <mergeCell ref="AS8:BB9"/>
    <mergeCell ref="AS10:AS11"/>
    <mergeCell ref="AT10:AT11"/>
    <mergeCell ref="AU10:AU11"/>
    <mergeCell ref="AV10:AV11"/>
    <mergeCell ref="AW10:AW11"/>
    <mergeCell ref="AX10:AY10"/>
    <mergeCell ref="AZ10:BA10"/>
    <mergeCell ref="BB10:BB11"/>
    <mergeCell ref="F9:L9"/>
    <mergeCell ref="B4:C4"/>
    <mergeCell ref="D4:F4"/>
    <mergeCell ref="B5:C5"/>
    <mergeCell ref="D5:F5"/>
    <mergeCell ref="B6:C6"/>
    <mergeCell ref="P9:Q10"/>
    <mergeCell ref="R9:R11"/>
    <mergeCell ref="S9:S11"/>
    <mergeCell ref="T9:U10"/>
    <mergeCell ref="V9:Y10"/>
    <mergeCell ref="A8:A11"/>
    <mergeCell ref="B9:B11"/>
    <mergeCell ref="C9:C11"/>
    <mergeCell ref="D9:D11"/>
    <mergeCell ref="E9:E11"/>
    <mergeCell ref="J10:J11"/>
    <mergeCell ref="AG9:AG11"/>
    <mergeCell ref="F10:F11"/>
    <mergeCell ref="G10:G11"/>
    <mergeCell ref="H10:H11"/>
    <mergeCell ref="I10:I11"/>
    <mergeCell ref="K10:K11"/>
    <mergeCell ref="L10:L11"/>
    <mergeCell ref="M10:N10"/>
    <mergeCell ref="O10:O11"/>
    <mergeCell ref="Z9:AA10"/>
    <mergeCell ref="AB9:AB11"/>
    <mergeCell ref="AC9:AC11"/>
    <mergeCell ref="AD9:AD11"/>
    <mergeCell ref="AE9:AE11"/>
    <mergeCell ref="AF9:AF11"/>
    <mergeCell ref="M9:O9"/>
  </mergeCells>
  <dataValidations disablePrompts="1" count="3">
    <dataValidation type="list" allowBlank="1" showInputMessage="1" showErrorMessage="1" sqref="B234" xr:uid="{00000000-0002-0000-0400-000000000000}">
      <formula1>"7,9"</formula1>
    </dataValidation>
    <dataValidation type="list" allowBlank="1" showInputMessage="1" showErrorMessage="1" sqref="B187:B233 B36 B15" xr:uid="{00000000-0002-0000-0400-000001000000}">
      <formula1>"6,9"</formula1>
    </dataValidation>
    <dataValidation type="list" allowBlank="1" showInputMessage="1" showErrorMessage="1" sqref="B16:B35 B37:B186 B13:B14" xr:uid="{00000000-0002-0000-0400-000002000000}">
      <formula1>"0,1"</formula1>
    </dataValidation>
  </dataValidations>
  <pageMargins left="0.7" right="0.7" top="0.75" bottom="0.75" header="0.3" footer="0.3"/>
  <pageSetup orientation="portrait" r:id="rId1"/>
  <ignoredErrors>
    <ignoredError sqref="AZ1:AZ2 AZ3:AZ5" formula="1"/>
  </ignoredErrors>
  <drawing r:id="rId2"/>
  <legacyDrawing r:id="rId3"/>
  <controls>
    <mc:AlternateContent xmlns:mc="http://schemas.openxmlformats.org/markup-compatibility/2006">
      <mc:Choice Requires="x14">
        <control shapeId="4102" r:id="rId4" name="CommandButton4">
          <controlPr defaultSize="0" autoLine="0" r:id="rId5">
            <anchor moveWithCells="1">
              <from>
                <xdr:col>10</xdr:col>
                <xdr:colOff>85725</xdr:colOff>
                <xdr:row>3</xdr:row>
                <xdr:rowOff>171450</xdr:rowOff>
              </from>
              <to>
                <xdr:col>12</xdr:col>
                <xdr:colOff>342900</xdr:colOff>
                <xdr:row>6</xdr:row>
                <xdr:rowOff>47625</xdr:rowOff>
              </to>
            </anchor>
          </controlPr>
        </control>
      </mc:Choice>
      <mc:Fallback>
        <control shapeId="4102" r:id="rId4" name="CommandButton4"/>
      </mc:Fallback>
    </mc:AlternateContent>
    <mc:AlternateContent xmlns:mc="http://schemas.openxmlformats.org/markup-compatibility/2006">
      <mc:Choice Requires="x14">
        <control shapeId="4101" r:id="rId6" name="CommandButton3">
          <controlPr defaultSize="0" autoLine="0" r:id="rId7">
            <anchor moveWithCells="1">
              <from>
                <xdr:col>6</xdr:col>
                <xdr:colOff>466725</xdr:colOff>
                <xdr:row>3</xdr:row>
                <xdr:rowOff>171450</xdr:rowOff>
              </from>
              <to>
                <xdr:col>8</xdr:col>
                <xdr:colOff>1323975</xdr:colOff>
                <xdr:row>6</xdr:row>
                <xdr:rowOff>47625</xdr:rowOff>
              </to>
            </anchor>
          </controlPr>
        </control>
      </mc:Choice>
      <mc:Fallback>
        <control shapeId="4101" r:id="rId6" name="CommandButton3"/>
      </mc:Fallback>
    </mc:AlternateContent>
    <mc:AlternateContent xmlns:mc="http://schemas.openxmlformats.org/markup-compatibility/2006">
      <mc:Choice Requires="x14">
        <control shapeId="4100" r:id="rId8" name="CommandButton2">
          <controlPr defaultSize="0" autoLine="0" r:id="rId9">
            <anchor moveWithCells="1">
              <from>
                <xdr:col>54</xdr:col>
                <xdr:colOff>180975</xdr:colOff>
                <xdr:row>9</xdr:row>
                <xdr:rowOff>590550</xdr:rowOff>
              </from>
              <to>
                <xdr:col>57</xdr:col>
                <xdr:colOff>333375</xdr:colOff>
                <xdr:row>10</xdr:row>
                <xdr:rowOff>447675</xdr:rowOff>
              </to>
            </anchor>
          </controlPr>
        </control>
      </mc:Choice>
      <mc:Fallback>
        <control shapeId="4100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1">
          <controlPr defaultSize="0" autoLine="0" r:id="rId11">
            <anchor moveWithCells="1">
              <from>
                <xdr:col>54</xdr:col>
                <xdr:colOff>180975</xdr:colOff>
                <xdr:row>8</xdr:row>
                <xdr:rowOff>438150</xdr:rowOff>
              </from>
              <to>
                <xdr:col>57</xdr:col>
                <xdr:colOff>333375</xdr:colOff>
                <xdr:row>9</xdr:row>
                <xdr:rowOff>476250</xdr:rowOff>
              </to>
            </anchor>
          </controlPr>
        </control>
      </mc:Choice>
      <mc:Fallback>
        <control shapeId="4099" r:id="rId10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/>
  <dimension ref="A1:BE489"/>
  <sheetViews>
    <sheetView showGridLines="0" topLeftCell="A4" zoomScaleNormal="100" workbookViewId="0">
      <selection sqref="A1:AJ2"/>
    </sheetView>
  </sheetViews>
  <sheetFormatPr baseColWidth="10" defaultColWidth="11.42578125" defaultRowHeight="15"/>
  <cols>
    <col min="1" max="1" width="4.5703125" customWidth="1"/>
    <col min="2" max="2" width="11.42578125" style="10"/>
    <col min="3" max="3" width="13" style="10" customWidth="1"/>
    <col min="4" max="4" width="19.28515625" style="10" customWidth="1"/>
    <col min="5" max="6" width="12.140625" style="10" customWidth="1"/>
    <col min="7" max="7" width="11.7109375" style="10" customWidth="1"/>
    <col min="8" max="8" width="11.85546875" style="10" bestFit="1" customWidth="1"/>
    <col min="9" max="9" width="13.42578125" style="10" customWidth="1"/>
    <col min="10" max="10" width="4.7109375" style="10" customWidth="1"/>
    <col min="11" max="11" width="15.42578125" style="10" customWidth="1"/>
    <col min="12" max="12" width="13.5703125" style="10" customWidth="1"/>
    <col min="13" max="13" width="11.7109375" style="10" customWidth="1"/>
    <col min="14" max="14" width="16.28515625" style="10" customWidth="1"/>
    <col min="15" max="15" width="44.7109375" style="10" customWidth="1"/>
    <col min="16" max="27" width="16.28515625" style="10" customWidth="1"/>
    <col min="28" max="28" width="12.7109375" style="10" customWidth="1"/>
    <col min="29" max="29" width="13" style="10" customWidth="1"/>
    <col min="30" max="30" width="11.42578125" style="10" customWidth="1"/>
    <col min="31" max="31" width="10.85546875" style="10" customWidth="1"/>
    <col min="32" max="32" width="12.5703125" style="10" customWidth="1"/>
    <col min="33" max="33" width="13.5703125" style="10" customWidth="1"/>
    <col min="34" max="34" width="24.85546875" style="10" customWidth="1"/>
    <col min="35" max="35" width="20" style="10" customWidth="1"/>
    <col min="36" max="36" width="11.42578125" style="10"/>
    <col min="37" max="44" width="0.85546875" style="10" customWidth="1"/>
    <col min="45" max="45" width="15.7109375" style="69" customWidth="1"/>
    <col min="46" max="46" width="17.140625" style="69" customWidth="1"/>
    <col min="47" max="49" width="14.28515625" style="69" customWidth="1"/>
    <col min="50" max="50" width="13.5703125" style="69" customWidth="1"/>
    <col min="51" max="51" width="13.7109375" style="76" customWidth="1"/>
    <col min="52" max="55" width="3" style="10" customWidth="1"/>
    <col min="56" max="16384" width="11.42578125" style="10"/>
  </cols>
  <sheetData>
    <row r="1" spans="1:57" s="21" customFormat="1" ht="14.45" customHeight="1">
      <c r="A1" s="124" t="s">
        <v>182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6"/>
      <c r="AS1" s="58">
        <v>27</v>
      </c>
      <c r="AT1" s="58">
        <v>16</v>
      </c>
      <c r="AU1" s="58">
        <v>19</v>
      </c>
      <c r="AV1" s="58">
        <v>23</v>
      </c>
      <c r="AW1" s="58">
        <v>25</v>
      </c>
      <c r="AX1" s="58">
        <v>26</v>
      </c>
      <c r="AY1" s="58">
        <f>+AS1</f>
        <v>27</v>
      </c>
      <c r="BE1" s="60">
        <v>140100</v>
      </c>
    </row>
    <row r="2" spans="1:57" s="21" customFormat="1" ht="30" customHeight="1" thickBot="1">
      <c r="A2" s="127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9"/>
      <c r="AS2" s="58">
        <v>43</v>
      </c>
      <c r="AT2" s="58">
        <v>17</v>
      </c>
      <c r="AU2" s="58">
        <v>43</v>
      </c>
      <c r="AV2" s="58">
        <v>43</v>
      </c>
      <c r="AW2" s="58">
        <v>43</v>
      </c>
      <c r="AX2" s="58">
        <v>43</v>
      </c>
      <c r="AY2" s="58">
        <v>43</v>
      </c>
    </row>
    <row r="3" spans="1:57" s="21" customFormat="1" ht="5.25" customHeight="1">
      <c r="A3" s="26"/>
      <c r="B3" s="33"/>
      <c r="C3" s="33"/>
      <c r="D3" s="32"/>
      <c r="E3" s="32"/>
      <c r="F3" s="32"/>
      <c r="G3" s="32"/>
      <c r="AJ3"/>
      <c r="AS3" s="58">
        <v>43</v>
      </c>
      <c r="AT3" s="58">
        <v>21</v>
      </c>
      <c r="AU3" s="58">
        <v>43</v>
      </c>
      <c r="AV3" s="58">
        <v>43</v>
      </c>
      <c r="AW3" s="58">
        <v>43</v>
      </c>
      <c r="AX3" s="58">
        <v>43</v>
      </c>
      <c r="AY3" s="58">
        <v>43</v>
      </c>
    </row>
    <row r="4" spans="1:57" s="21" customFormat="1" ht="18" customHeight="1">
      <c r="A4" s="26"/>
      <c r="B4" s="149" t="s">
        <v>58</v>
      </c>
      <c r="C4" s="149"/>
      <c r="D4" s="150" t="str">
        <f>+CONFIGURACION!D9&amp;"-"&amp;TEXT(CONFIGURACION!D11,"00")</f>
        <v>2017-03</v>
      </c>
      <c r="E4" s="151"/>
      <c r="F4" s="151"/>
      <c r="G4" s="54"/>
      <c r="H4" s="26"/>
      <c r="I4" s="26"/>
      <c r="J4" s="26"/>
      <c r="AJ4"/>
      <c r="AS4" s="58">
        <v>43</v>
      </c>
      <c r="AT4" s="58">
        <v>22</v>
      </c>
      <c r="AU4" s="58">
        <v>43</v>
      </c>
      <c r="AV4" s="58">
        <v>43</v>
      </c>
      <c r="AW4" s="58">
        <v>43</v>
      </c>
      <c r="AX4" s="58">
        <v>43</v>
      </c>
      <c r="AY4" s="58">
        <v>43</v>
      </c>
      <c r="BE4" s="57"/>
    </row>
    <row r="5" spans="1:57" s="21" customFormat="1" ht="18" customHeight="1">
      <c r="A5" s="26"/>
      <c r="B5" s="149" t="s">
        <v>59</v>
      </c>
      <c r="C5" s="149"/>
      <c r="D5" s="130">
        <f>+CONFIGURACION!D5</f>
        <v>20440494731</v>
      </c>
      <c r="E5" s="130"/>
      <c r="F5" s="130"/>
      <c r="G5" s="54"/>
      <c r="H5" s="26"/>
      <c r="I5" s="26"/>
      <c r="J5" s="26"/>
      <c r="AJ5"/>
      <c r="AS5" s="58">
        <v>43</v>
      </c>
      <c r="AT5" s="58">
        <v>24</v>
      </c>
      <c r="AU5" s="58">
        <v>43</v>
      </c>
      <c r="AV5" s="58">
        <v>43</v>
      </c>
      <c r="AW5" s="58">
        <v>43</v>
      </c>
      <c r="AX5" s="58">
        <v>43</v>
      </c>
      <c r="AY5" s="58">
        <v>43</v>
      </c>
    </row>
    <row r="6" spans="1:57" s="21" customFormat="1" ht="18" customHeight="1">
      <c r="A6" s="26"/>
      <c r="B6" s="149" t="s">
        <v>60</v>
      </c>
      <c r="C6" s="149"/>
      <c r="D6" s="130" t="str">
        <f>+CONFIGURACION!D7</f>
        <v>EXCEL NEGOCIOS SAC</v>
      </c>
      <c r="E6" s="130"/>
      <c r="F6" s="130"/>
      <c r="G6" s="50"/>
      <c r="H6" s="28"/>
      <c r="I6" s="26"/>
      <c r="J6" s="26"/>
      <c r="AJ6"/>
      <c r="AS6" s="58">
        <v>43</v>
      </c>
      <c r="AT6" s="58">
        <v>43</v>
      </c>
      <c r="AU6" s="58">
        <v>43</v>
      </c>
      <c r="AV6" s="58">
        <v>43</v>
      </c>
      <c r="AW6" s="58">
        <v>43</v>
      </c>
      <c r="AX6" s="58">
        <v>43</v>
      </c>
      <c r="AY6" s="58">
        <v>43</v>
      </c>
    </row>
    <row r="7" spans="1:57" s="21" customFormat="1" ht="8.4499999999999993" customHeight="1">
      <c r="A7" s="26"/>
      <c r="B7" s="72"/>
      <c r="C7" s="72"/>
      <c r="D7" s="29"/>
      <c r="E7" s="29"/>
      <c r="F7" s="29"/>
      <c r="G7" s="29"/>
      <c r="H7" s="28"/>
      <c r="I7" s="26"/>
      <c r="J7" s="26"/>
      <c r="AJ7"/>
      <c r="AS7" s="59" t="s">
        <v>138</v>
      </c>
      <c r="AT7" s="59" t="s">
        <v>139</v>
      </c>
      <c r="AU7" s="59" t="s">
        <v>139</v>
      </c>
      <c r="AV7" s="59" t="s">
        <v>139</v>
      </c>
      <c r="AW7" s="59" t="s">
        <v>139</v>
      </c>
      <c r="AX7" s="59" t="s">
        <v>139</v>
      </c>
      <c r="AY7" s="59" t="s">
        <v>139</v>
      </c>
    </row>
    <row r="8" spans="1:57" s="21" customFormat="1" ht="10.9" customHeight="1" thickBot="1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/>
      <c r="AK8" s="26"/>
      <c r="AL8" s="26"/>
      <c r="AM8" s="26"/>
      <c r="AN8" s="26"/>
      <c r="AO8" s="26"/>
      <c r="AP8" s="26"/>
      <c r="AQ8" s="26"/>
      <c r="AR8" s="26"/>
      <c r="AS8" s="58">
        <f>COLUMN(AS7)</f>
        <v>45</v>
      </c>
      <c r="AT8" s="58">
        <f>COLUMN(AT7)</f>
        <v>46</v>
      </c>
      <c r="AU8" s="58">
        <f t="shared" ref="AU8:AY8" si="0">COLUMN(AU7)</f>
        <v>47</v>
      </c>
      <c r="AV8" s="58">
        <f t="shared" si="0"/>
        <v>48</v>
      </c>
      <c r="AW8" s="58">
        <f t="shared" si="0"/>
        <v>49</v>
      </c>
      <c r="AX8" s="58">
        <f t="shared" si="0"/>
        <v>50</v>
      </c>
      <c r="AY8" s="58">
        <f t="shared" si="0"/>
        <v>51</v>
      </c>
    </row>
    <row r="9" spans="1:57" s="21" customFormat="1" ht="15.75" customHeight="1">
      <c r="A9" s="154" t="s">
        <v>61</v>
      </c>
      <c r="B9" s="65">
        <v>34</v>
      </c>
      <c r="C9" s="65">
        <v>1</v>
      </c>
      <c r="D9" s="65">
        <v>2</v>
      </c>
      <c r="E9" s="65">
        <v>3</v>
      </c>
      <c r="F9" s="65">
        <v>4</v>
      </c>
      <c r="G9" s="65">
        <v>5</v>
      </c>
      <c r="H9" s="65">
        <v>6</v>
      </c>
      <c r="I9" s="65">
        <v>7</v>
      </c>
      <c r="J9" s="67"/>
      <c r="K9" s="65">
        <v>8</v>
      </c>
      <c r="L9" s="65">
        <v>9</v>
      </c>
      <c r="M9" s="65">
        <v>10</v>
      </c>
      <c r="N9" s="65">
        <v>11</v>
      </c>
      <c r="O9" s="65">
        <v>12</v>
      </c>
      <c r="P9" s="65">
        <v>13</v>
      </c>
      <c r="Q9" s="65">
        <v>14</v>
      </c>
      <c r="R9" s="65">
        <v>15</v>
      </c>
      <c r="S9" s="65">
        <v>16</v>
      </c>
      <c r="T9" s="65">
        <v>17</v>
      </c>
      <c r="U9" s="65">
        <v>18</v>
      </c>
      <c r="V9" s="65">
        <v>19</v>
      </c>
      <c r="W9" s="65">
        <v>20</v>
      </c>
      <c r="X9" s="65">
        <v>21</v>
      </c>
      <c r="Y9" s="65">
        <v>22</v>
      </c>
      <c r="Z9" s="65">
        <v>23</v>
      </c>
      <c r="AA9" s="65">
        <v>24</v>
      </c>
      <c r="AB9" s="65">
        <v>25</v>
      </c>
      <c r="AC9" s="65">
        <v>26</v>
      </c>
      <c r="AD9" s="65">
        <v>27</v>
      </c>
      <c r="AE9" s="65">
        <v>28</v>
      </c>
      <c r="AF9" s="65">
        <v>29</v>
      </c>
      <c r="AG9" s="65">
        <v>30</v>
      </c>
      <c r="AH9" s="65">
        <v>31</v>
      </c>
      <c r="AI9" s="65">
        <v>32</v>
      </c>
      <c r="AJ9" s="66">
        <v>33</v>
      </c>
      <c r="AS9" s="216" t="s">
        <v>177</v>
      </c>
      <c r="AT9" s="217"/>
      <c r="AU9" s="217"/>
      <c r="AV9" s="217"/>
      <c r="AW9" s="217"/>
      <c r="AX9" s="217"/>
      <c r="AY9" s="218"/>
    </row>
    <row r="10" spans="1:57" s="21" customFormat="1" ht="35.25" customHeight="1" thickBot="1">
      <c r="A10" s="155"/>
      <c r="B10" s="158" t="s">
        <v>62</v>
      </c>
      <c r="C10" s="158" t="s">
        <v>63</v>
      </c>
      <c r="D10" s="158" t="s">
        <v>64</v>
      </c>
      <c r="E10" s="158" t="s">
        <v>65</v>
      </c>
      <c r="F10" s="162" t="s">
        <v>49</v>
      </c>
      <c r="G10" s="162"/>
      <c r="H10" s="162"/>
      <c r="I10" s="162"/>
      <c r="J10" s="162"/>
      <c r="K10" s="162"/>
      <c r="L10" s="162"/>
      <c r="M10" s="160" t="s">
        <v>48</v>
      </c>
      <c r="N10" s="160"/>
      <c r="O10" s="160"/>
      <c r="P10" s="145" t="s">
        <v>119</v>
      </c>
      <c r="Q10" s="145" t="s">
        <v>120</v>
      </c>
      <c r="R10" s="145" t="s">
        <v>121</v>
      </c>
      <c r="S10" s="145" t="s">
        <v>122</v>
      </c>
      <c r="T10" s="145" t="s">
        <v>123</v>
      </c>
      <c r="U10" s="145" t="s">
        <v>124</v>
      </c>
      <c r="V10" s="145" t="s">
        <v>125</v>
      </c>
      <c r="W10" s="145" t="s">
        <v>126</v>
      </c>
      <c r="X10" s="145" t="s">
        <v>127</v>
      </c>
      <c r="Y10" s="145" t="s">
        <v>128</v>
      </c>
      <c r="Z10" s="145" t="s">
        <v>129</v>
      </c>
      <c r="AA10" s="145" t="s">
        <v>130</v>
      </c>
      <c r="AB10" s="145" t="s">
        <v>40</v>
      </c>
      <c r="AC10" s="145"/>
      <c r="AD10" s="145" t="s">
        <v>39</v>
      </c>
      <c r="AE10" s="145"/>
      <c r="AF10" s="145"/>
      <c r="AG10" s="145"/>
      <c r="AH10" s="145" t="s">
        <v>131</v>
      </c>
      <c r="AI10" s="145" t="s">
        <v>34</v>
      </c>
      <c r="AJ10" s="147" t="s">
        <v>30</v>
      </c>
      <c r="AS10" s="219"/>
      <c r="AT10" s="220"/>
      <c r="AU10" s="220"/>
      <c r="AV10" s="220"/>
      <c r="AW10" s="220"/>
      <c r="AX10" s="220"/>
      <c r="AY10" s="221"/>
    </row>
    <row r="11" spans="1:57" s="21" customFormat="1" ht="49.5" customHeight="1">
      <c r="A11" s="155"/>
      <c r="B11" s="158"/>
      <c r="C11" s="158"/>
      <c r="D11" s="158"/>
      <c r="E11" s="158"/>
      <c r="F11" s="163" t="s">
        <v>82</v>
      </c>
      <c r="G11" s="163" t="s">
        <v>28</v>
      </c>
      <c r="H11" s="163" t="s">
        <v>83</v>
      </c>
      <c r="I11" s="152" t="s">
        <v>132</v>
      </c>
      <c r="J11" s="204"/>
      <c r="K11" s="152" t="s">
        <v>85</v>
      </c>
      <c r="L11" s="152" t="s">
        <v>23</v>
      </c>
      <c r="M11" s="161" t="s">
        <v>22</v>
      </c>
      <c r="N11" s="161"/>
      <c r="O11" s="157" t="s">
        <v>21</v>
      </c>
      <c r="P11" s="145" t="s">
        <v>119</v>
      </c>
      <c r="Q11" s="145" t="s">
        <v>120</v>
      </c>
      <c r="R11" s="145" t="s">
        <v>121</v>
      </c>
      <c r="S11" s="145" t="s">
        <v>122</v>
      </c>
      <c r="T11" s="145" t="s">
        <v>123</v>
      </c>
      <c r="U11" s="145" t="s">
        <v>124</v>
      </c>
      <c r="V11" s="145" t="s">
        <v>125</v>
      </c>
      <c r="W11" s="145" t="s">
        <v>126</v>
      </c>
      <c r="X11" s="145" t="s">
        <v>127</v>
      </c>
      <c r="Y11" s="145" t="s">
        <v>128</v>
      </c>
      <c r="Z11" s="145" t="s">
        <v>129</v>
      </c>
      <c r="AA11" s="145" t="s">
        <v>130</v>
      </c>
      <c r="AB11" s="145"/>
      <c r="AC11" s="145"/>
      <c r="AD11" s="145"/>
      <c r="AE11" s="145"/>
      <c r="AF11" s="145"/>
      <c r="AG11" s="145"/>
      <c r="AH11" s="145"/>
      <c r="AI11" s="145"/>
      <c r="AJ11" s="147"/>
      <c r="AS11" s="211" t="s">
        <v>175</v>
      </c>
      <c r="AT11" s="210" t="s">
        <v>170</v>
      </c>
      <c r="AU11" s="210" t="s">
        <v>171</v>
      </c>
      <c r="AV11" s="210" t="s">
        <v>172</v>
      </c>
      <c r="AW11" s="210" t="s">
        <v>173</v>
      </c>
      <c r="AX11" s="210" t="s">
        <v>174</v>
      </c>
      <c r="AY11" s="215" t="s">
        <v>176</v>
      </c>
    </row>
    <row r="12" spans="1:57" s="21" customFormat="1" ht="36" customHeight="1" thickBot="1">
      <c r="A12" s="156"/>
      <c r="B12" s="159"/>
      <c r="C12" s="159"/>
      <c r="D12" s="159"/>
      <c r="E12" s="159"/>
      <c r="F12" s="164"/>
      <c r="G12" s="164"/>
      <c r="H12" s="164"/>
      <c r="I12" s="153"/>
      <c r="J12" s="205"/>
      <c r="K12" s="153"/>
      <c r="L12" s="153"/>
      <c r="M12" s="75" t="s">
        <v>20</v>
      </c>
      <c r="N12" s="75" t="s">
        <v>19</v>
      </c>
      <c r="O12" s="138"/>
      <c r="P12" s="146" t="s">
        <v>119</v>
      </c>
      <c r="Q12" s="146" t="s">
        <v>120</v>
      </c>
      <c r="R12" s="146" t="s">
        <v>121</v>
      </c>
      <c r="S12" s="146" t="s">
        <v>122</v>
      </c>
      <c r="T12" s="146" t="s">
        <v>123</v>
      </c>
      <c r="U12" s="146" t="s">
        <v>124</v>
      </c>
      <c r="V12" s="146" t="s">
        <v>125</v>
      </c>
      <c r="W12" s="146" t="s">
        <v>126</v>
      </c>
      <c r="X12" s="146" t="s">
        <v>127</v>
      </c>
      <c r="Y12" s="146" t="s">
        <v>128</v>
      </c>
      <c r="Z12" s="146" t="s">
        <v>129</v>
      </c>
      <c r="AA12" s="146" t="s">
        <v>130</v>
      </c>
      <c r="AB12" s="63" t="s">
        <v>97</v>
      </c>
      <c r="AC12" s="74" t="s">
        <v>15</v>
      </c>
      <c r="AD12" s="64" t="s">
        <v>14</v>
      </c>
      <c r="AE12" s="74" t="s">
        <v>13</v>
      </c>
      <c r="AF12" s="64" t="s">
        <v>12</v>
      </c>
      <c r="AG12" s="64" t="s">
        <v>10</v>
      </c>
      <c r="AH12" s="146"/>
      <c r="AI12" s="146"/>
      <c r="AJ12" s="148"/>
      <c r="AS12" s="212"/>
      <c r="AT12" s="138"/>
      <c r="AU12" s="138"/>
      <c r="AV12" s="138"/>
      <c r="AW12" s="138"/>
      <c r="AX12" s="138"/>
      <c r="AY12" s="144"/>
    </row>
    <row r="13" spans="1:57" customFormat="1">
      <c r="A13">
        <v>1</v>
      </c>
      <c r="B13" s="18">
        <v>1</v>
      </c>
      <c r="C13" s="18">
        <v>20170300</v>
      </c>
      <c r="D13" s="18" t="s">
        <v>405</v>
      </c>
      <c r="E13" s="18" t="s">
        <v>7</v>
      </c>
      <c r="F13" s="14">
        <v>42795</v>
      </c>
      <c r="G13" s="12"/>
      <c r="H13" s="13" t="s">
        <v>2</v>
      </c>
      <c r="I13" s="13" t="s">
        <v>278</v>
      </c>
      <c r="J13" s="13"/>
      <c r="K13" s="13" t="s">
        <v>300</v>
      </c>
      <c r="L13" s="12"/>
      <c r="M13" s="12">
        <v>6</v>
      </c>
      <c r="N13" s="12">
        <v>10429276085</v>
      </c>
      <c r="O13" s="17" t="s">
        <v>301</v>
      </c>
      <c r="P13" s="88"/>
      <c r="Q13" s="88">
        <v>803.39</v>
      </c>
      <c r="R13" s="89"/>
      <c r="S13" s="88">
        <v>144.61000000000001</v>
      </c>
      <c r="T13" s="88"/>
      <c r="U13" s="88"/>
      <c r="V13" s="88"/>
      <c r="W13" s="88"/>
      <c r="X13" s="88"/>
      <c r="Y13" s="88"/>
      <c r="Z13" s="88"/>
      <c r="AA13" s="88">
        <f>SUM(P13:Z13)</f>
        <v>948</v>
      </c>
      <c r="AB13" s="12"/>
      <c r="AC13" s="12"/>
      <c r="AD13" s="12"/>
      <c r="AE13" s="12"/>
      <c r="AF13" s="12"/>
      <c r="AG13" s="12"/>
      <c r="AH13" s="12"/>
      <c r="AI13" s="12"/>
      <c r="AJ13" s="12"/>
      <c r="AS13" s="68">
        <v>12121</v>
      </c>
      <c r="AT13" s="68">
        <v>70111</v>
      </c>
      <c r="AU13" s="68">
        <v>40111</v>
      </c>
      <c r="AV13" s="68"/>
      <c r="AW13" s="69"/>
      <c r="AX13" s="70"/>
      <c r="AY13" s="71">
        <v>10100</v>
      </c>
      <c r="BD13" s="10"/>
    </row>
    <row r="14" spans="1:57" customFormat="1">
      <c r="A14">
        <v>2</v>
      </c>
      <c r="B14" s="18">
        <v>1</v>
      </c>
      <c r="C14" s="18">
        <v>20170300</v>
      </c>
      <c r="D14" s="18" t="s">
        <v>406</v>
      </c>
      <c r="E14" s="18" t="s">
        <v>6</v>
      </c>
      <c r="F14" s="14">
        <v>42795</v>
      </c>
      <c r="G14" s="12"/>
      <c r="H14" s="13" t="s">
        <v>2</v>
      </c>
      <c r="I14" s="13" t="s">
        <v>278</v>
      </c>
      <c r="J14" s="13"/>
      <c r="K14" s="13" t="s">
        <v>302</v>
      </c>
      <c r="L14" s="12"/>
      <c r="M14" s="12">
        <v>6</v>
      </c>
      <c r="N14" s="12">
        <v>10478677443</v>
      </c>
      <c r="O14" s="17" t="s">
        <v>303</v>
      </c>
      <c r="P14" s="89"/>
      <c r="Q14" s="89">
        <v>939.83</v>
      </c>
      <c r="R14" s="89"/>
      <c r="S14" s="88">
        <v>169.17</v>
      </c>
      <c r="T14" s="88"/>
      <c r="U14" s="88"/>
      <c r="V14" s="88"/>
      <c r="W14" s="88"/>
      <c r="X14" s="88"/>
      <c r="Y14" s="88"/>
      <c r="Z14" s="88"/>
      <c r="AA14" s="88">
        <f t="shared" ref="AA14:AA32" si="1">SUM(P14:Z14)</f>
        <v>1109</v>
      </c>
      <c r="AB14" s="12"/>
      <c r="AC14" s="90"/>
      <c r="AD14" s="12"/>
      <c r="AE14" s="12"/>
      <c r="AF14" s="12"/>
      <c r="AG14" s="12"/>
      <c r="AH14" s="12"/>
      <c r="AI14" s="12"/>
      <c r="AJ14" s="12"/>
      <c r="AS14" s="68">
        <v>12121</v>
      </c>
      <c r="AT14" s="68">
        <v>70111</v>
      </c>
      <c r="AU14" s="68">
        <v>40111</v>
      </c>
      <c r="AV14" s="68"/>
      <c r="AW14" s="68"/>
      <c r="AX14" s="68"/>
      <c r="AY14" s="71">
        <v>10100</v>
      </c>
      <c r="AZ14" s="10"/>
      <c r="BA14" s="10"/>
      <c r="BB14" s="10"/>
      <c r="BC14" s="10"/>
      <c r="BD14" s="10"/>
      <c r="BE14" s="10"/>
    </row>
    <row r="15" spans="1:57" customFormat="1">
      <c r="A15">
        <v>3</v>
      </c>
      <c r="B15" s="18">
        <v>1</v>
      </c>
      <c r="C15" s="18">
        <v>20170300</v>
      </c>
      <c r="D15" s="18" t="s">
        <v>407</v>
      </c>
      <c r="E15" s="18" t="s">
        <v>5</v>
      </c>
      <c r="F15" s="14">
        <v>42795</v>
      </c>
      <c r="G15" s="12"/>
      <c r="H15" s="13" t="s">
        <v>2</v>
      </c>
      <c r="I15" s="13" t="s">
        <v>278</v>
      </c>
      <c r="J15" s="13"/>
      <c r="K15" s="13" t="s">
        <v>304</v>
      </c>
      <c r="L15" s="13"/>
      <c r="M15" s="13">
        <v>6</v>
      </c>
      <c r="N15" s="12">
        <v>20524637694</v>
      </c>
      <c r="O15" s="91" t="s">
        <v>305</v>
      </c>
      <c r="P15" s="88"/>
      <c r="Q15" s="88">
        <v>1453.39</v>
      </c>
      <c r="R15" s="89"/>
      <c r="S15" s="88">
        <v>261.61</v>
      </c>
      <c r="T15" s="88"/>
      <c r="U15" s="88"/>
      <c r="V15" s="88"/>
      <c r="W15" s="88"/>
      <c r="X15" s="88"/>
      <c r="Y15" s="88"/>
      <c r="Z15" s="88"/>
      <c r="AA15" s="88">
        <f t="shared" si="1"/>
        <v>1715</v>
      </c>
      <c r="AB15" s="12"/>
      <c r="AC15" s="12"/>
      <c r="AD15" s="12"/>
      <c r="AE15" s="12"/>
      <c r="AF15" s="12"/>
      <c r="AG15" s="12"/>
      <c r="AH15" s="12"/>
      <c r="AI15" s="12"/>
      <c r="AJ15" s="12"/>
      <c r="AS15" s="68">
        <v>12121</v>
      </c>
      <c r="AT15" s="68">
        <v>70111</v>
      </c>
      <c r="AU15" s="68">
        <v>40111</v>
      </c>
      <c r="AV15" s="68"/>
      <c r="AW15" s="69"/>
      <c r="AX15" s="68"/>
      <c r="AY15" s="71">
        <v>10100</v>
      </c>
      <c r="AZ15" s="10"/>
      <c r="BA15" s="10"/>
      <c r="BB15" s="10"/>
      <c r="BC15" s="10"/>
      <c r="BD15" s="10"/>
      <c r="BE15" s="10"/>
    </row>
    <row r="16" spans="1:57" customFormat="1">
      <c r="A16">
        <v>4</v>
      </c>
      <c r="B16" s="18">
        <v>1</v>
      </c>
      <c r="C16" s="18">
        <v>20170300</v>
      </c>
      <c r="D16" s="18" t="s">
        <v>408</v>
      </c>
      <c r="E16" s="18" t="s">
        <v>3</v>
      </c>
      <c r="F16" s="14">
        <v>42795</v>
      </c>
      <c r="G16" s="12"/>
      <c r="H16" s="13" t="s">
        <v>2</v>
      </c>
      <c r="I16" s="13" t="s">
        <v>278</v>
      </c>
      <c r="J16" s="13"/>
      <c r="K16" s="13" t="s">
        <v>306</v>
      </c>
      <c r="L16" s="12"/>
      <c r="M16" s="12">
        <v>6</v>
      </c>
      <c r="N16" s="12">
        <v>10091982990</v>
      </c>
      <c r="O16" s="17" t="s">
        <v>423</v>
      </c>
      <c r="P16" s="88"/>
      <c r="Q16" s="88">
        <v>1709.32</v>
      </c>
      <c r="R16" s="89"/>
      <c r="S16" s="88">
        <v>307.68</v>
      </c>
      <c r="T16" s="88"/>
      <c r="U16" s="88"/>
      <c r="V16" s="88"/>
      <c r="W16" s="88"/>
      <c r="X16" s="88"/>
      <c r="Y16" s="88"/>
      <c r="Z16" s="88">
        <v>200</v>
      </c>
      <c r="AA16" s="88">
        <f t="shared" si="1"/>
        <v>2217</v>
      </c>
      <c r="AB16" s="12"/>
      <c r="AC16" s="12"/>
      <c r="AD16" s="12"/>
      <c r="AE16" s="12"/>
      <c r="AF16" s="12"/>
      <c r="AG16" s="12"/>
      <c r="AH16" s="12"/>
      <c r="AI16" s="12"/>
      <c r="AJ16" s="12"/>
      <c r="AS16" s="68">
        <v>12121</v>
      </c>
      <c r="AT16" s="68">
        <v>70111</v>
      </c>
      <c r="AU16" s="68">
        <v>40111</v>
      </c>
      <c r="AV16" s="68"/>
      <c r="AW16" s="69"/>
      <c r="AX16" s="71">
        <v>41911</v>
      </c>
      <c r="AY16" s="71">
        <v>10100</v>
      </c>
      <c r="AZ16" s="10"/>
      <c r="BA16" s="10"/>
      <c r="BB16" s="10"/>
      <c r="BC16" s="10"/>
      <c r="BD16" s="10"/>
      <c r="BE16" s="10"/>
    </row>
    <row r="17" spans="1:57" customFormat="1">
      <c r="A17">
        <v>5</v>
      </c>
      <c r="B17" s="18">
        <v>1</v>
      </c>
      <c r="C17" s="18">
        <v>20170300</v>
      </c>
      <c r="D17" s="18" t="s">
        <v>409</v>
      </c>
      <c r="E17" s="18" t="s">
        <v>205</v>
      </c>
      <c r="F17" s="14">
        <v>42796</v>
      </c>
      <c r="G17" s="12"/>
      <c r="H17" s="13" t="s">
        <v>2</v>
      </c>
      <c r="I17" s="13" t="s">
        <v>278</v>
      </c>
      <c r="J17" s="13"/>
      <c r="K17" s="13" t="s">
        <v>307</v>
      </c>
      <c r="L17" s="12"/>
      <c r="M17" s="12">
        <v>6</v>
      </c>
      <c r="N17" s="12">
        <v>10408019139</v>
      </c>
      <c r="O17" s="17" t="s">
        <v>308</v>
      </c>
      <c r="P17" s="88"/>
      <c r="Q17" s="88">
        <v>10786.69</v>
      </c>
      <c r="R17" s="89"/>
      <c r="S17" s="88">
        <v>1941.61</v>
      </c>
      <c r="T17" s="88"/>
      <c r="U17" s="88"/>
      <c r="V17" s="88"/>
      <c r="W17" s="88"/>
      <c r="X17" s="88"/>
      <c r="Y17" s="88"/>
      <c r="Z17" s="88"/>
      <c r="AA17" s="88">
        <f t="shared" si="1"/>
        <v>12728.300000000001</v>
      </c>
      <c r="AB17" s="12"/>
      <c r="AC17" s="12"/>
      <c r="AD17" s="12"/>
      <c r="AE17" s="12"/>
      <c r="AF17" s="12"/>
      <c r="AG17" s="12"/>
      <c r="AH17" s="12"/>
      <c r="AI17" s="12"/>
      <c r="AJ17" s="12"/>
      <c r="AS17" s="68">
        <v>12121</v>
      </c>
      <c r="AT17" s="68">
        <v>70111</v>
      </c>
      <c r="AU17" s="68">
        <v>40111</v>
      </c>
      <c r="AV17" s="68"/>
      <c r="AW17" s="69"/>
      <c r="AX17" s="68"/>
      <c r="AY17" s="71">
        <v>10100</v>
      </c>
      <c r="AZ17" s="10"/>
      <c r="BA17" s="10"/>
      <c r="BB17" s="10"/>
      <c r="BC17" s="10"/>
      <c r="BD17" s="10"/>
      <c r="BE17" s="10"/>
    </row>
    <row r="18" spans="1:57" customFormat="1">
      <c r="A18">
        <v>6</v>
      </c>
      <c r="B18" s="18">
        <v>2</v>
      </c>
      <c r="C18" s="18">
        <v>20170300</v>
      </c>
      <c r="D18" s="18">
        <v>0</v>
      </c>
      <c r="E18" s="18" t="s">
        <v>7</v>
      </c>
      <c r="F18" s="14"/>
      <c r="G18" s="12"/>
      <c r="H18" s="13" t="s">
        <v>2</v>
      </c>
      <c r="I18" s="13" t="s">
        <v>278</v>
      </c>
      <c r="J18" s="13"/>
      <c r="K18" s="13" t="s">
        <v>309</v>
      </c>
      <c r="L18" s="12"/>
      <c r="M18" s="12"/>
      <c r="N18" s="12"/>
      <c r="O18" s="17" t="s">
        <v>310</v>
      </c>
      <c r="P18" s="89"/>
      <c r="Q18" s="89"/>
      <c r="R18" s="89"/>
      <c r="S18" s="88"/>
      <c r="T18" s="88"/>
      <c r="U18" s="88"/>
      <c r="V18" s="88"/>
      <c r="W18" s="88"/>
      <c r="X18" s="88"/>
      <c r="Y18" s="88"/>
      <c r="Z18" s="88"/>
      <c r="AA18" s="88"/>
      <c r="AB18" s="12"/>
      <c r="AC18" s="12"/>
      <c r="AD18" s="12"/>
      <c r="AE18" s="12"/>
      <c r="AF18" s="12"/>
      <c r="AG18" s="12"/>
      <c r="AH18" s="12"/>
      <c r="AI18" s="12"/>
      <c r="AJ18" s="12"/>
      <c r="AS18" s="68"/>
      <c r="AT18" s="68"/>
      <c r="AU18" s="68"/>
      <c r="AV18" s="68"/>
      <c r="AW18" s="68"/>
      <c r="AX18" s="70"/>
      <c r="AY18" s="71"/>
      <c r="AZ18" s="10"/>
      <c r="BA18" s="10"/>
      <c r="BB18" s="10"/>
      <c r="BC18" s="10"/>
      <c r="BD18" s="10"/>
      <c r="BE18" s="10"/>
    </row>
    <row r="19" spans="1:57" customFormat="1">
      <c r="A19">
        <v>7</v>
      </c>
      <c r="B19" s="18">
        <v>1</v>
      </c>
      <c r="C19" s="18">
        <v>20170300</v>
      </c>
      <c r="D19" s="18" t="s">
        <v>410</v>
      </c>
      <c r="E19" s="18" t="s">
        <v>209</v>
      </c>
      <c r="F19" s="14">
        <v>42796</v>
      </c>
      <c r="G19" s="12"/>
      <c r="H19" s="13" t="s">
        <v>2</v>
      </c>
      <c r="I19" s="13" t="s">
        <v>278</v>
      </c>
      <c r="J19" s="13"/>
      <c r="K19" s="13" t="s">
        <v>311</v>
      </c>
      <c r="L19" s="12"/>
      <c r="M19" s="12">
        <v>6</v>
      </c>
      <c r="N19" s="12">
        <v>10269602657</v>
      </c>
      <c r="O19" s="17" t="s">
        <v>312</v>
      </c>
      <c r="P19" s="88"/>
      <c r="Q19" s="88">
        <v>1545.76</v>
      </c>
      <c r="R19" s="89"/>
      <c r="S19" s="88">
        <v>278.24</v>
      </c>
      <c r="T19" s="88"/>
      <c r="U19" s="88"/>
      <c r="V19" s="88"/>
      <c r="W19" s="88"/>
      <c r="X19" s="88"/>
      <c r="Y19" s="88"/>
      <c r="Z19" s="88"/>
      <c r="AA19" s="88">
        <f t="shared" si="1"/>
        <v>1824</v>
      </c>
      <c r="AB19" s="12"/>
      <c r="AC19" s="12"/>
      <c r="AD19" s="12"/>
      <c r="AE19" s="12"/>
      <c r="AF19" s="12"/>
      <c r="AG19" s="12"/>
      <c r="AH19" s="12"/>
      <c r="AI19" s="12"/>
      <c r="AJ19" s="12"/>
      <c r="AS19" s="68">
        <v>12121</v>
      </c>
      <c r="AT19" s="68">
        <v>70111</v>
      </c>
      <c r="AU19" s="68">
        <v>40111</v>
      </c>
      <c r="AV19" s="68"/>
      <c r="AW19" s="69"/>
      <c r="AX19" s="69"/>
      <c r="AY19" s="71">
        <v>10100</v>
      </c>
      <c r="AZ19" s="10"/>
      <c r="BA19" s="10"/>
      <c r="BB19" s="10"/>
      <c r="BC19" s="10"/>
      <c r="BD19" s="10"/>
      <c r="BE19" s="10"/>
    </row>
    <row r="20" spans="1:57" customFormat="1">
      <c r="A20">
        <v>8</v>
      </c>
      <c r="B20" s="18">
        <v>1</v>
      </c>
      <c r="C20" s="18">
        <v>20170300</v>
      </c>
      <c r="D20" s="18" t="s">
        <v>411</v>
      </c>
      <c r="E20" s="18" t="s">
        <v>214</v>
      </c>
      <c r="F20" s="14">
        <v>42796</v>
      </c>
      <c r="G20" s="12"/>
      <c r="H20" s="13" t="s">
        <v>2</v>
      </c>
      <c r="I20" s="13" t="s">
        <v>278</v>
      </c>
      <c r="J20" s="13"/>
      <c r="K20" s="13" t="s">
        <v>313</v>
      </c>
      <c r="L20" s="12"/>
      <c r="M20" s="12">
        <v>6</v>
      </c>
      <c r="N20" s="12">
        <v>10773813197</v>
      </c>
      <c r="O20" s="17" t="s">
        <v>314</v>
      </c>
      <c r="P20" s="88"/>
      <c r="Q20" s="88">
        <v>2146.56</v>
      </c>
      <c r="R20" s="89"/>
      <c r="S20" s="88">
        <v>386.38</v>
      </c>
      <c r="T20" s="88"/>
      <c r="U20" s="88"/>
      <c r="V20" s="88"/>
      <c r="W20" s="88"/>
      <c r="X20" s="88"/>
      <c r="Y20" s="88"/>
      <c r="Z20" s="88"/>
      <c r="AA20" s="88">
        <f t="shared" si="1"/>
        <v>2532.94</v>
      </c>
      <c r="AB20" s="12"/>
      <c r="AC20" s="12"/>
      <c r="AD20" s="12"/>
      <c r="AE20" s="12"/>
      <c r="AF20" s="12"/>
      <c r="AG20" s="12"/>
      <c r="AH20" s="12"/>
      <c r="AI20" s="12"/>
      <c r="AJ20" s="12"/>
      <c r="AS20" s="68">
        <v>12121</v>
      </c>
      <c r="AT20" s="68">
        <v>70111</v>
      </c>
      <c r="AU20" s="68">
        <v>40111</v>
      </c>
      <c r="AV20" s="68"/>
      <c r="AW20" s="69"/>
      <c r="AX20" s="68"/>
      <c r="AY20" s="71">
        <v>10100</v>
      </c>
      <c r="AZ20" s="10"/>
      <c r="BA20" s="10"/>
      <c r="BB20" s="10"/>
      <c r="BC20" s="10"/>
      <c r="BD20" s="10"/>
      <c r="BE20" s="10"/>
    </row>
    <row r="21" spans="1:57" customFormat="1">
      <c r="A21">
        <v>9</v>
      </c>
      <c r="B21" s="18">
        <v>1</v>
      </c>
      <c r="C21" s="18">
        <v>20170300</v>
      </c>
      <c r="D21" s="18" t="s">
        <v>412</v>
      </c>
      <c r="E21" s="18" t="s">
        <v>217</v>
      </c>
      <c r="F21" s="14">
        <v>42797</v>
      </c>
      <c r="G21" s="12"/>
      <c r="H21" s="13" t="s">
        <v>2</v>
      </c>
      <c r="I21" s="13" t="s">
        <v>278</v>
      </c>
      <c r="J21" s="13"/>
      <c r="K21" s="13" t="s">
        <v>315</v>
      </c>
      <c r="L21" s="12"/>
      <c r="M21" s="12">
        <v>6</v>
      </c>
      <c r="N21" s="12">
        <v>10433688444</v>
      </c>
      <c r="O21" s="17" t="s">
        <v>316</v>
      </c>
      <c r="P21" s="88"/>
      <c r="Q21" s="88">
        <v>289.83</v>
      </c>
      <c r="R21" s="89"/>
      <c r="S21" s="88">
        <v>52.17</v>
      </c>
      <c r="T21" s="88"/>
      <c r="U21" s="88"/>
      <c r="V21" s="88"/>
      <c r="W21" s="88">
        <v>4.3474499999999994</v>
      </c>
      <c r="X21" s="88"/>
      <c r="Y21" s="88"/>
      <c r="Z21" s="88"/>
      <c r="AA21" s="88">
        <f t="shared" si="1"/>
        <v>346.34744999999998</v>
      </c>
      <c r="AB21" s="12"/>
      <c r="AC21" s="12"/>
      <c r="AD21" s="12"/>
      <c r="AE21" s="12"/>
      <c r="AF21" s="12"/>
      <c r="AG21" s="12"/>
      <c r="AH21" s="12"/>
      <c r="AI21" s="12"/>
      <c r="AJ21" s="12"/>
      <c r="AS21" s="68">
        <v>12121</v>
      </c>
      <c r="AT21" s="68">
        <v>70111</v>
      </c>
      <c r="AU21" s="68">
        <v>40111</v>
      </c>
      <c r="AV21" s="68">
        <v>40121</v>
      </c>
      <c r="AW21" s="69"/>
      <c r="AX21" s="68"/>
      <c r="AY21" s="71">
        <v>10100</v>
      </c>
      <c r="AZ21" s="10"/>
      <c r="BA21" s="10"/>
      <c r="BB21" s="10"/>
      <c r="BC21" s="10"/>
      <c r="BD21" s="10"/>
      <c r="BE21" s="10"/>
    </row>
    <row r="22" spans="1:57" customFormat="1">
      <c r="A22">
        <v>10</v>
      </c>
      <c r="B22" s="18">
        <v>1</v>
      </c>
      <c r="C22" s="18">
        <v>20170300</v>
      </c>
      <c r="D22" s="18" t="s">
        <v>413</v>
      </c>
      <c r="E22" s="18" t="s">
        <v>221</v>
      </c>
      <c r="F22" s="14">
        <v>42797</v>
      </c>
      <c r="G22" s="12"/>
      <c r="H22" s="13" t="s">
        <v>2</v>
      </c>
      <c r="I22" s="13" t="s">
        <v>278</v>
      </c>
      <c r="J22" s="13"/>
      <c r="K22" s="13" t="s">
        <v>317</v>
      </c>
      <c r="L22" s="12"/>
      <c r="M22" s="12">
        <v>6</v>
      </c>
      <c r="N22" s="12">
        <v>10091013695</v>
      </c>
      <c r="O22" s="17" t="s">
        <v>318</v>
      </c>
      <c r="P22" s="88"/>
      <c r="Q22" s="88">
        <v>1171.95</v>
      </c>
      <c r="R22" s="89"/>
      <c r="S22" s="88">
        <v>210.95</v>
      </c>
      <c r="T22" s="88"/>
      <c r="U22" s="88"/>
      <c r="V22" s="88"/>
      <c r="W22" s="88">
        <v>17.579249999999998</v>
      </c>
      <c r="X22" s="88"/>
      <c r="Y22" s="88"/>
      <c r="Z22" s="88"/>
      <c r="AA22" s="88">
        <f t="shared" si="1"/>
        <v>1400.4792500000001</v>
      </c>
      <c r="AB22" s="12"/>
      <c r="AC22" s="12"/>
      <c r="AD22" s="12"/>
      <c r="AE22" s="12"/>
      <c r="AF22" s="12"/>
      <c r="AG22" s="12"/>
      <c r="AH22" s="12"/>
      <c r="AI22" s="12"/>
      <c r="AJ22" s="12"/>
      <c r="AS22" s="68">
        <v>12121</v>
      </c>
      <c r="AT22" s="68">
        <v>70111</v>
      </c>
      <c r="AU22" s="68">
        <v>40111</v>
      </c>
      <c r="AV22" s="68">
        <v>40121</v>
      </c>
      <c r="AW22" s="69"/>
      <c r="AX22" s="68"/>
      <c r="AY22" s="71">
        <v>10100</v>
      </c>
      <c r="AZ22" s="10"/>
      <c r="BA22" s="10"/>
      <c r="BB22" s="10"/>
      <c r="BC22" s="10"/>
      <c r="BD22" s="10"/>
      <c r="BE22" s="10"/>
    </row>
    <row r="23" spans="1:57" customFormat="1">
      <c r="A23">
        <v>11</v>
      </c>
      <c r="B23" s="18">
        <v>2</v>
      </c>
      <c r="C23" s="18">
        <v>20170300</v>
      </c>
      <c r="D23" s="18">
        <v>0</v>
      </c>
      <c r="E23" s="18" t="s">
        <v>6</v>
      </c>
      <c r="F23" s="14"/>
      <c r="G23" s="12"/>
      <c r="H23" s="13" t="s">
        <v>2</v>
      </c>
      <c r="I23" s="13" t="s">
        <v>278</v>
      </c>
      <c r="J23" s="13"/>
      <c r="K23" s="13" t="s">
        <v>319</v>
      </c>
      <c r="L23" s="12"/>
      <c r="M23" s="12"/>
      <c r="N23" s="12"/>
      <c r="O23" s="17" t="s">
        <v>310</v>
      </c>
      <c r="P23" s="88"/>
      <c r="Q23" s="88"/>
      <c r="R23" s="89"/>
      <c r="S23" s="88"/>
      <c r="T23" s="88"/>
      <c r="U23" s="88"/>
      <c r="V23" s="88"/>
      <c r="W23" s="88">
        <v>0</v>
      </c>
      <c r="X23" s="88"/>
      <c r="Y23" s="88"/>
      <c r="Z23" s="88"/>
      <c r="AA23" s="88"/>
      <c r="AB23" s="12"/>
      <c r="AC23" s="12"/>
      <c r="AD23" s="12"/>
      <c r="AE23" s="12"/>
      <c r="AF23" s="12"/>
      <c r="AG23" s="12"/>
      <c r="AH23" s="12"/>
      <c r="AI23" s="12"/>
      <c r="AJ23" s="12"/>
      <c r="AS23" s="68"/>
      <c r="AT23" s="68"/>
      <c r="AU23" s="68"/>
      <c r="AV23" s="68"/>
      <c r="AW23" s="68"/>
      <c r="AX23" s="68"/>
      <c r="AY23" s="71"/>
      <c r="AZ23" s="10"/>
      <c r="BA23" s="10"/>
      <c r="BB23" s="10"/>
      <c r="BC23" s="10"/>
      <c r="BD23" s="10"/>
      <c r="BE23" s="10"/>
    </row>
    <row r="24" spans="1:57" customFormat="1">
      <c r="A24">
        <v>12</v>
      </c>
      <c r="B24" s="18">
        <v>1</v>
      </c>
      <c r="C24" s="18">
        <v>20170300</v>
      </c>
      <c r="D24" s="18" t="s">
        <v>414</v>
      </c>
      <c r="E24" s="18" t="s">
        <v>223</v>
      </c>
      <c r="F24" s="14">
        <v>42797</v>
      </c>
      <c r="G24" s="12"/>
      <c r="H24" s="13" t="s">
        <v>2</v>
      </c>
      <c r="I24" s="13" t="s">
        <v>278</v>
      </c>
      <c r="J24" s="13"/>
      <c r="K24" s="13" t="s">
        <v>320</v>
      </c>
      <c r="L24" s="12"/>
      <c r="M24" s="12">
        <v>6</v>
      </c>
      <c r="N24" s="12">
        <v>20521301580</v>
      </c>
      <c r="O24" s="17" t="s">
        <v>321</v>
      </c>
      <c r="P24" s="88"/>
      <c r="Q24" s="10"/>
      <c r="R24" s="89"/>
      <c r="S24" s="88"/>
      <c r="T24" s="88"/>
      <c r="U24" s="88"/>
      <c r="V24" s="88"/>
      <c r="W24" s="88"/>
      <c r="X24" s="88">
        <v>2118.64</v>
      </c>
      <c r="Y24" s="88">
        <f>+X24*0.04</f>
        <v>84.745599999999996</v>
      </c>
      <c r="Z24" s="88"/>
      <c r="AA24" s="88">
        <f>SUM(P24:Z24)</f>
        <v>2203.3856000000001</v>
      </c>
      <c r="AB24" s="12"/>
      <c r="AC24" s="12"/>
      <c r="AD24" s="12"/>
      <c r="AE24" s="12"/>
      <c r="AF24" s="12"/>
      <c r="AG24" s="12"/>
      <c r="AH24" s="12"/>
      <c r="AI24" s="12"/>
      <c r="AJ24" s="12"/>
      <c r="AS24" s="68">
        <v>12121</v>
      </c>
      <c r="AT24" s="68">
        <v>70111</v>
      </c>
      <c r="AU24" s="68"/>
      <c r="AV24" s="68"/>
      <c r="AW24" s="71">
        <v>40122</v>
      </c>
      <c r="AX24" s="68"/>
      <c r="AY24" s="71">
        <v>10100</v>
      </c>
      <c r="AZ24" s="10"/>
      <c r="BA24" s="10"/>
      <c r="BB24" s="10"/>
      <c r="BC24" s="10"/>
      <c r="BD24" s="10"/>
      <c r="BE24" s="10"/>
    </row>
    <row r="25" spans="1:57" customFormat="1">
      <c r="A25">
        <v>13</v>
      </c>
      <c r="B25" s="18">
        <v>1</v>
      </c>
      <c r="C25" s="18">
        <v>20170300</v>
      </c>
      <c r="D25" s="18" t="s">
        <v>415</v>
      </c>
      <c r="E25" s="18" t="s">
        <v>228</v>
      </c>
      <c r="F25" s="14">
        <v>42798</v>
      </c>
      <c r="G25" s="12"/>
      <c r="H25" s="13" t="s">
        <v>2</v>
      </c>
      <c r="I25" s="13" t="s">
        <v>278</v>
      </c>
      <c r="J25" s="13"/>
      <c r="K25" s="13" t="s">
        <v>322</v>
      </c>
      <c r="L25" s="12"/>
      <c r="M25" s="12">
        <v>6</v>
      </c>
      <c r="N25" s="12">
        <v>10091931741</v>
      </c>
      <c r="O25" s="17" t="s">
        <v>323</v>
      </c>
      <c r="P25" s="88"/>
      <c r="Q25" s="88">
        <v>2966.1</v>
      </c>
      <c r="R25" s="89"/>
      <c r="S25" s="88">
        <v>533.9</v>
      </c>
      <c r="T25" s="88"/>
      <c r="U25" s="88"/>
      <c r="V25" s="88"/>
      <c r="W25" s="88"/>
      <c r="X25" s="88"/>
      <c r="Y25" s="88"/>
      <c r="Z25" s="88"/>
      <c r="AA25" s="88">
        <f t="shared" si="1"/>
        <v>3500</v>
      </c>
      <c r="AB25" s="12"/>
      <c r="AC25" s="12"/>
      <c r="AD25" s="12"/>
      <c r="AE25" s="12"/>
      <c r="AF25" s="12"/>
      <c r="AG25" s="12"/>
      <c r="AH25" s="12"/>
      <c r="AI25" s="12"/>
      <c r="AJ25" s="12"/>
      <c r="AS25" s="68">
        <v>12121</v>
      </c>
      <c r="AT25" s="68">
        <v>70111</v>
      </c>
      <c r="AU25" s="68">
        <v>40111</v>
      </c>
      <c r="AV25" s="68"/>
      <c r="AW25" s="69"/>
      <c r="AX25" s="68"/>
      <c r="AY25" s="71">
        <v>10100</v>
      </c>
      <c r="AZ25" s="10"/>
      <c r="BA25" s="10"/>
      <c r="BB25" s="10"/>
      <c r="BC25" s="10"/>
      <c r="BD25" s="10"/>
      <c r="BE25" s="10"/>
    </row>
    <row r="26" spans="1:57" customFormat="1">
      <c r="A26">
        <v>14</v>
      </c>
      <c r="B26" s="18">
        <v>1</v>
      </c>
      <c r="C26" s="18">
        <v>20170300</v>
      </c>
      <c r="D26" s="18" t="s">
        <v>416</v>
      </c>
      <c r="E26" s="18" t="s">
        <v>232</v>
      </c>
      <c r="F26" s="14">
        <v>42798</v>
      </c>
      <c r="G26" s="12"/>
      <c r="H26" s="13" t="s">
        <v>2</v>
      </c>
      <c r="I26" s="13" t="s">
        <v>278</v>
      </c>
      <c r="J26" s="13"/>
      <c r="K26" s="13" t="s">
        <v>324</v>
      </c>
      <c r="L26" s="12"/>
      <c r="M26" s="12">
        <v>6</v>
      </c>
      <c r="N26" s="12">
        <v>10215418851</v>
      </c>
      <c r="O26" s="17" t="s">
        <v>325</v>
      </c>
      <c r="P26" s="88"/>
      <c r="Q26" s="88">
        <v>342.92</v>
      </c>
      <c r="R26" s="89"/>
      <c r="S26" s="88">
        <v>61.72</v>
      </c>
      <c r="T26" s="88"/>
      <c r="U26" s="88"/>
      <c r="V26" s="88"/>
      <c r="W26" s="88"/>
      <c r="X26" s="88"/>
      <c r="Y26" s="88"/>
      <c r="Z26" s="88"/>
      <c r="AA26" s="88">
        <f t="shared" si="1"/>
        <v>404.64</v>
      </c>
      <c r="AB26" s="12"/>
      <c r="AC26" s="12"/>
      <c r="AD26" s="12"/>
      <c r="AE26" s="12"/>
      <c r="AF26" s="12"/>
      <c r="AG26" s="12"/>
      <c r="AH26" s="12"/>
      <c r="AI26" s="12"/>
      <c r="AJ26" s="12"/>
      <c r="AS26" s="68">
        <v>12121</v>
      </c>
      <c r="AT26" s="68">
        <v>70111</v>
      </c>
      <c r="AU26" s="68">
        <v>40111</v>
      </c>
      <c r="AV26" s="68"/>
      <c r="AW26" s="69"/>
      <c r="AX26" s="69"/>
      <c r="AY26" s="71">
        <v>10100</v>
      </c>
      <c r="AZ26" s="10"/>
      <c r="BA26" s="10"/>
      <c r="BB26" s="10"/>
      <c r="BC26" s="10"/>
      <c r="BD26" s="10"/>
      <c r="BE26" s="10"/>
    </row>
    <row r="27" spans="1:57" customFormat="1">
      <c r="A27">
        <v>15</v>
      </c>
      <c r="B27" s="18">
        <v>1</v>
      </c>
      <c r="C27" s="18">
        <v>20170300</v>
      </c>
      <c r="D27" s="18" t="s">
        <v>417</v>
      </c>
      <c r="E27" s="18" t="s">
        <v>235</v>
      </c>
      <c r="F27" s="14">
        <v>42798</v>
      </c>
      <c r="G27" s="12"/>
      <c r="H27" s="13" t="s">
        <v>2</v>
      </c>
      <c r="I27" s="13" t="s">
        <v>278</v>
      </c>
      <c r="J27" s="13"/>
      <c r="K27" s="13" t="s">
        <v>326</v>
      </c>
      <c r="L27" s="12"/>
      <c r="M27" s="12">
        <v>6</v>
      </c>
      <c r="N27" s="12">
        <v>10269602657</v>
      </c>
      <c r="O27" s="17" t="s">
        <v>312</v>
      </c>
      <c r="P27" s="88"/>
      <c r="Q27" s="88">
        <v>635.59</v>
      </c>
      <c r="R27" s="89"/>
      <c r="S27" s="88">
        <v>114.41</v>
      </c>
      <c r="T27" s="88"/>
      <c r="U27" s="88"/>
      <c r="V27" s="88"/>
      <c r="W27" s="88"/>
      <c r="X27" s="88"/>
      <c r="Y27" s="88"/>
      <c r="Z27" s="88"/>
      <c r="AA27" s="88">
        <f t="shared" si="1"/>
        <v>750</v>
      </c>
      <c r="AB27" s="12"/>
      <c r="AC27" s="12"/>
      <c r="AD27" s="12"/>
      <c r="AE27" s="12"/>
      <c r="AF27" s="12"/>
      <c r="AG27" s="12"/>
      <c r="AH27" s="12"/>
      <c r="AI27" s="12"/>
      <c r="AJ27" s="12"/>
      <c r="AS27" s="68">
        <v>12121</v>
      </c>
      <c r="AT27" s="68">
        <v>70111</v>
      </c>
      <c r="AU27" s="68">
        <v>40111</v>
      </c>
      <c r="AV27" s="68"/>
      <c r="AW27" s="68"/>
      <c r="AX27" s="68"/>
      <c r="AY27" s="71">
        <v>10100</v>
      </c>
      <c r="AZ27" s="10"/>
      <c r="BA27" s="10"/>
      <c r="BB27" s="10"/>
      <c r="BC27" s="10"/>
      <c r="BD27" s="10"/>
      <c r="BE27" s="10"/>
    </row>
    <row r="28" spans="1:57" customFormat="1">
      <c r="A28">
        <v>16</v>
      </c>
      <c r="B28" s="18">
        <v>1</v>
      </c>
      <c r="C28" s="18">
        <v>20170300</v>
      </c>
      <c r="D28" s="18" t="s">
        <v>418</v>
      </c>
      <c r="E28" s="18" t="s">
        <v>240</v>
      </c>
      <c r="F28" s="14">
        <v>42799</v>
      </c>
      <c r="G28" s="12"/>
      <c r="H28" s="13" t="s">
        <v>2</v>
      </c>
      <c r="I28" s="13" t="s">
        <v>278</v>
      </c>
      <c r="J28" s="13"/>
      <c r="K28" s="13" t="s">
        <v>327</v>
      </c>
      <c r="L28" s="12"/>
      <c r="M28" s="12">
        <v>6</v>
      </c>
      <c r="N28" s="12">
        <v>10417861896</v>
      </c>
      <c r="O28" s="17" t="s">
        <v>328</v>
      </c>
      <c r="P28" s="88"/>
      <c r="Q28" s="88">
        <v>888.64</v>
      </c>
      <c r="R28" s="89"/>
      <c r="S28" s="88">
        <v>159.96</v>
      </c>
      <c r="T28" s="88"/>
      <c r="U28" s="88"/>
      <c r="V28" s="88"/>
      <c r="W28" s="88"/>
      <c r="X28" s="88"/>
      <c r="Y28" s="88"/>
      <c r="Z28" s="88"/>
      <c r="AA28" s="88">
        <f t="shared" si="1"/>
        <v>1048.5999999999999</v>
      </c>
      <c r="AB28" s="12"/>
      <c r="AC28" s="12"/>
      <c r="AD28" s="12"/>
      <c r="AE28" s="12"/>
      <c r="AF28" s="12"/>
      <c r="AG28" s="12"/>
      <c r="AH28" s="12"/>
      <c r="AI28" s="12"/>
      <c r="AJ28" s="12"/>
      <c r="AS28" s="68">
        <v>12121</v>
      </c>
      <c r="AT28" s="68">
        <v>70111</v>
      </c>
      <c r="AU28" s="68">
        <v>40111</v>
      </c>
      <c r="AV28" s="68"/>
      <c r="AW28" s="68"/>
      <c r="AX28" s="68"/>
      <c r="AY28" s="71">
        <v>10100</v>
      </c>
      <c r="AZ28" s="10"/>
      <c r="BA28" s="10"/>
      <c r="BB28" s="10"/>
      <c r="BC28" s="10"/>
      <c r="BD28" s="10"/>
      <c r="BE28" s="10"/>
    </row>
    <row r="29" spans="1:57" customFormat="1">
      <c r="A29">
        <v>17</v>
      </c>
      <c r="B29" s="18">
        <v>1</v>
      </c>
      <c r="C29" s="18">
        <v>20170300</v>
      </c>
      <c r="D29" s="18" t="s">
        <v>419</v>
      </c>
      <c r="E29" s="18" t="s">
        <v>244</v>
      </c>
      <c r="F29" s="14">
        <v>42799</v>
      </c>
      <c r="G29" s="12"/>
      <c r="H29" s="13" t="s">
        <v>2</v>
      </c>
      <c r="I29" s="13" t="s">
        <v>278</v>
      </c>
      <c r="J29" s="13"/>
      <c r="K29" s="13" t="s">
        <v>329</v>
      </c>
      <c r="L29" s="12"/>
      <c r="M29" s="12">
        <v>6</v>
      </c>
      <c r="N29" s="12">
        <v>20600476166</v>
      </c>
      <c r="O29" s="17" t="s">
        <v>330</v>
      </c>
      <c r="P29" s="88"/>
      <c r="Q29" s="88">
        <v>5108.3100000000004</v>
      </c>
      <c r="R29" s="89"/>
      <c r="S29" s="88">
        <v>919.49</v>
      </c>
      <c r="T29" s="88"/>
      <c r="U29" s="88"/>
      <c r="V29" s="88"/>
      <c r="W29" s="88"/>
      <c r="X29" s="88"/>
      <c r="Y29" s="88"/>
      <c r="Z29" s="88"/>
      <c r="AA29" s="88">
        <f t="shared" si="1"/>
        <v>6027.8</v>
      </c>
      <c r="AB29" s="12"/>
      <c r="AC29" s="12"/>
      <c r="AD29" s="12"/>
      <c r="AE29" s="12"/>
      <c r="AF29" s="12"/>
      <c r="AG29" s="12"/>
      <c r="AH29" s="12"/>
      <c r="AI29" s="12"/>
      <c r="AJ29" s="12"/>
      <c r="AS29" s="68">
        <v>12121</v>
      </c>
      <c r="AT29" s="68">
        <v>70111</v>
      </c>
      <c r="AU29" s="68">
        <v>40111</v>
      </c>
      <c r="AV29" s="68"/>
      <c r="AW29" s="69"/>
      <c r="AX29" s="68"/>
      <c r="AY29" s="71">
        <v>10100</v>
      </c>
      <c r="AZ29" s="10"/>
      <c r="BA29" s="10"/>
      <c r="BB29" s="10"/>
      <c r="BC29" s="10"/>
      <c r="BD29" s="10"/>
      <c r="BE29" s="10"/>
    </row>
    <row r="30" spans="1:57" customFormat="1">
      <c r="A30">
        <v>18</v>
      </c>
      <c r="B30" s="18">
        <v>1</v>
      </c>
      <c r="C30" s="18">
        <v>20170300</v>
      </c>
      <c r="D30" s="18" t="s">
        <v>420</v>
      </c>
      <c r="E30" s="18" t="s">
        <v>249</v>
      </c>
      <c r="F30" s="14">
        <v>42799</v>
      </c>
      <c r="G30" s="12"/>
      <c r="H30" s="13" t="s">
        <v>2</v>
      </c>
      <c r="I30" s="13" t="s">
        <v>278</v>
      </c>
      <c r="J30" s="13"/>
      <c r="K30" s="13" t="s">
        <v>331</v>
      </c>
      <c r="L30" s="12"/>
      <c r="M30" s="12">
        <v>6</v>
      </c>
      <c r="N30" s="12">
        <v>10095372207</v>
      </c>
      <c r="O30" s="17" t="s">
        <v>332</v>
      </c>
      <c r="P30" s="88"/>
      <c r="Q30" s="88">
        <v>788.98</v>
      </c>
      <c r="R30" s="89"/>
      <c r="S30" s="88">
        <v>142.02000000000001</v>
      </c>
      <c r="T30" s="88"/>
      <c r="U30" s="88"/>
      <c r="V30" s="88"/>
      <c r="W30" s="88"/>
      <c r="X30" s="88"/>
      <c r="Y30" s="88"/>
      <c r="Z30" s="88"/>
      <c r="AA30" s="88">
        <f t="shared" si="1"/>
        <v>931</v>
      </c>
      <c r="AB30" s="12"/>
      <c r="AC30" s="12"/>
      <c r="AD30" s="12"/>
      <c r="AE30" s="12"/>
      <c r="AF30" s="12"/>
      <c r="AG30" s="12"/>
      <c r="AH30" s="12"/>
      <c r="AI30" s="12"/>
      <c r="AJ30" s="12"/>
      <c r="AS30" s="68">
        <v>12121</v>
      </c>
      <c r="AT30" s="68">
        <v>70111</v>
      </c>
      <c r="AU30" s="68">
        <v>40111</v>
      </c>
      <c r="AV30" s="68"/>
      <c r="AW30" s="69"/>
      <c r="AX30" s="68"/>
      <c r="AY30" s="71">
        <v>10100</v>
      </c>
      <c r="AZ30" s="10"/>
      <c r="BA30" s="10"/>
      <c r="BB30" s="10"/>
      <c r="BC30" s="10"/>
      <c r="BD30" s="10"/>
      <c r="BE30" s="10"/>
    </row>
    <row r="31" spans="1:57" customFormat="1">
      <c r="A31">
        <v>19</v>
      </c>
      <c r="B31" s="18">
        <v>1</v>
      </c>
      <c r="C31" s="18">
        <v>20170300</v>
      </c>
      <c r="D31" s="18" t="s">
        <v>421</v>
      </c>
      <c r="E31" s="18" t="s">
        <v>253</v>
      </c>
      <c r="F31" s="14">
        <v>42800</v>
      </c>
      <c r="G31" s="12"/>
      <c r="H31" s="13" t="s">
        <v>2</v>
      </c>
      <c r="I31" s="13" t="s">
        <v>278</v>
      </c>
      <c r="J31" s="13"/>
      <c r="K31" s="13" t="s">
        <v>333</v>
      </c>
      <c r="L31" s="12"/>
      <c r="M31" s="12">
        <v>6</v>
      </c>
      <c r="N31" s="12">
        <v>10433688444</v>
      </c>
      <c r="O31" s="17" t="s">
        <v>316</v>
      </c>
      <c r="P31" s="88"/>
      <c r="Q31" s="88">
        <v>774.58</v>
      </c>
      <c r="R31" s="89"/>
      <c r="S31" s="88">
        <v>139.41999999999999</v>
      </c>
      <c r="T31" s="88"/>
      <c r="U31" s="88"/>
      <c r="V31" s="88"/>
      <c r="W31" s="88">
        <v>11.6187</v>
      </c>
      <c r="X31" s="88"/>
      <c r="Y31" s="88"/>
      <c r="Z31" s="88"/>
      <c r="AA31" s="88">
        <f t="shared" si="1"/>
        <v>925.61869999999999</v>
      </c>
      <c r="AB31" s="12"/>
      <c r="AC31" s="12"/>
      <c r="AD31" s="12"/>
      <c r="AE31" s="12"/>
      <c r="AF31" s="12"/>
      <c r="AG31" s="12"/>
      <c r="AH31" s="12"/>
      <c r="AI31" s="12"/>
      <c r="AJ31" s="12"/>
      <c r="AS31" s="68">
        <v>12121</v>
      </c>
      <c r="AT31" s="68">
        <v>70111</v>
      </c>
      <c r="AU31" s="68">
        <v>40111</v>
      </c>
      <c r="AV31" s="68">
        <v>40121</v>
      </c>
      <c r="AW31" s="69"/>
      <c r="AX31" s="68"/>
      <c r="AY31" s="71">
        <v>10100</v>
      </c>
      <c r="AZ31" s="10"/>
      <c r="BA31" s="10"/>
      <c r="BB31" s="10"/>
      <c r="BC31" s="10"/>
      <c r="BD31" s="10"/>
      <c r="BE31" s="10"/>
    </row>
    <row r="32" spans="1:57" customFormat="1">
      <c r="A32">
        <v>20</v>
      </c>
      <c r="B32" s="18">
        <v>1</v>
      </c>
      <c r="C32" s="18">
        <v>20170300</v>
      </c>
      <c r="D32" s="18" t="s">
        <v>422</v>
      </c>
      <c r="E32" s="18" t="s">
        <v>256</v>
      </c>
      <c r="F32" s="14">
        <v>42800</v>
      </c>
      <c r="G32" s="12"/>
      <c r="H32" s="13" t="s">
        <v>2</v>
      </c>
      <c r="I32" s="13" t="s">
        <v>278</v>
      </c>
      <c r="J32" s="13"/>
      <c r="K32" s="13" t="s">
        <v>334</v>
      </c>
      <c r="L32" s="12"/>
      <c r="M32" s="12">
        <v>6</v>
      </c>
      <c r="N32" s="12">
        <v>10401407711</v>
      </c>
      <c r="O32" s="91" t="s">
        <v>335</v>
      </c>
      <c r="P32" s="88"/>
      <c r="Q32" s="88">
        <v>427.97</v>
      </c>
      <c r="R32" s="89"/>
      <c r="S32" s="88">
        <v>77.03</v>
      </c>
      <c r="T32" s="88"/>
      <c r="U32" s="88"/>
      <c r="V32" s="88"/>
      <c r="W32" s="88"/>
      <c r="X32" s="88"/>
      <c r="Y32" s="88"/>
      <c r="Z32" s="88"/>
      <c r="AA32" s="88">
        <f t="shared" si="1"/>
        <v>505</v>
      </c>
      <c r="AB32" s="12"/>
      <c r="AC32" s="12"/>
      <c r="AD32" s="12"/>
      <c r="AE32" s="12"/>
      <c r="AF32" s="12"/>
      <c r="AG32" s="12"/>
      <c r="AH32" s="12"/>
      <c r="AI32" s="12"/>
      <c r="AJ32" s="12"/>
      <c r="AS32" s="68">
        <v>12121</v>
      </c>
      <c r="AT32" s="68">
        <v>70111</v>
      </c>
      <c r="AU32" s="68">
        <v>40111</v>
      </c>
      <c r="AV32" s="68"/>
      <c r="AW32" s="69"/>
      <c r="AX32" s="69"/>
      <c r="AY32" s="71">
        <v>10100</v>
      </c>
      <c r="AZ32" s="10"/>
      <c r="BA32" s="10"/>
      <c r="BB32" s="10"/>
      <c r="BC32" s="10"/>
      <c r="BD32" s="10"/>
      <c r="BE32" s="10"/>
    </row>
    <row r="33" spans="45:57" customFormat="1">
      <c r="AS33" s="68"/>
      <c r="AT33" s="68"/>
      <c r="AU33" s="68"/>
      <c r="AV33" s="68"/>
      <c r="AW33" s="69"/>
      <c r="AX33" s="68"/>
      <c r="AY33" s="71"/>
      <c r="AZ33" s="10"/>
      <c r="BA33" s="10"/>
      <c r="BB33" s="10"/>
      <c r="BC33" s="10"/>
      <c r="BD33" s="10"/>
      <c r="BE33" s="10"/>
    </row>
    <row r="34" spans="45:57" customFormat="1">
      <c r="AS34" s="68"/>
      <c r="AT34" s="68"/>
      <c r="AU34" s="68"/>
      <c r="AV34" s="68"/>
      <c r="AW34" s="69"/>
      <c r="AX34" s="69"/>
      <c r="AY34" s="71"/>
      <c r="AZ34" s="10"/>
      <c r="BA34" s="10"/>
      <c r="BB34" s="10"/>
      <c r="BC34" s="10"/>
      <c r="BD34" s="10"/>
      <c r="BE34" s="10"/>
    </row>
    <row r="35" spans="45:57" customFormat="1">
      <c r="AS35" s="68"/>
      <c r="AT35" s="68"/>
      <c r="AU35" s="68"/>
      <c r="AV35" s="68"/>
      <c r="AW35" s="68"/>
      <c r="AX35" s="68"/>
      <c r="AY35" s="71"/>
      <c r="AZ35" s="10"/>
      <c r="BA35" s="10"/>
      <c r="BB35" s="10"/>
      <c r="BC35" s="10"/>
      <c r="BD35" s="10"/>
      <c r="BE35" s="10"/>
    </row>
    <row r="36" spans="45:57" customFormat="1">
      <c r="AS36" s="68"/>
      <c r="AT36" s="68"/>
      <c r="AU36" s="68"/>
      <c r="AV36" s="68"/>
      <c r="AW36" s="69"/>
      <c r="AX36" s="68"/>
      <c r="AY36" s="71"/>
      <c r="AZ36" s="10"/>
      <c r="BA36" s="10"/>
      <c r="BB36" s="10"/>
      <c r="BC36" s="10"/>
      <c r="BD36" s="10"/>
      <c r="BE36" s="10"/>
    </row>
    <row r="37" spans="45:57" customFormat="1">
      <c r="AS37" s="68"/>
      <c r="AT37" s="68"/>
      <c r="AU37" s="68"/>
      <c r="AV37" s="68"/>
      <c r="AW37" s="69"/>
      <c r="AX37" s="68"/>
      <c r="AY37" s="71"/>
      <c r="AZ37" s="10"/>
      <c r="BA37" s="10"/>
      <c r="BB37" s="10"/>
      <c r="BC37" s="10"/>
      <c r="BD37" s="10"/>
      <c r="BE37" s="10"/>
    </row>
    <row r="38" spans="45:57" customFormat="1">
      <c r="AS38" s="68"/>
      <c r="AT38" s="68"/>
      <c r="AU38" s="68"/>
      <c r="AV38" s="68"/>
      <c r="AW38" s="69"/>
      <c r="AX38" s="68"/>
      <c r="AY38" s="71"/>
      <c r="AZ38" s="10"/>
      <c r="BA38" s="10"/>
      <c r="BB38" s="10"/>
      <c r="BC38" s="10"/>
      <c r="BD38" s="10"/>
      <c r="BE38" s="10"/>
    </row>
    <row r="39" spans="45:57" customFormat="1">
      <c r="AS39" s="68"/>
      <c r="AT39" s="68"/>
      <c r="AU39" s="68"/>
      <c r="AV39" s="68"/>
      <c r="AW39" s="68"/>
      <c r="AX39" s="68"/>
      <c r="AY39" s="71"/>
      <c r="AZ39" s="10"/>
      <c r="BA39" s="10"/>
      <c r="BB39" s="10"/>
      <c r="BC39" s="10"/>
      <c r="BD39" s="10"/>
      <c r="BE39" s="10"/>
    </row>
    <row r="40" spans="45:57" customFormat="1">
      <c r="AS40" s="68"/>
      <c r="AT40" s="68"/>
      <c r="AU40" s="68"/>
      <c r="AV40" s="68"/>
      <c r="AW40" s="69"/>
      <c r="AX40" s="68"/>
      <c r="AY40" s="71"/>
      <c r="AZ40" s="10"/>
      <c r="BA40" s="10"/>
      <c r="BB40" s="10"/>
      <c r="BC40" s="10"/>
      <c r="BD40" s="10"/>
      <c r="BE40" s="10"/>
    </row>
    <row r="41" spans="45:57" customFormat="1">
      <c r="AS41" s="68"/>
      <c r="AT41" s="68"/>
      <c r="AU41" s="68"/>
      <c r="AV41" s="68"/>
      <c r="AW41" s="69"/>
      <c r="AX41" s="68"/>
      <c r="AY41" s="71"/>
      <c r="AZ41" s="10"/>
      <c r="BA41" s="10"/>
      <c r="BB41" s="10"/>
      <c r="BC41" s="10"/>
      <c r="BD41" s="10"/>
      <c r="BE41" s="10"/>
    </row>
    <row r="42" spans="45:57" customFormat="1">
      <c r="AS42" s="68"/>
      <c r="AT42" s="68"/>
      <c r="AU42" s="68"/>
      <c r="AV42" s="68"/>
      <c r="AW42" s="69"/>
      <c r="AX42" s="68"/>
      <c r="AY42" s="71"/>
      <c r="AZ42" s="10"/>
      <c r="BA42" s="10"/>
      <c r="BB42" s="10"/>
      <c r="BC42" s="10"/>
      <c r="BD42" s="10"/>
      <c r="BE42" s="10"/>
    </row>
    <row r="43" spans="45:57" customFormat="1">
      <c r="AS43" s="68"/>
      <c r="AT43" s="68"/>
      <c r="AU43" s="68"/>
      <c r="AV43" s="68"/>
      <c r="AW43" s="69"/>
      <c r="AX43" s="68"/>
      <c r="AY43" s="71"/>
      <c r="AZ43" s="10"/>
      <c r="BA43" s="10"/>
      <c r="BB43" s="10"/>
      <c r="BC43" s="10"/>
      <c r="BD43" s="10"/>
      <c r="BE43" s="10"/>
    </row>
    <row r="44" spans="45:57" customFormat="1">
      <c r="AS44" s="68"/>
      <c r="AT44" s="68"/>
      <c r="AU44" s="68"/>
      <c r="AV44" s="68"/>
      <c r="AW44" s="68"/>
      <c r="AX44" s="68"/>
      <c r="AY44" s="71"/>
      <c r="AZ44" s="10"/>
      <c r="BA44" s="10"/>
      <c r="BB44" s="10"/>
      <c r="BC44" s="10"/>
      <c r="BD44" s="10"/>
      <c r="BE44" s="10"/>
    </row>
    <row r="45" spans="45:57" customFormat="1">
      <c r="AS45" s="68"/>
      <c r="AT45" s="68"/>
      <c r="AU45" s="68"/>
      <c r="AV45" s="68"/>
      <c r="AW45" s="69"/>
      <c r="AX45" s="68"/>
      <c r="AY45" s="71"/>
      <c r="AZ45" s="10"/>
      <c r="BA45" s="10"/>
      <c r="BB45" s="10"/>
      <c r="BC45" s="10"/>
      <c r="BD45" s="10"/>
      <c r="BE45" s="10"/>
    </row>
    <row r="46" spans="45:57" customFormat="1">
      <c r="AS46" s="68"/>
      <c r="AT46" s="68"/>
      <c r="AU46" s="68"/>
      <c r="AV46" s="68"/>
      <c r="AW46" s="69"/>
      <c r="AX46" s="69"/>
      <c r="AY46" s="71"/>
      <c r="AZ46" s="10"/>
      <c r="BA46" s="10"/>
      <c r="BB46" s="10"/>
      <c r="BC46" s="10"/>
      <c r="BD46" s="10"/>
      <c r="BE46" s="10"/>
    </row>
    <row r="47" spans="45:57" customFormat="1">
      <c r="AS47" s="68"/>
      <c r="AT47" s="68"/>
      <c r="AU47" s="68"/>
      <c r="AV47" s="68"/>
      <c r="AW47" s="69"/>
      <c r="AX47" s="69"/>
      <c r="AY47" s="71"/>
      <c r="AZ47" s="10"/>
      <c r="BA47" s="10"/>
      <c r="BB47" s="10"/>
      <c r="BC47" s="10"/>
      <c r="BD47" s="10"/>
      <c r="BE47" s="10"/>
    </row>
    <row r="48" spans="45:57" customFormat="1">
      <c r="AS48" s="68"/>
      <c r="AT48" s="68"/>
      <c r="AU48" s="68"/>
      <c r="AV48" s="68"/>
      <c r="AW48" s="68"/>
      <c r="AX48" s="69"/>
      <c r="AY48" s="71"/>
      <c r="AZ48" s="10"/>
      <c r="BA48" s="10"/>
      <c r="BB48" s="10"/>
      <c r="BC48" s="10"/>
      <c r="BD48" s="10"/>
      <c r="BE48" s="10"/>
    </row>
    <row r="49" spans="45:57" customFormat="1">
      <c r="AS49" s="68"/>
      <c r="AT49" s="68"/>
      <c r="AU49" s="68"/>
      <c r="AV49" s="68"/>
      <c r="AW49" s="68"/>
      <c r="AX49" s="69"/>
      <c r="AY49" s="71"/>
      <c r="AZ49" s="10"/>
      <c r="BA49" s="10"/>
      <c r="BB49" s="10"/>
      <c r="BC49" s="10"/>
      <c r="BD49" s="10"/>
      <c r="BE49" s="10"/>
    </row>
    <row r="50" spans="45:57" customFormat="1">
      <c r="AS50" s="68"/>
      <c r="AT50" s="68"/>
      <c r="AU50" s="68"/>
      <c r="AV50" s="68"/>
      <c r="AW50" s="69"/>
      <c r="AX50" s="69"/>
      <c r="AY50" s="71"/>
      <c r="AZ50" s="10"/>
      <c r="BA50" s="10"/>
      <c r="BB50" s="10"/>
      <c r="BC50" s="10"/>
      <c r="BD50" s="10"/>
      <c r="BE50" s="10"/>
    </row>
    <row r="51" spans="45:57" customFormat="1">
      <c r="AS51" s="68"/>
      <c r="AT51" s="68"/>
      <c r="AU51" s="68"/>
      <c r="AV51" s="68"/>
      <c r="AW51" s="69"/>
      <c r="AX51" s="69"/>
      <c r="AY51" s="71"/>
      <c r="AZ51" s="10"/>
      <c r="BA51" s="10"/>
      <c r="BB51" s="10"/>
      <c r="BC51" s="10"/>
      <c r="BD51" s="10"/>
      <c r="BE51" s="10"/>
    </row>
    <row r="52" spans="45:57" customFormat="1">
      <c r="AS52" s="68"/>
      <c r="AT52" s="68"/>
      <c r="AU52" s="68"/>
      <c r="AV52" s="68"/>
      <c r="AW52" s="69"/>
      <c r="AX52" s="69"/>
      <c r="AY52" s="71"/>
      <c r="AZ52" s="10"/>
      <c r="BA52" s="10"/>
      <c r="BB52" s="10"/>
      <c r="BC52" s="10"/>
      <c r="BD52" s="10"/>
      <c r="BE52" s="10"/>
    </row>
    <row r="53" spans="45:57" customFormat="1">
      <c r="AS53" s="68"/>
      <c r="AT53" s="68"/>
      <c r="AU53" s="68"/>
      <c r="AV53" s="68"/>
      <c r="AW53" s="69"/>
      <c r="AX53" s="69"/>
      <c r="AY53" s="71"/>
      <c r="AZ53" s="10"/>
      <c r="BA53" s="10"/>
      <c r="BB53" s="10"/>
      <c r="BC53" s="10"/>
      <c r="BD53" s="10"/>
      <c r="BE53" s="10"/>
    </row>
    <row r="54" spans="45:57" customFormat="1">
      <c r="AS54" s="68"/>
      <c r="AT54" s="68"/>
      <c r="AU54" s="68"/>
      <c r="AV54" s="68"/>
      <c r="AW54" s="69"/>
      <c r="AX54" s="69"/>
      <c r="AY54" s="71"/>
      <c r="AZ54" s="10"/>
      <c r="BA54" s="10"/>
      <c r="BB54" s="10"/>
      <c r="BC54" s="10"/>
      <c r="BD54" s="10"/>
      <c r="BE54" s="10"/>
    </row>
    <row r="55" spans="45:57" customFormat="1">
      <c r="AS55" s="68"/>
      <c r="AT55" s="68"/>
      <c r="AU55" s="68"/>
      <c r="AV55" s="68"/>
      <c r="AW55" s="68"/>
      <c r="AX55" s="69"/>
      <c r="AY55" s="71"/>
      <c r="AZ55" s="10"/>
      <c r="BA55" s="10"/>
      <c r="BB55" s="10"/>
      <c r="BC55" s="10"/>
      <c r="BD55" s="10"/>
      <c r="BE55" s="10"/>
    </row>
    <row r="56" spans="45:57" customFormat="1">
      <c r="AS56" s="68"/>
      <c r="AT56" s="68"/>
      <c r="AU56" s="68"/>
      <c r="AV56" s="68"/>
      <c r="AW56" s="69"/>
      <c r="AX56" s="69"/>
      <c r="AY56" s="71"/>
      <c r="AZ56" s="10"/>
      <c r="BA56" s="10"/>
      <c r="BB56" s="10"/>
      <c r="BC56" s="10"/>
      <c r="BD56" s="10"/>
      <c r="BE56" s="10"/>
    </row>
    <row r="57" spans="45:57" customFormat="1">
      <c r="AS57" s="68"/>
      <c r="AT57" s="68"/>
      <c r="AU57" s="68"/>
      <c r="AV57" s="68"/>
      <c r="AW57" s="69"/>
      <c r="AX57" s="69"/>
      <c r="AY57" s="71"/>
      <c r="AZ57" s="10"/>
      <c r="BA57" s="10"/>
      <c r="BB57" s="10"/>
      <c r="BC57" s="10"/>
      <c r="BD57" s="10"/>
      <c r="BE57" s="10"/>
    </row>
    <row r="58" spans="45:57" customFormat="1">
      <c r="AS58" s="68"/>
      <c r="AT58" s="68"/>
      <c r="AU58" s="68"/>
      <c r="AV58" s="68"/>
      <c r="AW58" s="69"/>
      <c r="AX58" s="69"/>
      <c r="AY58" s="71"/>
      <c r="AZ58" s="10"/>
      <c r="BA58" s="10"/>
      <c r="BB58" s="10"/>
      <c r="BC58" s="10"/>
      <c r="BD58" s="10"/>
      <c r="BE58" s="10"/>
    </row>
    <row r="59" spans="45:57" customFormat="1">
      <c r="AS59" s="68"/>
      <c r="AT59" s="68"/>
      <c r="AU59" s="68"/>
      <c r="AV59" s="68"/>
      <c r="AW59" s="68"/>
      <c r="AX59" s="69"/>
      <c r="AY59" s="71"/>
      <c r="AZ59" s="10"/>
      <c r="BA59" s="10"/>
      <c r="BB59" s="10"/>
      <c r="BC59" s="10"/>
      <c r="BD59" s="10"/>
      <c r="BE59" s="10"/>
    </row>
    <row r="60" spans="45:57" customFormat="1">
      <c r="AS60" s="68"/>
      <c r="AT60" s="68"/>
      <c r="AU60" s="68"/>
      <c r="AV60" s="68"/>
      <c r="AW60" s="69"/>
      <c r="AX60" s="69"/>
      <c r="AY60" s="71"/>
      <c r="AZ60" s="10"/>
      <c r="BA60" s="10"/>
      <c r="BB60" s="10"/>
      <c r="BC60" s="10"/>
      <c r="BD60" s="10"/>
      <c r="BE60" s="10"/>
    </row>
    <row r="61" spans="45:57" customFormat="1">
      <c r="AS61" s="68"/>
      <c r="AT61" s="68"/>
      <c r="AU61" s="68"/>
      <c r="AV61" s="68"/>
      <c r="AW61" s="69"/>
      <c r="AX61" s="69"/>
      <c r="AY61" s="71"/>
      <c r="AZ61" s="10"/>
      <c r="BA61" s="10"/>
      <c r="BB61" s="10"/>
      <c r="BC61" s="10"/>
      <c r="BD61" s="10"/>
      <c r="BE61" s="10"/>
    </row>
    <row r="62" spans="45:57" customFormat="1">
      <c r="AS62" s="68"/>
      <c r="AT62" s="68"/>
      <c r="AU62" s="68"/>
      <c r="AV62" s="68"/>
      <c r="AW62" s="69"/>
      <c r="AX62" s="69"/>
      <c r="AY62" s="71"/>
      <c r="AZ62" s="10"/>
      <c r="BA62" s="10"/>
      <c r="BB62" s="10"/>
      <c r="BC62" s="10"/>
      <c r="BD62" s="10"/>
      <c r="BE62" s="10"/>
    </row>
    <row r="63" spans="45:57" customFormat="1">
      <c r="AS63" s="68"/>
      <c r="AT63" s="68"/>
      <c r="AU63" s="68"/>
      <c r="AV63" s="68"/>
      <c r="AW63" s="69"/>
      <c r="AX63" s="69"/>
      <c r="AY63" s="71"/>
      <c r="AZ63" s="10"/>
      <c r="BA63" s="10"/>
      <c r="BB63" s="10"/>
      <c r="BC63" s="10"/>
      <c r="BD63" s="10"/>
      <c r="BE63" s="10"/>
    </row>
    <row r="64" spans="45:57" customFormat="1">
      <c r="AS64" s="68"/>
      <c r="AT64" s="68"/>
      <c r="AU64" s="68"/>
      <c r="AV64" s="68"/>
      <c r="AW64" s="68"/>
      <c r="AX64" s="69"/>
      <c r="AY64" s="71"/>
      <c r="AZ64" s="10"/>
      <c r="BA64" s="10"/>
      <c r="BB64" s="10"/>
      <c r="BC64" s="10"/>
      <c r="BD64" s="10"/>
      <c r="BE64" s="10"/>
    </row>
    <row r="65" spans="45:57" customFormat="1">
      <c r="AS65" s="68"/>
      <c r="AT65" s="68"/>
      <c r="AU65" s="68"/>
      <c r="AV65" s="68"/>
      <c r="AW65" s="69"/>
      <c r="AX65" s="69"/>
      <c r="AY65" s="71"/>
      <c r="AZ65" s="10"/>
      <c r="BA65" s="10"/>
      <c r="BB65" s="10"/>
      <c r="BC65" s="10"/>
      <c r="BD65" s="10"/>
      <c r="BE65" s="10"/>
    </row>
    <row r="66" spans="45:57" customFormat="1">
      <c r="AS66" s="68"/>
      <c r="AT66" s="68"/>
      <c r="AU66" s="68"/>
      <c r="AV66" s="68"/>
      <c r="AW66" s="69"/>
      <c r="AX66" s="69"/>
      <c r="AY66" s="71"/>
      <c r="AZ66" s="10"/>
      <c r="BA66" s="10"/>
      <c r="BB66" s="10"/>
      <c r="BC66" s="10"/>
      <c r="BD66" s="10"/>
      <c r="BE66" s="10"/>
    </row>
    <row r="67" spans="45:57" customFormat="1">
      <c r="AS67" s="68"/>
      <c r="AT67" s="68"/>
      <c r="AU67" s="68"/>
      <c r="AV67" s="68"/>
      <c r="AW67" s="69"/>
      <c r="AX67" s="69"/>
      <c r="AY67" s="71"/>
      <c r="AZ67" s="10"/>
      <c r="BA67" s="10"/>
      <c r="BB67" s="10"/>
      <c r="BC67" s="10"/>
      <c r="BD67" s="10"/>
      <c r="BE67" s="10"/>
    </row>
    <row r="68" spans="45:57" customFormat="1">
      <c r="AS68" s="68"/>
      <c r="AT68" s="68"/>
      <c r="AU68" s="68"/>
      <c r="AV68" s="68"/>
      <c r="AW68" s="68"/>
      <c r="AX68" s="69"/>
      <c r="AY68" s="71"/>
      <c r="AZ68" s="10"/>
      <c r="BA68" s="10"/>
      <c r="BB68" s="10"/>
      <c r="BC68" s="10"/>
      <c r="BD68" s="10"/>
      <c r="BE68" s="10"/>
    </row>
    <row r="69" spans="45:57" customFormat="1">
      <c r="AS69" s="68"/>
      <c r="AT69" s="68"/>
      <c r="AU69" s="68"/>
      <c r="AV69" s="68"/>
      <c r="AW69" s="68"/>
      <c r="AX69" s="69"/>
      <c r="AY69" s="71"/>
      <c r="AZ69" s="10"/>
      <c r="BA69" s="10"/>
      <c r="BB69" s="10"/>
      <c r="BC69" s="10"/>
      <c r="BD69" s="10"/>
      <c r="BE69" s="10"/>
    </row>
    <row r="70" spans="45:57" customFormat="1">
      <c r="AS70" s="68"/>
      <c r="AT70" s="68"/>
      <c r="AU70" s="68"/>
      <c r="AV70" s="68"/>
      <c r="AW70" s="69"/>
      <c r="AX70" s="69"/>
      <c r="AY70" s="71"/>
      <c r="AZ70" s="10"/>
      <c r="BA70" s="10"/>
      <c r="BB70" s="10"/>
      <c r="BC70" s="10"/>
      <c r="BD70" s="10"/>
      <c r="BE70" s="10"/>
    </row>
    <row r="71" spans="45:57" customFormat="1">
      <c r="AS71" s="68"/>
      <c r="AT71" s="68"/>
      <c r="AU71" s="68"/>
      <c r="AV71" s="68"/>
      <c r="AW71" s="69"/>
      <c r="AX71" s="69"/>
      <c r="AY71" s="71"/>
      <c r="AZ71" s="10"/>
      <c r="BA71" s="10"/>
      <c r="BB71" s="10"/>
      <c r="BC71" s="10"/>
      <c r="BD71" s="10"/>
      <c r="BE71" s="10"/>
    </row>
    <row r="72" spans="45:57" customFormat="1">
      <c r="AS72" s="68"/>
      <c r="AT72" s="68"/>
      <c r="AU72" s="68"/>
      <c r="AV72" s="68"/>
      <c r="AW72" s="69"/>
      <c r="AX72" s="69"/>
      <c r="AY72" s="71"/>
      <c r="AZ72" s="10"/>
      <c r="BA72" s="10"/>
      <c r="BB72" s="10"/>
      <c r="BC72" s="10"/>
      <c r="BD72" s="10"/>
      <c r="BE72" s="10"/>
    </row>
    <row r="73" spans="45:57" customFormat="1">
      <c r="AS73" s="68"/>
      <c r="AT73" s="68"/>
      <c r="AU73" s="68"/>
      <c r="AV73" s="68"/>
      <c r="AW73" s="69"/>
      <c r="AX73" s="69"/>
      <c r="AY73" s="71"/>
      <c r="AZ73" s="10"/>
      <c r="BA73" s="10"/>
      <c r="BB73" s="10"/>
      <c r="BC73" s="10"/>
      <c r="BD73" s="10"/>
      <c r="BE73" s="10"/>
    </row>
    <row r="74" spans="45:57" customFormat="1">
      <c r="AS74" s="68"/>
      <c r="AT74" s="68"/>
      <c r="AU74" s="68"/>
      <c r="AV74" s="68"/>
      <c r="AW74" s="69"/>
      <c r="AX74" s="69"/>
      <c r="AY74" s="71"/>
      <c r="AZ74" s="10"/>
      <c r="BA74" s="10"/>
      <c r="BB74" s="10"/>
      <c r="BC74" s="10"/>
      <c r="BD74" s="10"/>
      <c r="BE74" s="10"/>
    </row>
    <row r="75" spans="45:57" customFormat="1">
      <c r="AS75" s="68"/>
      <c r="AT75" s="68"/>
      <c r="AU75" s="68"/>
      <c r="AV75" s="68"/>
      <c r="AW75" s="69"/>
      <c r="AX75" s="69"/>
      <c r="AY75" s="71"/>
      <c r="AZ75" s="10"/>
      <c r="BA75" s="10"/>
      <c r="BB75" s="10"/>
      <c r="BC75" s="10"/>
      <c r="BD75" s="10"/>
      <c r="BE75" s="10"/>
    </row>
    <row r="76" spans="45:57" customFormat="1">
      <c r="AS76" s="68"/>
      <c r="AT76" s="68"/>
      <c r="AU76" s="68"/>
      <c r="AV76" s="68"/>
      <c r="AW76" s="68"/>
      <c r="AX76" s="69"/>
      <c r="AY76" s="71"/>
      <c r="AZ76" s="10"/>
      <c r="BA76" s="10"/>
      <c r="BB76" s="10"/>
      <c r="BC76" s="10"/>
      <c r="BD76" s="10"/>
      <c r="BE76" s="10"/>
    </row>
    <row r="77" spans="45:57" customFormat="1">
      <c r="AS77" s="68"/>
      <c r="AT77" s="68"/>
      <c r="AU77" s="68"/>
      <c r="AV77" s="68"/>
      <c r="AW77" s="69"/>
      <c r="AX77" s="69"/>
      <c r="AY77" s="71"/>
      <c r="AZ77" s="10"/>
      <c r="BA77" s="10"/>
      <c r="BB77" s="10"/>
      <c r="BC77" s="10"/>
      <c r="BD77" s="10"/>
      <c r="BE77" s="10"/>
    </row>
    <row r="78" spans="45:57" customFormat="1">
      <c r="AS78" s="68"/>
      <c r="AT78" s="68"/>
      <c r="AU78" s="68"/>
      <c r="AV78" s="68"/>
      <c r="AW78" s="69"/>
      <c r="AX78" s="69"/>
      <c r="AY78" s="71"/>
      <c r="AZ78" s="10"/>
      <c r="BA78" s="10"/>
      <c r="BB78" s="10"/>
      <c r="BC78" s="10"/>
      <c r="BD78" s="10"/>
      <c r="BE78" s="10"/>
    </row>
    <row r="79" spans="45:57" customFormat="1">
      <c r="AS79" s="68"/>
      <c r="AT79" s="68"/>
      <c r="AU79" s="68"/>
      <c r="AV79" s="68"/>
      <c r="AW79" s="69"/>
      <c r="AX79" s="69"/>
      <c r="AY79" s="71"/>
      <c r="AZ79" s="10"/>
      <c r="BA79" s="10"/>
      <c r="BB79" s="10"/>
      <c r="BC79" s="10"/>
      <c r="BD79" s="10"/>
      <c r="BE79" s="10"/>
    </row>
    <row r="80" spans="45:57" customFormat="1">
      <c r="AS80" s="68"/>
      <c r="AT80" s="68"/>
      <c r="AU80" s="68"/>
      <c r="AV80" s="68"/>
      <c r="AW80" s="68"/>
      <c r="AX80" s="69"/>
      <c r="AY80" s="71"/>
      <c r="AZ80" s="10"/>
      <c r="BA80" s="10"/>
      <c r="BB80" s="10"/>
      <c r="BC80" s="10"/>
      <c r="BD80" s="10"/>
      <c r="BE80" s="10"/>
    </row>
    <row r="81" spans="45:57" customFormat="1">
      <c r="AS81" s="68"/>
      <c r="AT81" s="68"/>
      <c r="AU81" s="68"/>
      <c r="AV81" s="68"/>
      <c r="AW81" s="69"/>
      <c r="AX81" s="69"/>
      <c r="AY81" s="71"/>
      <c r="AZ81" s="10"/>
      <c r="BA81" s="10"/>
      <c r="BB81" s="10"/>
      <c r="BC81" s="10"/>
      <c r="BD81" s="10"/>
      <c r="BE81" s="10"/>
    </row>
    <row r="82" spans="45:57" customFormat="1">
      <c r="AS82" s="68"/>
      <c r="AT82" s="68"/>
      <c r="AU82" s="68"/>
      <c r="AV82" s="68"/>
      <c r="AW82" s="69"/>
      <c r="AX82" s="69"/>
      <c r="AY82" s="71"/>
      <c r="AZ82" s="10"/>
      <c r="BA82" s="10"/>
      <c r="BB82" s="10"/>
      <c r="BC82" s="10"/>
      <c r="BD82" s="10"/>
      <c r="BE82" s="10"/>
    </row>
    <row r="83" spans="45:57" customFormat="1">
      <c r="AS83" s="68"/>
      <c r="AT83" s="68"/>
      <c r="AU83" s="68"/>
      <c r="AV83" s="68"/>
      <c r="AW83" s="69"/>
      <c r="AX83" s="69"/>
      <c r="AY83" s="71"/>
      <c r="AZ83" s="10"/>
      <c r="BA83" s="10"/>
      <c r="BB83" s="10"/>
      <c r="BC83" s="10"/>
      <c r="BD83" s="10"/>
      <c r="BE83" s="10"/>
    </row>
    <row r="84" spans="45:57" customFormat="1">
      <c r="AS84" s="68"/>
      <c r="AT84" s="68"/>
      <c r="AU84" s="68"/>
      <c r="AV84" s="68"/>
      <c r="AW84" s="69"/>
      <c r="AX84" s="69"/>
      <c r="AY84" s="71"/>
      <c r="AZ84" s="10"/>
      <c r="BA84" s="10"/>
      <c r="BB84" s="10"/>
      <c r="BC84" s="10"/>
      <c r="BD84" s="10"/>
      <c r="BE84" s="10"/>
    </row>
    <row r="85" spans="45:57" customFormat="1">
      <c r="AS85" s="68"/>
      <c r="AT85" s="68"/>
      <c r="AU85" s="68"/>
      <c r="AV85" s="68"/>
      <c r="AW85" s="68"/>
      <c r="AX85" s="69"/>
      <c r="AY85" s="71"/>
      <c r="AZ85" s="10"/>
      <c r="BA85" s="10"/>
      <c r="BB85" s="10"/>
      <c r="BC85" s="10"/>
      <c r="BD85" s="10"/>
      <c r="BE85" s="10"/>
    </row>
    <row r="86" spans="45:57" customFormat="1">
      <c r="AS86" s="68"/>
      <c r="AT86" s="68"/>
      <c r="AU86" s="68"/>
      <c r="AV86" s="68"/>
      <c r="AW86" s="69"/>
      <c r="AX86" s="69"/>
      <c r="AY86" s="71"/>
      <c r="AZ86" s="10"/>
      <c r="BA86" s="10"/>
      <c r="BB86" s="10"/>
      <c r="BC86" s="10"/>
      <c r="BD86" s="10"/>
      <c r="BE86" s="10"/>
    </row>
    <row r="87" spans="45:57" customFormat="1">
      <c r="AS87" s="68"/>
      <c r="AT87" s="68"/>
      <c r="AU87" s="68"/>
      <c r="AV87" s="68"/>
      <c r="AW87" s="69"/>
      <c r="AX87" s="69"/>
      <c r="AY87" s="71"/>
      <c r="AZ87" s="10"/>
      <c r="BA87" s="10"/>
      <c r="BB87" s="10"/>
      <c r="BC87" s="10"/>
      <c r="BD87" s="10"/>
      <c r="BE87" s="10"/>
    </row>
    <row r="88" spans="45:57" customFormat="1">
      <c r="AS88" s="68"/>
      <c r="AT88" s="68"/>
      <c r="AU88" s="68"/>
      <c r="AV88" s="68"/>
      <c r="AW88" s="69"/>
      <c r="AX88" s="69"/>
      <c r="AY88" s="71"/>
      <c r="AZ88" s="10"/>
      <c r="BA88" s="10"/>
      <c r="BB88" s="10"/>
      <c r="BC88" s="10"/>
      <c r="BD88" s="10"/>
      <c r="BE88" s="10"/>
    </row>
    <row r="89" spans="45:57" customFormat="1">
      <c r="AS89" s="68"/>
      <c r="AT89" s="68"/>
      <c r="AU89" s="68"/>
      <c r="AV89" s="68"/>
      <c r="AW89" s="68"/>
      <c r="AX89" s="69"/>
      <c r="AY89" s="71"/>
      <c r="AZ89" s="10"/>
      <c r="BA89" s="10"/>
      <c r="BB89" s="10"/>
      <c r="BC89" s="10"/>
      <c r="BD89" s="10"/>
      <c r="BE89" s="10"/>
    </row>
    <row r="90" spans="45:57" customFormat="1">
      <c r="AS90" s="68"/>
      <c r="AT90" s="68"/>
      <c r="AU90" s="68"/>
      <c r="AV90" s="68"/>
      <c r="AW90" s="68"/>
      <c r="AX90" s="69"/>
      <c r="AY90" s="71"/>
      <c r="AZ90" s="10"/>
      <c r="BA90" s="10"/>
      <c r="BB90" s="10"/>
      <c r="BC90" s="10"/>
      <c r="BD90" s="10"/>
      <c r="BE90" s="10"/>
    </row>
    <row r="91" spans="45:57" customFormat="1">
      <c r="AS91" s="68"/>
      <c r="AT91" s="68"/>
      <c r="AU91" s="68"/>
      <c r="AV91" s="68"/>
      <c r="AW91" s="69"/>
      <c r="AX91" s="69"/>
      <c r="AY91" s="71"/>
      <c r="AZ91" s="10"/>
      <c r="BA91" s="10"/>
      <c r="BB91" s="10"/>
      <c r="BC91" s="10"/>
      <c r="BD91" s="10"/>
      <c r="BE91" s="10"/>
    </row>
    <row r="92" spans="45:57" customFormat="1">
      <c r="AS92" s="68"/>
      <c r="AT92" s="68"/>
      <c r="AU92" s="68"/>
      <c r="AV92" s="68"/>
      <c r="AW92" s="69"/>
      <c r="AX92" s="69"/>
      <c r="AY92" s="71"/>
      <c r="AZ92" s="10"/>
      <c r="BA92" s="10"/>
      <c r="BB92" s="10"/>
      <c r="BC92" s="10"/>
      <c r="BD92" s="10"/>
      <c r="BE92" s="10"/>
    </row>
    <row r="93" spans="45:57" customFormat="1">
      <c r="AS93" s="68"/>
      <c r="AT93" s="68"/>
      <c r="AU93" s="68"/>
      <c r="AV93" s="68"/>
      <c r="AW93" s="69"/>
      <c r="AX93" s="69"/>
      <c r="AY93" s="71"/>
      <c r="AZ93" s="10"/>
      <c r="BA93" s="10"/>
      <c r="BB93" s="10"/>
      <c r="BC93" s="10"/>
      <c r="BD93" s="10"/>
      <c r="BE93" s="10"/>
    </row>
    <row r="94" spans="45:57" customFormat="1">
      <c r="AS94" s="68"/>
      <c r="AT94" s="68"/>
      <c r="AU94" s="68"/>
      <c r="AV94" s="68"/>
      <c r="AW94" s="69"/>
      <c r="AX94" s="69"/>
      <c r="AY94" s="71"/>
      <c r="AZ94" s="10"/>
      <c r="BA94" s="10"/>
      <c r="BB94" s="10"/>
      <c r="BC94" s="10"/>
      <c r="BD94" s="10"/>
      <c r="BE94" s="10"/>
    </row>
    <row r="95" spans="45:57" customFormat="1">
      <c r="AS95" s="68"/>
      <c r="AT95" s="68"/>
      <c r="AU95" s="68"/>
      <c r="AV95" s="68"/>
      <c r="AW95" s="69"/>
      <c r="AX95" s="69"/>
      <c r="AY95" s="71"/>
      <c r="AZ95" s="10"/>
      <c r="BA95" s="10"/>
      <c r="BB95" s="10"/>
      <c r="BC95" s="10"/>
      <c r="BD95" s="10"/>
      <c r="BE95" s="10"/>
    </row>
    <row r="96" spans="45:57" customFormat="1">
      <c r="AS96" s="68"/>
      <c r="AT96" s="68"/>
      <c r="AU96" s="68"/>
      <c r="AV96" s="68"/>
      <c r="AW96" s="68"/>
      <c r="AX96" s="69"/>
      <c r="AY96" s="71"/>
      <c r="AZ96" s="10"/>
      <c r="BA96" s="10"/>
      <c r="BB96" s="10"/>
      <c r="BC96" s="10"/>
      <c r="BD96" s="10"/>
      <c r="BE96" s="10"/>
    </row>
    <row r="97" spans="45:57" customFormat="1">
      <c r="AS97" s="68"/>
      <c r="AT97" s="68"/>
      <c r="AU97" s="68"/>
      <c r="AV97" s="68"/>
      <c r="AW97" s="69"/>
      <c r="AX97" s="69"/>
      <c r="AY97" s="71"/>
      <c r="AZ97" s="10"/>
      <c r="BA97" s="10"/>
      <c r="BB97" s="10"/>
      <c r="BC97" s="10"/>
      <c r="BD97" s="10"/>
      <c r="BE97" s="10"/>
    </row>
    <row r="98" spans="45:57" customFormat="1">
      <c r="AS98" s="68"/>
      <c r="AT98" s="68"/>
      <c r="AU98" s="68"/>
      <c r="AV98" s="68"/>
      <c r="AW98" s="69"/>
      <c r="AX98" s="69"/>
      <c r="AY98" s="71"/>
      <c r="AZ98" s="10"/>
      <c r="BA98" s="10"/>
      <c r="BB98" s="10"/>
      <c r="BC98" s="10"/>
      <c r="BD98" s="10"/>
      <c r="BE98" s="10"/>
    </row>
    <row r="99" spans="45:57" customFormat="1">
      <c r="AS99" s="68"/>
      <c r="AT99" s="68"/>
      <c r="AU99" s="68"/>
      <c r="AV99" s="68"/>
      <c r="AW99" s="69"/>
      <c r="AX99" s="69"/>
      <c r="AY99" s="71"/>
      <c r="AZ99" s="10"/>
      <c r="BA99" s="10"/>
      <c r="BB99" s="10"/>
      <c r="BC99" s="10"/>
      <c r="BD99" s="10"/>
      <c r="BE99" s="10"/>
    </row>
    <row r="100" spans="45:57" customFormat="1">
      <c r="AS100" s="68"/>
      <c r="AT100" s="68"/>
      <c r="AU100" s="68"/>
      <c r="AV100" s="68"/>
      <c r="AW100" s="68"/>
      <c r="AX100" s="69"/>
      <c r="AY100" s="71"/>
      <c r="AZ100" s="10"/>
      <c r="BA100" s="10"/>
      <c r="BB100" s="10"/>
      <c r="BC100" s="10"/>
      <c r="BD100" s="10"/>
      <c r="BE100" s="10"/>
    </row>
    <row r="101" spans="45:57" customFormat="1">
      <c r="AS101" s="68"/>
      <c r="AT101" s="68"/>
      <c r="AU101" s="68"/>
      <c r="AV101" s="68"/>
      <c r="AW101" s="69"/>
      <c r="AX101" s="69"/>
      <c r="AY101" s="71"/>
      <c r="AZ101" s="10"/>
      <c r="BA101" s="10"/>
      <c r="BB101" s="10"/>
      <c r="BC101" s="10"/>
      <c r="BD101" s="10"/>
      <c r="BE101" s="10"/>
    </row>
    <row r="102" spans="45:57" customFormat="1">
      <c r="AS102" s="68"/>
      <c r="AT102" s="68"/>
      <c r="AU102" s="68"/>
      <c r="AV102" s="68"/>
      <c r="AW102" s="69"/>
      <c r="AX102" s="69"/>
      <c r="AY102" s="71"/>
      <c r="AZ102" s="10"/>
      <c r="BA102" s="10"/>
      <c r="BB102" s="10"/>
      <c r="BC102" s="10"/>
      <c r="BD102" s="10"/>
      <c r="BE102" s="10"/>
    </row>
    <row r="103" spans="45:57" customFormat="1">
      <c r="AS103" s="68"/>
      <c r="AT103" s="68"/>
      <c r="AU103" s="68"/>
      <c r="AV103" s="68"/>
      <c r="AW103" s="69"/>
      <c r="AX103" s="69"/>
      <c r="AY103" s="71"/>
      <c r="AZ103" s="10"/>
      <c r="BA103" s="10"/>
      <c r="BB103" s="10"/>
      <c r="BC103" s="10"/>
      <c r="BD103" s="10"/>
      <c r="BE103" s="10"/>
    </row>
    <row r="104" spans="45:57" customFormat="1">
      <c r="AS104" s="68"/>
      <c r="AT104" s="68"/>
      <c r="AU104" s="68"/>
      <c r="AV104" s="68"/>
      <c r="AW104" s="69"/>
      <c r="AX104" s="69"/>
      <c r="AY104" s="71"/>
      <c r="AZ104" s="10"/>
      <c r="BA104" s="10"/>
      <c r="BB104" s="10"/>
      <c r="BC104" s="10"/>
      <c r="BD104" s="10"/>
      <c r="BE104" s="10"/>
    </row>
    <row r="105" spans="45:57" customFormat="1">
      <c r="AS105" s="68"/>
      <c r="AT105" s="68"/>
      <c r="AU105" s="68"/>
      <c r="AV105" s="68"/>
      <c r="AW105" s="68"/>
      <c r="AX105" s="69"/>
      <c r="AY105" s="71"/>
      <c r="AZ105" s="10"/>
      <c r="BA105" s="10"/>
      <c r="BB105" s="10"/>
      <c r="BC105" s="10"/>
      <c r="BD105" s="10"/>
      <c r="BE105" s="10"/>
    </row>
    <row r="106" spans="45:57" customFormat="1">
      <c r="AS106" s="68"/>
      <c r="AT106" s="68"/>
      <c r="AU106" s="68"/>
      <c r="AV106" s="68"/>
      <c r="AW106" s="69"/>
      <c r="AX106" s="69"/>
      <c r="AY106" s="71"/>
      <c r="AZ106" s="10"/>
      <c r="BA106" s="10"/>
      <c r="BB106" s="10"/>
      <c r="BC106" s="10"/>
      <c r="BD106" s="10"/>
      <c r="BE106" s="10"/>
    </row>
    <row r="107" spans="45:57" customFormat="1">
      <c r="AS107" s="68"/>
      <c r="AT107" s="68"/>
      <c r="AU107" s="68"/>
      <c r="AV107" s="68"/>
      <c r="AW107" s="69"/>
      <c r="AX107" s="69"/>
      <c r="AY107" s="71"/>
      <c r="AZ107" s="10"/>
      <c r="BA107" s="10"/>
      <c r="BB107" s="10"/>
      <c r="BC107" s="10"/>
      <c r="BD107" s="10"/>
      <c r="BE107" s="10"/>
    </row>
    <row r="108" spans="45:57" customFormat="1">
      <c r="AS108" s="68"/>
      <c r="AT108" s="68"/>
      <c r="AU108" s="68"/>
      <c r="AV108" s="68"/>
      <c r="AW108" s="69"/>
      <c r="AX108" s="69"/>
      <c r="AY108" s="71"/>
      <c r="AZ108" s="10"/>
      <c r="BA108" s="10"/>
      <c r="BB108" s="10"/>
      <c r="BC108" s="10"/>
      <c r="BD108" s="10"/>
      <c r="BE108" s="10"/>
    </row>
    <row r="109" spans="45:57" customFormat="1">
      <c r="AS109" s="68"/>
      <c r="AT109" s="68"/>
      <c r="AU109" s="68"/>
      <c r="AV109" s="68"/>
      <c r="AW109" s="68"/>
      <c r="AX109" s="69"/>
      <c r="AY109" s="71"/>
      <c r="AZ109" s="10"/>
      <c r="BA109" s="10"/>
      <c r="BB109" s="10"/>
      <c r="BC109" s="10"/>
      <c r="BD109" s="10"/>
      <c r="BE109" s="10"/>
    </row>
    <row r="110" spans="45:57" customFormat="1">
      <c r="AS110" s="68"/>
      <c r="AT110" s="68"/>
      <c r="AU110" s="68"/>
      <c r="AV110" s="68"/>
      <c r="AW110" s="68"/>
      <c r="AX110" s="69"/>
      <c r="AY110" s="71"/>
      <c r="AZ110" s="10"/>
      <c r="BA110" s="10"/>
      <c r="BB110" s="10"/>
      <c r="BC110" s="10"/>
      <c r="BD110" s="10"/>
      <c r="BE110" s="10"/>
    </row>
    <row r="111" spans="45:57" customFormat="1">
      <c r="AS111" s="68"/>
      <c r="AT111" s="68"/>
      <c r="AU111" s="68"/>
      <c r="AV111" s="68"/>
      <c r="AW111" s="69"/>
      <c r="AX111" s="69"/>
      <c r="AY111" s="71"/>
      <c r="AZ111" s="10"/>
      <c r="BA111" s="10"/>
      <c r="BB111" s="10"/>
      <c r="BC111" s="10"/>
      <c r="BD111" s="10"/>
      <c r="BE111" s="10"/>
    </row>
    <row r="112" spans="45:57" customFormat="1">
      <c r="AS112" s="68"/>
      <c r="AT112" s="68"/>
      <c r="AU112" s="68"/>
      <c r="AV112" s="68"/>
      <c r="AW112" s="69"/>
      <c r="AX112" s="69"/>
      <c r="AY112" s="71"/>
      <c r="AZ112" s="10"/>
      <c r="BA112" s="10"/>
      <c r="BB112" s="10"/>
      <c r="BC112" s="10"/>
      <c r="BD112" s="10"/>
      <c r="BE112" s="10"/>
    </row>
    <row r="113" spans="45:57" customFormat="1">
      <c r="AS113" s="68"/>
      <c r="AT113" s="68"/>
      <c r="AU113" s="68"/>
      <c r="AV113" s="68"/>
      <c r="AW113" s="69"/>
      <c r="AX113" s="69"/>
      <c r="AY113" s="71"/>
      <c r="AZ113" s="10"/>
      <c r="BA113" s="10"/>
      <c r="BB113" s="10"/>
      <c r="BC113" s="10"/>
      <c r="BD113" s="10"/>
      <c r="BE113" s="10"/>
    </row>
    <row r="114" spans="45:57" customFormat="1">
      <c r="AS114" s="68"/>
      <c r="AT114" s="68"/>
      <c r="AU114" s="68"/>
      <c r="AV114" s="68"/>
      <c r="AW114" s="69"/>
      <c r="AX114" s="69"/>
      <c r="AY114" s="71"/>
      <c r="AZ114" s="10"/>
      <c r="BA114" s="10"/>
      <c r="BB114" s="10"/>
      <c r="BC114" s="10"/>
      <c r="BD114" s="10"/>
      <c r="BE114" s="10"/>
    </row>
    <row r="115" spans="45:57" customFormat="1">
      <c r="AS115" s="68"/>
      <c r="AT115" s="68"/>
      <c r="AU115" s="68"/>
      <c r="AV115" s="68"/>
      <c r="AW115" s="69"/>
      <c r="AX115" s="69"/>
      <c r="AY115" s="71"/>
      <c r="AZ115" s="10"/>
      <c r="BA115" s="10"/>
      <c r="BB115" s="10"/>
      <c r="BC115" s="10"/>
      <c r="BD115" s="10"/>
      <c r="BE115" s="10"/>
    </row>
    <row r="116" spans="45:57" customFormat="1">
      <c r="AS116" s="68"/>
      <c r="AT116" s="68"/>
      <c r="AU116" s="68"/>
      <c r="AV116" s="68"/>
      <c r="AW116" s="69"/>
      <c r="AX116" s="69"/>
      <c r="AY116" s="71"/>
      <c r="AZ116" s="10"/>
      <c r="BA116" s="10"/>
      <c r="BB116" s="10"/>
      <c r="BC116" s="10"/>
      <c r="BD116" s="10"/>
      <c r="BE116" s="10"/>
    </row>
    <row r="117" spans="45:57" customFormat="1">
      <c r="AS117" s="68"/>
      <c r="AT117" s="68"/>
      <c r="AU117" s="68"/>
      <c r="AV117" s="68"/>
      <c r="AW117" s="68"/>
      <c r="AX117" s="69"/>
      <c r="AY117" s="71"/>
      <c r="AZ117" s="10"/>
      <c r="BA117" s="10"/>
      <c r="BB117" s="10"/>
      <c r="BC117" s="10"/>
      <c r="BD117" s="10"/>
      <c r="BE117" s="10"/>
    </row>
    <row r="118" spans="45:57" customFormat="1">
      <c r="AS118" s="68"/>
      <c r="AT118" s="68"/>
      <c r="AU118" s="68"/>
      <c r="AV118" s="68"/>
      <c r="AW118" s="69"/>
      <c r="AX118" s="69"/>
      <c r="AY118" s="71"/>
      <c r="AZ118" s="10"/>
      <c r="BA118" s="10"/>
      <c r="BB118" s="10"/>
      <c r="BC118" s="10"/>
      <c r="BD118" s="10"/>
      <c r="BE118" s="10"/>
    </row>
    <row r="119" spans="45:57" customFormat="1">
      <c r="AS119" s="68"/>
      <c r="AT119" s="68"/>
      <c r="AU119" s="68"/>
      <c r="AV119" s="68"/>
      <c r="AW119" s="69"/>
      <c r="AX119" s="69"/>
      <c r="AY119" s="71"/>
      <c r="AZ119" s="10"/>
      <c r="BA119" s="10"/>
      <c r="BB119" s="10"/>
      <c r="BC119" s="10"/>
      <c r="BD119" s="10"/>
      <c r="BE119" s="10"/>
    </row>
    <row r="120" spans="45:57" customFormat="1">
      <c r="AS120" s="68"/>
      <c r="AT120" s="68"/>
      <c r="AU120" s="68"/>
      <c r="AV120" s="68"/>
      <c r="AW120" s="69"/>
      <c r="AX120" s="69"/>
      <c r="AY120" s="71"/>
      <c r="AZ120" s="10"/>
      <c r="BA120" s="10"/>
      <c r="BB120" s="10"/>
      <c r="BC120" s="10"/>
      <c r="BD120" s="10"/>
      <c r="BE120" s="10"/>
    </row>
    <row r="121" spans="45:57" customFormat="1">
      <c r="AS121" s="68"/>
      <c r="AT121" s="68"/>
      <c r="AU121" s="68"/>
      <c r="AV121" s="68"/>
      <c r="AW121" s="68"/>
      <c r="AX121" s="69"/>
      <c r="AY121" s="71"/>
      <c r="AZ121" s="10"/>
      <c r="BA121" s="10"/>
      <c r="BB121" s="10"/>
      <c r="BC121" s="10"/>
      <c r="BD121" s="10"/>
      <c r="BE121" s="10"/>
    </row>
    <row r="122" spans="45:57" customFormat="1">
      <c r="AS122" s="68"/>
      <c r="AT122" s="68"/>
      <c r="AU122" s="68"/>
      <c r="AV122" s="68"/>
      <c r="AW122" s="69"/>
      <c r="AX122" s="69"/>
      <c r="AY122" s="71"/>
      <c r="AZ122" s="10"/>
      <c r="BA122" s="10"/>
      <c r="BB122" s="10"/>
      <c r="BC122" s="10"/>
      <c r="BD122" s="10"/>
      <c r="BE122" s="10"/>
    </row>
    <row r="123" spans="45:57" customFormat="1">
      <c r="AS123" s="68"/>
      <c r="AT123" s="68"/>
      <c r="AU123" s="68"/>
      <c r="AV123" s="68"/>
      <c r="AW123" s="69"/>
      <c r="AX123" s="69"/>
      <c r="AY123" s="71"/>
      <c r="AZ123" s="10"/>
      <c r="BA123" s="10"/>
      <c r="BB123" s="10"/>
      <c r="BC123" s="10"/>
      <c r="BD123" s="10"/>
      <c r="BE123" s="10"/>
    </row>
    <row r="124" spans="45:57" customFormat="1">
      <c r="AS124" s="68"/>
      <c r="AT124" s="68"/>
      <c r="AU124" s="68"/>
      <c r="AV124" s="68"/>
      <c r="AW124" s="69"/>
      <c r="AX124" s="69"/>
      <c r="AY124" s="71"/>
      <c r="AZ124" s="10"/>
      <c r="BA124" s="10"/>
      <c r="BB124" s="10"/>
      <c r="BC124" s="10"/>
      <c r="BD124" s="10"/>
      <c r="BE124" s="10"/>
    </row>
    <row r="125" spans="45:57" customFormat="1">
      <c r="AS125" s="68"/>
      <c r="AT125" s="68"/>
      <c r="AU125" s="68"/>
      <c r="AV125" s="68"/>
      <c r="AW125" s="69"/>
      <c r="AX125" s="69"/>
      <c r="AY125" s="71"/>
      <c r="AZ125" s="10"/>
      <c r="BA125" s="10"/>
      <c r="BB125" s="10"/>
      <c r="BC125" s="10"/>
      <c r="BD125" s="10"/>
      <c r="BE125" s="10"/>
    </row>
    <row r="126" spans="45:57" customFormat="1">
      <c r="AS126" s="68"/>
      <c r="AT126" s="68"/>
      <c r="AU126" s="68"/>
      <c r="AV126" s="68"/>
      <c r="AW126" s="68"/>
      <c r="AX126" s="69"/>
      <c r="AY126" s="71"/>
      <c r="AZ126" s="10"/>
      <c r="BA126" s="10"/>
      <c r="BB126" s="10"/>
      <c r="BC126" s="10"/>
      <c r="BD126" s="10"/>
      <c r="BE126" s="10"/>
    </row>
    <row r="127" spans="45:57" customFormat="1">
      <c r="AS127" s="68"/>
      <c r="AT127" s="68"/>
      <c r="AU127" s="68"/>
      <c r="AV127" s="68"/>
      <c r="AW127" s="69"/>
      <c r="AX127" s="69"/>
      <c r="AY127" s="71"/>
      <c r="AZ127" s="10"/>
      <c r="BA127" s="10"/>
      <c r="BB127" s="10"/>
      <c r="BC127" s="10"/>
      <c r="BD127" s="10"/>
      <c r="BE127" s="10"/>
    </row>
    <row r="128" spans="45:57" customFormat="1">
      <c r="AS128" s="68"/>
      <c r="AT128" s="68"/>
      <c r="AU128" s="68"/>
      <c r="AV128" s="68"/>
      <c r="AW128" s="69"/>
      <c r="AX128" s="69"/>
      <c r="AY128" s="71"/>
      <c r="AZ128" s="10"/>
      <c r="BA128" s="10"/>
      <c r="BB128" s="10"/>
      <c r="BC128" s="10"/>
      <c r="BD128" s="10"/>
      <c r="BE128" s="10"/>
    </row>
    <row r="129" spans="45:57" customFormat="1">
      <c r="AS129" s="68"/>
      <c r="AT129" s="68"/>
      <c r="AU129" s="68"/>
      <c r="AV129" s="68"/>
      <c r="AW129" s="69"/>
      <c r="AX129" s="69"/>
      <c r="AY129" s="71"/>
      <c r="AZ129" s="10"/>
      <c r="BA129" s="10"/>
      <c r="BB129" s="10"/>
      <c r="BC129" s="10"/>
      <c r="BD129" s="10"/>
      <c r="BE129" s="10"/>
    </row>
    <row r="130" spans="45:57" customFormat="1">
      <c r="AS130" s="68"/>
      <c r="AT130" s="68"/>
      <c r="AU130" s="68"/>
      <c r="AV130" s="68"/>
      <c r="AW130" s="68"/>
      <c r="AX130" s="69"/>
      <c r="AY130" s="71"/>
      <c r="AZ130" s="10"/>
      <c r="BA130" s="10"/>
      <c r="BB130" s="10"/>
      <c r="BC130" s="10"/>
      <c r="BD130" s="10"/>
      <c r="BE130" s="10"/>
    </row>
    <row r="131" spans="45:57" customFormat="1">
      <c r="AS131" s="68"/>
      <c r="AT131" s="68"/>
      <c r="AU131" s="68"/>
      <c r="AV131" s="68"/>
      <c r="AW131" s="68"/>
      <c r="AX131" s="69"/>
      <c r="AY131" s="71"/>
      <c r="AZ131" s="10"/>
      <c r="BA131" s="10"/>
      <c r="BB131" s="10"/>
      <c r="BC131" s="10"/>
      <c r="BD131" s="10"/>
      <c r="BE131" s="10"/>
    </row>
    <row r="132" spans="45:57" customFormat="1">
      <c r="AS132" s="68"/>
      <c r="AT132" s="68"/>
      <c r="AU132" s="68"/>
      <c r="AV132" s="68"/>
      <c r="AW132" s="69"/>
      <c r="AX132" s="69"/>
      <c r="AY132" s="71"/>
      <c r="AZ132" s="10"/>
      <c r="BA132" s="10"/>
      <c r="BB132" s="10"/>
      <c r="BC132" s="10"/>
      <c r="BD132" s="10"/>
      <c r="BE132" s="10"/>
    </row>
    <row r="133" spans="45:57" customFormat="1">
      <c r="AS133" s="68"/>
      <c r="AT133" s="68"/>
      <c r="AU133" s="68"/>
      <c r="AV133" s="68"/>
      <c r="AW133" s="68"/>
      <c r="AX133" s="69"/>
      <c r="AY133" s="71"/>
      <c r="AZ133" s="10"/>
      <c r="BA133" s="10"/>
      <c r="BB133" s="10"/>
      <c r="BC133" s="10"/>
      <c r="BD133" s="10"/>
      <c r="BE133" s="10"/>
    </row>
    <row r="134" spans="45:57" customFormat="1">
      <c r="AS134" s="68"/>
      <c r="AT134" s="68"/>
      <c r="AU134" s="68"/>
      <c r="AV134" s="68"/>
      <c r="AW134" s="69"/>
      <c r="AX134" s="69"/>
      <c r="AY134" s="71"/>
      <c r="AZ134" s="10"/>
      <c r="BA134" s="10"/>
      <c r="BB134" s="10"/>
      <c r="BC134" s="10"/>
      <c r="BD134" s="10"/>
      <c r="BE134" s="10"/>
    </row>
    <row r="135" spans="45:57" customFormat="1">
      <c r="AS135" s="68"/>
      <c r="AT135" s="68"/>
      <c r="AU135" s="68"/>
      <c r="AV135" s="68"/>
      <c r="AW135" s="69"/>
      <c r="AX135" s="69"/>
      <c r="AY135" s="71"/>
      <c r="AZ135" s="10"/>
      <c r="BA135" s="10"/>
      <c r="BB135" s="10"/>
      <c r="BC135" s="10"/>
      <c r="BD135" s="10"/>
      <c r="BE135" s="10"/>
    </row>
    <row r="136" spans="45:57" customFormat="1">
      <c r="AS136" s="68"/>
      <c r="AT136" s="68"/>
      <c r="AU136" s="68"/>
      <c r="AV136" s="68"/>
      <c r="AW136" s="69"/>
      <c r="AX136" s="69"/>
      <c r="AY136" s="71"/>
      <c r="AZ136" s="10"/>
      <c r="BA136" s="10"/>
      <c r="BB136" s="10"/>
      <c r="BC136" s="10"/>
      <c r="BD136" s="10"/>
      <c r="BE136" s="10"/>
    </row>
    <row r="137" spans="45:57" customFormat="1">
      <c r="AS137" s="68"/>
      <c r="AT137" s="68"/>
      <c r="AU137" s="68"/>
      <c r="AV137" s="68"/>
      <c r="AW137" s="68"/>
      <c r="AX137" s="69"/>
      <c r="AY137" s="71"/>
      <c r="AZ137" s="10"/>
      <c r="BA137" s="10"/>
      <c r="BB137" s="10"/>
      <c r="BC137" s="10"/>
      <c r="BD137" s="10"/>
      <c r="BE137" s="10"/>
    </row>
    <row r="138" spans="45:57" customFormat="1">
      <c r="AS138" s="68"/>
      <c r="AT138" s="68"/>
      <c r="AU138" s="68"/>
      <c r="AV138" s="68"/>
      <c r="AW138" s="69"/>
      <c r="AX138" s="69"/>
      <c r="AY138" s="71"/>
      <c r="AZ138" s="10"/>
      <c r="BA138" s="10"/>
      <c r="BB138" s="10"/>
      <c r="BC138" s="10"/>
      <c r="BD138" s="10"/>
      <c r="BE138" s="10"/>
    </row>
    <row r="139" spans="45:57" customFormat="1">
      <c r="AS139" s="68"/>
      <c r="AT139" s="68"/>
      <c r="AU139" s="68"/>
      <c r="AV139" s="68"/>
      <c r="AW139" s="69"/>
      <c r="AX139" s="69"/>
      <c r="AY139" s="71"/>
      <c r="AZ139" s="10"/>
      <c r="BA139" s="10"/>
      <c r="BB139" s="10"/>
      <c r="BC139" s="10"/>
      <c r="BD139" s="10"/>
      <c r="BE139" s="10"/>
    </row>
    <row r="140" spans="45:57" customFormat="1">
      <c r="AS140" s="68"/>
      <c r="AT140" s="68"/>
      <c r="AU140" s="68"/>
      <c r="AV140" s="68"/>
      <c r="AW140" s="69"/>
      <c r="AX140" s="69"/>
      <c r="AY140" s="71"/>
      <c r="AZ140" s="10"/>
      <c r="BA140" s="10"/>
      <c r="BB140" s="10"/>
      <c r="BC140" s="10"/>
      <c r="BD140" s="10"/>
      <c r="BE140" s="10"/>
    </row>
    <row r="141" spans="45:57" customFormat="1">
      <c r="AS141" s="68"/>
      <c r="AT141" s="68"/>
      <c r="AU141" s="68"/>
      <c r="AV141" s="68"/>
      <c r="AW141" s="69"/>
      <c r="AX141" s="69"/>
      <c r="AY141" s="71"/>
      <c r="AZ141" s="10"/>
      <c r="BA141" s="10"/>
      <c r="BB141" s="10"/>
      <c r="BC141" s="10"/>
      <c r="BD141" s="10"/>
      <c r="BE141" s="10"/>
    </row>
    <row r="142" spans="45:57" customFormat="1">
      <c r="AS142" s="68"/>
      <c r="AT142" s="68"/>
      <c r="AU142" s="68"/>
      <c r="AV142" s="68"/>
      <c r="AW142" s="68"/>
      <c r="AX142" s="69"/>
      <c r="AY142" s="71"/>
      <c r="AZ142" s="10"/>
      <c r="BA142" s="10"/>
      <c r="BB142" s="10"/>
      <c r="BC142" s="10"/>
      <c r="BD142" s="10"/>
      <c r="BE142" s="10"/>
    </row>
    <row r="143" spans="45:57" customFormat="1">
      <c r="AS143" s="68"/>
      <c r="AT143" s="68"/>
      <c r="AU143" s="68"/>
      <c r="AV143" s="68"/>
      <c r="AW143" s="69"/>
      <c r="AX143" s="69"/>
      <c r="AY143" s="71"/>
      <c r="AZ143" s="10"/>
      <c r="BA143" s="10"/>
      <c r="BB143" s="10"/>
      <c r="BC143" s="10"/>
      <c r="BD143" s="10"/>
      <c r="BE143" s="10"/>
    </row>
    <row r="144" spans="45:57" customFormat="1">
      <c r="AS144" s="68"/>
      <c r="AT144" s="68"/>
      <c r="AU144" s="68"/>
      <c r="AV144" s="68"/>
      <c r="AW144" s="69"/>
      <c r="AX144" s="69"/>
      <c r="AY144" s="71"/>
      <c r="AZ144" s="10"/>
      <c r="BA144" s="10"/>
      <c r="BB144" s="10"/>
      <c r="BC144" s="10"/>
      <c r="BD144" s="10"/>
      <c r="BE144" s="10"/>
    </row>
    <row r="145" spans="45:57" customFormat="1">
      <c r="AS145" s="68"/>
      <c r="AT145" s="68"/>
      <c r="AU145" s="68"/>
      <c r="AV145" s="68"/>
      <c r="AW145" s="69"/>
      <c r="AX145" s="69"/>
      <c r="AY145" s="71"/>
      <c r="AZ145" s="10"/>
      <c r="BA145" s="10"/>
      <c r="BB145" s="10"/>
      <c r="BC145" s="10"/>
      <c r="BD145" s="10"/>
      <c r="BE145" s="10"/>
    </row>
    <row r="146" spans="45:57" customFormat="1">
      <c r="AS146" s="68"/>
      <c r="AT146" s="68"/>
      <c r="AU146" s="68"/>
      <c r="AV146" s="68"/>
      <c r="AW146" s="68"/>
      <c r="AX146" s="69"/>
      <c r="AY146" s="71"/>
      <c r="AZ146" s="10"/>
      <c r="BA146" s="10"/>
      <c r="BB146" s="10"/>
      <c r="BC146" s="10"/>
      <c r="BD146" s="10"/>
      <c r="BE146" s="10"/>
    </row>
    <row r="147" spans="45:57" customFormat="1">
      <c r="AS147" s="68"/>
      <c r="AT147" s="68"/>
      <c r="AU147" s="68"/>
      <c r="AV147" s="68"/>
      <c r="AW147" s="68"/>
      <c r="AX147" s="69"/>
      <c r="AY147" s="71"/>
      <c r="AZ147" s="10"/>
      <c r="BA147" s="10"/>
      <c r="BB147" s="10"/>
      <c r="BC147" s="10"/>
      <c r="BD147" s="10"/>
      <c r="BE147" s="10"/>
    </row>
    <row r="148" spans="45:57" customFormat="1">
      <c r="AS148" s="68"/>
      <c r="AT148" s="68"/>
      <c r="AU148" s="68"/>
      <c r="AV148" s="68"/>
      <c r="AW148" s="69"/>
      <c r="AX148" s="69"/>
      <c r="AY148" s="71"/>
      <c r="AZ148" s="10"/>
      <c r="BA148" s="10"/>
      <c r="BB148" s="10"/>
      <c r="BC148" s="10"/>
      <c r="BD148" s="10"/>
      <c r="BE148" s="10"/>
    </row>
    <row r="149" spans="45:57" customFormat="1">
      <c r="AS149" s="68"/>
      <c r="AT149" s="68"/>
      <c r="AU149" s="68"/>
      <c r="AV149" s="68"/>
      <c r="AW149" s="69"/>
      <c r="AX149" s="69"/>
      <c r="AY149" s="71"/>
      <c r="AZ149" s="10"/>
      <c r="BA149" s="10"/>
      <c r="BB149" s="10"/>
      <c r="BC149" s="10"/>
      <c r="BD149" s="10"/>
      <c r="BE149" s="10"/>
    </row>
    <row r="150" spans="45:57" customFormat="1">
      <c r="AS150" s="68"/>
      <c r="AT150" s="68"/>
      <c r="AU150" s="68"/>
      <c r="AV150" s="68"/>
      <c r="AW150" s="69"/>
      <c r="AX150" s="69"/>
      <c r="AY150" s="71"/>
      <c r="AZ150" s="10"/>
      <c r="BA150" s="10"/>
      <c r="BB150" s="10"/>
      <c r="BC150" s="10"/>
      <c r="BD150" s="10"/>
      <c r="BE150" s="10"/>
    </row>
    <row r="151" spans="45:57" customFormat="1">
      <c r="AS151" s="68"/>
      <c r="AT151" s="68"/>
      <c r="AU151" s="68"/>
      <c r="AV151" s="68"/>
      <c r="AW151" s="69"/>
      <c r="AX151" s="69"/>
      <c r="AY151" s="71"/>
      <c r="AZ151" s="10"/>
      <c r="BA151" s="10"/>
      <c r="BB151" s="10"/>
      <c r="BC151" s="10"/>
      <c r="BD151" s="10"/>
      <c r="BE151" s="10"/>
    </row>
    <row r="152" spans="45:57" customFormat="1">
      <c r="AS152" s="68"/>
      <c r="AT152" s="68"/>
      <c r="AU152" s="68"/>
      <c r="AV152" s="68"/>
      <c r="AW152" s="69"/>
      <c r="AX152" s="69"/>
      <c r="AY152" s="71"/>
      <c r="AZ152" s="10"/>
      <c r="BA152" s="10"/>
      <c r="BB152" s="10"/>
      <c r="BC152" s="10"/>
      <c r="BD152" s="10"/>
      <c r="BE152" s="10"/>
    </row>
    <row r="153" spans="45:57" customFormat="1">
      <c r="AS153" s="68"/>
      <c r="AT153" s="68"/>
      <c r="AU153" s="68"/>
      <c r="AV153" s="68"/>
      <c r="AW153" s="69"/>
      <c r="AX153" s="69"/>
      <c r="AY153" s="71"/>
      <c r="AZ153" s="10"/>
      <c r="BA153" s="10"/>
      <c r="BB153" s="10"/>
      <c r="BC153" s="10"/>
      <c r="BD153" s="10"/>
      <c r="BE153" s="10"/>
    </row>
    <row r="154" spans="45:57" customFormat="1">
      <c r="AS154" s="68"/>
      <c r="AT154" s="68"/>
      <c r="AU154" s="68"/>
      <c r="AV154" s="68"/>
      <c r="AW154" s="68"/>
      <c r="AX154" s="69"/>
      <c r="AY154" s="71"/>
      <c r="AZ154" s="10"/>
      <c r="BA154" s="10"/>
      <c r="BB154" s="10"/>
      <c r="BC154" s="10"/>
      <c r="BD154" s="10"/>
      <c r="BE154" s="10"/>
    </row>
    <row r="155" spans="45:57" customFormat="1">
      <c r="AS155" s="68"/>
      <c r="AT155" s="68"/>
      <c r="AU155" s="68"/>
      <c r="AV155" s="68"/>
      <c r="AW155" s="69"/>
      <c r="AX155" s="69"/>
      <c r="AY155" s="71"/>
      <c r="AZ155" s="10"/>
      <c r="BA155" s="10"/>
      <c r="BB155" s="10"/>
      <c r="BC155" s="10"/>
      <c r="BD155" s="10"/>
      <c r="BE155" s="10"/>
    </row>
    <row r="156" spans="45:57" customFormat="1">
      <c r="AS156" s="68"/>
      <c r="AT156" s="68"/>
      <c r="AU156" s="68"/>
      <c r="AV156" s="68"/>
      <c r="AW156" s="69"/>
      <c r="AX156" s="69"/>
      <c r="AY156" s="71"/>
      <c r="AZ156" s="10"/>
      <c r="BA156" s="10"/>
      <c r="BB156" s="10"/>
      <c r="BC156" s="10"/>
      <c r="BD156" s="10"/>
      <c r="BE156" s="10"/>
    </row>
    <row r="157" spans="45:57" customFormat="1">
      <c r="AS157" s="68"/>
      <c r="AT157" s="68"/>
      <c r="AU157" s="68"/>
      <c r="AV157" s="68"/>
      <c r="AW157" s="69"/>
      <c r="AX157" s="69"/>
      <c r="AY157" s="71"/>
      <c r="AZ157" s="10"/>
      <c r="BA157" s="10"/>
      <c r="BB157" s="10"/>
      <c r="BC157" s="10"/>
      <c r="BD157" s="10"/>
      <c r="BE157" s="10"/>
    </row>
    <row r="158" spans="45:57" customFormat="1">
      <c r="AS158" s="68"/>
      <c r="AT158" s="68"/>
      <c r="AU158" s="68"/>
      <c r="AV158" s="68"/>
      <c r="AW158" s="68"/>
      <c r="AX158" s="69"/>
      <c r="AY158" s="71"/>
      <c r="AZ158" s="10"/>
      <c r="BA158" s="10"/>
      <c r="BB158" s="10"/>
      <c r="BC158" s="10"/>
      <c r="BD158" s="10"/>
      <c r="BE158" s="10"/>
    </row>
    <row r="159" spans="45:57" customFormat="1">
      <c r="AS159" s="68"/>
      <c r="AT159" s="68"/>
      <c r="AU159" s="68"/>
      <c r="AV159" s="68"/>
      <c r="AW159" s="69"/>
      <c r="AX159" s="69"/>
      <c r="AY159" s="71"/>
      <c r="AZ159" s="10"/>
      <c r="BA159" s="10"/>
      <c r="BB159" s="10"/>
      <c r="BC159" s="10"/>
      <c r="BD159" s="10"/>
      <c r="BE159" s="10"/>
    </row>
    <row r="160" spans="45:57" customFormat="1">
      <c r="AS160" s="68"/>
      <c r="AT160" s="68"/>
      <c r="AU160" s="68"/>
      <c r="AV160" s="68"/>
      <c r="AW160" s="69"/>
      <c r="AX160" s="69"/>
      <c r="AY160" s="71"/>
      <c r="AZ160" s="10"/>
      <c r="BA160" s="10"/>
      <c r="BB160" s="10"/>
      <c r="BC160" s="10"/>
      <c r="BD160" s="10"/>
      <c r="BE160" s="10"/>
    </row>
    <row r="161" spans="45:57" customFormat="1">
      <c r="AS161" s="68"/>
      <c r="AT161" s="68"/>
      <c r="AU161" s="68"/>
      <c r="AV161" s="68"/>
      <c r="AW161" s="69"/>
      <c r="AX161" s="69"/>
      <c r="AY161" s="71"/>
      <c r="AZ161" s="10"/>
      <c r="BA161" s="10"/>
      <c r="BB161" s="10"/>
      <c r="BC161" s="10"/>
      <c r="BD161" s="10"/>
      <c r="BE161" s="10"/>
    </row>
    <row r="162" spans="45:57" customFormat="1">
      <c r="AS162" s="68"/>
      <c r="AT162" s="68"/>
      <c r="AU162" s="68"/>
      <c r="AV162" s="68"/>
      <c r="AW162" s="69"/>
      <c r="AX162" s="69"/>
      <c r="AY162" s="71"/>
      <c r="AZ162" s="10"/>
      <c r="BA162" s="10"/>
      <c r="BB162" s="10"/>
      <c r="BC162" s="10"/>
      <c r="BD162" s="10"/>
      <c r="BE162" s="10"/>
    </row>
    <row r="163" spans="45:57" customFormat="1">
      <c r="AS163" s="68"/>
      <c r="AT163" s="68"/>
      <c r="AU163" s="68"/>
      <c r="AV163" s="68"/>
      <c r="AW163" s="68"/>
      <c r="AX163" s="69"/>
      <c r="AY163" s="71"/>
      <c r="AZ163" s="10"/>
      <c r="BA163" s="10"/>
      <c r="BB163" s="10"/>
      <c r="BC163" s="10"/>
      <c r="BD163" s="10"/>
      <c r="BE163" s="10"/>
    </row>
    <row r="164" spans="45:57" customFormat="1">
      <c r="AS164" s="68"/>
      <c r="AT164" s="68"/>
      <c r="AU164" s="68"/>
      <c r="AV164" s="68"/>
      <c r="AW164" s="69"/>
      <c r="AX164" s="69"/>
      <c r="AY164" s="71"/>
      <c r="AZ164" s="10"/>
      <c r="BA164" s="10"/>
      <c r="BB164" s="10"/>
      <c r="BC164" s="10"/>
      <c r="BD164" s="10"/>
      <c r="BE164" s="10"/>
    </row>
    <row r="165" spans="45:57" customFormat="1">
      <c r="AS165" s="68"/>
      <c r="AT165" s="68"/>
      <c r="AU165" s="68"/>
      <c r="AV165" s="68"/>
      <c r="AW165" s="69"/>
      <c r="AX165" s="69"/>
      <c r="AY165" s="71"/>
      <c r="AZ165" s="10"/>
      <c r="BA165" s="10"/>
      <c r="BB165" s="10"/>
      <c r="BC165" s="10"/>
      <c r="BD165" s="10"/>
      <c r="BE165" s="10"/>
    </row>
    <row r="166" spans="45:57" customFormat="1">
      <c r="AS166" s="68"/>
      <c r="AT166" s="68"/>
      <c r="AU166" s="68"/>
      <c r="AV166" s="68"/>
      <c r="AW166" s="69"/>
      <c r="AX166" s="69"/>
      <c r="AY166" s="71"/>
      <c r="AZ166" s="10"/>
      <c r="BA166" s="10"/>
      <c r="BB166" s="10"/>
      <c r="BC166" s="10"/>
      <c r="BD166" s="10"/>
      <c r="BE166" s="10"/>
    </row>
    <row r="167" spans="45:57" customFormat="1">
      <c r="AS167" s="68"/>
      <c r="AT167" s="68"/>
      <c r="AU167" s="68"/>
      <c r="AV167" s="68"/>
      <c r="AW167" s="68"/>
      <c r="AX167" s="69"/>
      <c r="AY167" s="71"/>
      <c r="AZ167" s="10"/>
      <c r="BA167" s="10"/>
      <c r="BB167" s="10"/>
      <c r="BC167" s="10"/>
      <c r="BD167" s="10"/>
      <c r="BE167" s="10"/>
    </row>
    <row r="168" spans="45:57" customFormat="1">
      <c r="AS168" s="68"/>
      <c r="AT168" s="68"/>
      <c r="AU168" s="68"/>
      <c r="AV168" s="68"/>
      <c r="AW168" s="68"/>
      <c r="AX168" s="69"/>
      <c r="AY168" s="71"/>
      <c r="AZ168" s="10"/>
      <c r="BA168" s="10"/>
      <c r="BB168" s="10"/>
      <c r="BC168" s="10"/>
      <c r="BD168" s="10"/>
      <c r="BE168" s="10"/>
    </row>
    <row r="169" spans="45:57" customFormat="1">
      <c r="AS169" s="68"/>
      <c r="AT169" s="68"/>
      <c r="AU169" s="68"/>
      <c r="AV169" s="68"/>
      <c r="AW169" s="69"/>
      <c r="AX169" s="69"/>
      <c r="AY169" s="71"/>
      <c r="AZ169" s="10"/>
      <c r="BA169" s="10"/>
      <c r="BB169" s="10"/>
      <c r="BC169" s="10"/>
      <c r="BD169" s="10"/>
      <c r="BE169" s="10"/>
    </row>
    <row r="170" spans="45:57" customFormat="1">
      <c r="AS170" s="68"/>
      <c r="AT170" s="68"/>
      <c r="AU170" s="68"/>
      <c r="AV170" s="68"/>
      <c r="AW170" s="69"/>
      <c r="AX170" s="69"/>
      <c r="AY170" s="71"/>
      <c r="AZ170" s="10"/>
      <c r="BA170" s="10"/>
      <c r="BB170" s="10"/>
      <c r="BC170" s="10"/>
      <c r="BD170" s="10"/>
      <c r="BE170" s="10"/>
    </row>
    <row r="171" spans="45:57" customFormat="1">
      <c r="AS171" s="68"/>
      <c r="AT171" s="68"/>
      <c r="AU171" s="68"/>
      <c r="AV171" s="68"/>
      <c r="AW171" s="69"/>
      <c r="AX171" s="69"/>
      <c r="AY171" s="71"/>
      <c r="AZ171" s="10"/>
      <c r="BA171" s="10"/>
      <c r="BB171" s="10"/>
      <c r="BC171" s="10"/>
      <c r="BD171" s="10"/>
      <c r="BE171" s="10"/>
    </row>
    <row r="172" spans="45:57" customFormat="1">
      <c r="AS172" s="68"/>
      <c r="AT172" s="68"/>
      <c r="AU172" s="68"/>
      <c r="AV172" s="68"/>
      <c r="AW172" s="69"/>
      <c r="AX172" s="69"/>
      <c r="AY172" s="71"/>
      <c r="AZ172" s="10"/>
      <c r="BA172" s="10"/>
      <c r="BB172" s="10"/>
      <c r="BC172" s="10"/>
      <c r="BD172" s="10"/>
      <c r="BE172" s="10"/>
    </row>
    <row r="173" spans="45:57" customFormat="1">
      <c r="AS173" s="68"/>
      <c r="AT173" s="68"/>
      <c r="AU173" s="68"/>
      <c r="AV173" s="68"/>
      <c r="AW173" s="69"/>
      <c r="AX173" s="69"/>
      <c r="AY173" s="71"/>
      <c r="AZ173" s="10"/>
      <c r="BA173" s="10"/>
      <c r="BB173" s="10"/>
      <c r="BC173" s="10"/>
      <c r="BD173" s="10"/>
      <c r="BE173" s="10"/>
    </row>
    <row r="174" spans="45:57" customFormat="1">
      <c r="AS174" s="68"/>
      <c r="AT174" s="68"/>
      <c r="AU174" s="68"/>
      <c r="AV174" s="68"/>
      <c r="AW174" s="68"/>
      <c r="AX174" s="69"/>
      <c r="AY174" s="71"/>
      <c r="AZ174" s="10"/>
      <c r="BA174" s="10"/>
      <c r="BB174" s="10"/>
      <c r="BC174" s="10"/>
      <c r="BD174" s="10"/>
      <c r="BE174" s="10"/>
    </row>
    <row r="175" spans="45:57" customFormat="1">
      <c r="AS175" s="68"/>
      <c r="AT175" s="68"/>
      <c r="AU175" s="68"/>
      <c r="AV175" s="68"/>
      <c r="AW175" s="69"/>
      <c r="AX175" s="69"/>
      <c r="AY175" s="71"/>
      <c r="AZ175" s="10"/>
      <c r="BA175" s="10"/>
      <c r="BB175" s="10"/>
      <c r="BC175" s="10"/>
      <c r="BD175" s="10"/>
      <c r="BE175" s="10"/>
    </row>
    <row r="176" spans="45:57" customFormat="1">
      <c r="AS176" s="68"/>
      <c r="AT176" s="68"/>
      <c r="AU176" s="68"/>
      <c r="AV176" s="68"/>
      <c r="AW176" s="69"/>
      <c r="AX176" s="69"/>
      <c r="AY176" s="71"/>
      <c r="AZ176" s="10"/>
      <c r="BA176" s="10"/>
      <c r="BB176" s="10"/>
      <c r="BC176" s="10"/>
      <c r="BD176" s="10"/>
      <c r="BE176" s="10"/>
    </row>
    <row r="177" spans="45:57" customFormat="1">
      <c r="AS177" s="68"/>
      <c r="AT177" s="68"/>
      <c r="AU177" s="68"/>
      <c r="AV177" s="68"/>
      <c r="AW177" s="69"/>
      <c r="AX177" s="69"/>
      <c r="AY177" s="71"/>
      <c r="AZ177" s="10"/>
      <c r="BA177" s="10"/>
      <c r="BB177" s="10"/>
      <c r="BC177" s="10"/>
      <c r="BD177" s="10"/>
      <c r="BE177" s="10"/>
    </row>
    <row r="178" spans="45:57" customFormat="1">
      <c r="AS178" s="68"/>
      <c r="AT178" s="68"/>
      <c r="AU178" s="68"/>
      <c r="AV178" s="68"/>
      <c r="AW178" s="68"/>
      <c r="AX178" s="69"/>
      <c r="AY178" s="71"/>
      <c r="AZ178" s="10"/>
      <c r="BA178" s="10"/>
      <c r="BB178" s="10"/>
      <c r="BC178" s="10"/>
      <c r="BD178" s="10"/>
      <c r="BE178" s="10"/>
    </row>
    <row r="179" spans="45:57" customFormat="1">
      <c r="AS179" s="68"/>
      <c r="AT179" s="68"/>
      <c r="AU179" s="68"/>
      <c r="AV179" s="68"/>
      <c r="AW179" s="69"/>
      <c r="AX179" s="69"/>
      <c r="AY179" s="71"/>
      <c r="AZ179" s="10"/>
      <c r="BA179" s="10"/>
      <c r="BB179" s="10"/>
      <c r="BC179" s="10"/>
      <c r="BD179" s="10"/>
      <c r="BE179" s="10"/>
    </row>
    <row r="180" spans="45:57" customFormat="1">
      <c r="AS180" s="68"/>
      <c r="AT180" s="68"/>
      <c r="AU180" s="68"/>
      <c r="AV180" s="68"/>
      <c r="AW180" s="69"/>
      <c r="AX180" s="69"/>
      <c r="AY180" s="71"/>
      <c r="AZ180" s="10"/>
      <c r="BA180" s="10"/>
      <c r="BB180" s="10"/>
      <c r="BC180" s="10"/>
      <c r="BD180" s="10"/>
      <c r="BE180" s="10"/>
    </row>
    <row r="181" spans="45:57" customFormat="1">
      <c r="AS181" s="68"/>
      <c r="AT181" s="68"/>
      <c r="AU181" s="68"/>
      <c r="AV181" s="68"/>
      <c r="AW181" s="69"/>
      <c r="AX181" s="69"/>
      <c r="AY181" s="71"/>
      <c r="AZ181" s="10"/>
      <c r="BA181" s="10"/>
      <c r="BB181" s="10"/>
      <c r="BC181" s="10"/>
      <c r="BD181" s="10"/>
      <c r="BE181" s="10"/>
    </row>
    <row r="182" spans="45:57" customFormat="1">
      <c r="AS182" s="68"/>
      <c r="AT182" s="68"/>
      <c r="AU182" s="68"/>
      <c r="AV182" s="68"/>
      <c r="AW182" s="69"/>
      <c r="AX182" s="69"/>
      <c r="AY182" s="71"/>
      <c r="AZ182" s="10"/>
      <c r="BA182" s="10"/>
      <c r="BB182" s="10"/>
      <c r="BC182" s="10"/>
      <c r="BD182" s="10"/>
      <c r="BE182" s="10"/>
    </row>
    <row r="183" spans="45:57" customFormat="1">
      <c r="AS183" s="68"/>
      <c r="AT183" s="68"/>
      <c r="AU183" s="68"/>
      <c r="AV183" s="68"/>
      <c r="AW183" s="68"/>
      <c r="AX183" s="69"/>
      <c r="AY183" s="71"/>
      <c r="AZ183" s="10"/>
      <c r="BA183" s="10"/>
      <c r="BB183" s="10"/>
      <c r="BC183" s="10"/>
      <c r="BD183" s="10"/>
      <c r="BE183" s="10"/>
    </row>
    <row r="184" spans="45:57" customFormat="1">
      <c r="AS184" s="68"/>
      <c r="AT184" s="68"/>
      <c r="AU184" s="68"/>
      <c r="AV184" s="68"/>
      <c r="AW184" s="69"/>
      <c r="AX184" s="69"/>
      <c r="AY184" s="71"/>
      <c r="AZ184" s="10"/>
      <c r="BA184" s="10"/>
      <c r="BB184" s="10"/>
      <c r="BC184" s="10"/>
      <c r="BD184" s="10"/>
      <c r="BE184" s="10"/>
    </row>
    <row r="185" spans="45:57" customFormat="1">
      <c r="AS185" s="68"/>
      <c r="AT185" s="68"/>
      <c r="AU185" s="68"/>
      <c r="AV185" s="68"/>
      <c r="AW185" s="69"/>
      <c r="AX185" s="69"/>
      <c r="AY185" s="71"/>
      <c r="AZ185" s="10"/>
      <c r="BA185" s="10"/>
      <c r="BB185" s="10"/>
      <c r="BC185" s="10"/>
      <c r="BD185" s="10"/>
      <c r="BE185" s="10"/>
    </row>
    <row r="186" spans="45:57" customFormat="1">
      <c r="AS186" s="68"/>
      <c r="AT186" s="68"/>
      <c r="AU186" s="68"/>
      <c r="AV186" s="68"/>
      <c r="AW186" s="69"/>
      <c r="AX186" s="69"/>
      <c r="AY186" s="71"/>
      <c r="AZ186" s="10"/>
      <c r="BA186" s="10"/>
      <c r="BB186" s="10"/>
      <c r="BC186" s="10"/>
      <c r="BD186" s="10"/>
      <c r="BE186" s="10"/>
    </row>
    <row r="187" spans="45:57" customFormat="1">
      <c r="AS187" s="68"/>
      <c r="AT187" s="68"/>
      <c r="AU187" s="68"/>
      <c r="AV187" s="68"/>
      <c r="AW187" s="68"/>
      <c r="AX187" s="69"/>
      <c r="AY187" s="71"/>
      <c r="AZ187" s="10"/>
      <c r="BA187" s="10"/>
      <c r="BB187" s="10"/>
      <c r="BC187" s="10"/>
      <c r="BD187" s="10"/>
      <c r="BE187" s="10"/>
    </row>
    <row r="188" spans="45:57" customFormat="1">
      <c r="AS188" s="68"/>
      <c r="AT188" s="68"/>
      <c r="AU188" s="68"/>
      <c r="AV188" s="68"/>
      <c r="AW188" s="68"/>
      <c r="AX188" s="69"/>
      <c r="AY188" s="71"/>
      <c r="AZ188" s="10"/>
      <c r="BA188" s="10"/>
      <c r="BB188" s="10"/>
      <c r="BC188" s="10"/>
      <c r="BD188" s="10"/>
      <c r="BE188" s="10"/>
    </row>
    <row r="189" spans="45:57" customFormat="1">
      <c r="AS189" s="68"/>
      <c r="AT189" s="68"/>
      <c r="AU189" s="68"/>
      <c r="AV189" s="68"/>
      <c r="AW189" s="69"/>
      <c r="AX189" s="69"/>
      <c r="AY189" s="71"/>
      <c r="AZ189" s="10"/>
      <c r="BA189" s="10"/>
      <c r="BB189" s="10"/>
      <c r="BC189" s="10"/>
      <c r="BD189" s="10"/>
      <c r="BE189" s="10"/>
    </row>
    <row r="190" spans="45:57" customFormat="1">
      <c r="AS190" s="68"/>
      <c r="AT190" s="68"/>
      <c r="AU190" s="68"/>
      <c r="AV190" s="68"/>
      <c r="AW190" s="69"/>
      <c r="AX190" s="69"/>
      <c r="AY190" s="71"/>
      <c r="AZ190" s="10"/>
      <c r="BA190" s="10"/>
      <c r="BB190" s="10"/>
      <c r="BC190" s="10"/>
      <c r="BD190" s="10"/>
      <c r="BE190" s="10"/>
    </row>
    <row r="191" spans="45:57" customFormat="1">
      <c r="AS191" s="68"/>
      <c r="AT191" s="68"/>
      <c r="AU191" s="68"/>
      <c r="AV191" s="68"/>
      <c r="AW191" s="69"/>
      <c r="AX191" s="69"/>
      <c r="AY191" s="71"/>
      <c r="AZ191" s="10"/>
      <c r="BA191" s="10"/>
      <c r="BB191" s="10"/>
      <c r="BC191" s="10"/>
      <c r="BD191" s="10"/>
      <c r="BE191" s="10"/>
    </row>
    <row r="192" spans="45:57" customFormat="1">
      <c r="AS192" s="68"/>
      <c r="AT192" s="68"/>
      <c r="AU192" s="68"/>
      <c r="AV192" s="68"/>
      <c r="AW192" s="69"/>
      <c r="AX192" s="69"/>
      <c r="AY192" s="71"/>
      <c r="AZ192" s="10"/>
      <c r="BA192" s="10"/>
      <c r="BB192" s="10"/>
      <c r="BC192" s="10"/>
      <c r="BD192" s="10"/>
      <c r="BE192" s="10"/>
    </row>
    <row r="193" spans="45:57" customFormat="1">
      <c r="AS193" s="68"/>
      <c r="AT193" s="68"/>
      <c r="AU193" s="68"/>
      <c r="AV193" s="68"/>
      <c r="AW193" s="69"/>
      <c r="AX193" s="69"/>
      <c r="AY193" s="71"/>
      <c r="AZ193" s="10"/>
      <c r="BA193" s="10"/>
      <c r="BB193" s="10"/>
      <c r="BC193" s="10"/>
      <c r="BD193" s="10"/>
      <c r="BE193" s="10"/>
    </row>
    <row r="194" spans="45:57" customFormat="1">
      <c r="AS194" s="68"/>
      <c r="AT194" s="68"/>
      <c r="AU194" s="68"/>
      <c r="AV194" s="68"/>
      <c r="AW194" s="69"/>
      <c r="AX194" s="69"/>
      <c r="AY194" s="71"/>
      <c r="AZ194" s="10"/>
      <c r="BA194" s="10"/>
      <c r="BB194" s="10"/>
      <c r="BC194" s="10"/>
      <c r="BD194" s="10"/>
      <c r="BE194" s="10"/>
    </row>
    <row r="195" spans="45:57" customFormat="1">
      <c r="AS195" s="68"/>
      <c r="AT195" s="68"/>
      <c r="AU195" s="68"/>
      <c r="AV195" s="68"/>
      <c r="AW195" s="68"/>
      <c r="AX195" s="69"/>
      <c r="AY195" s="71"/>
      <c r="AZ195" s="10"/>
      <c r="BA195" s="10"/>
      <c r="BB195" s="10"/>
      <c r="BC195" s="10"/>
      <c r="BD195" s="10"/>
      <c r="BE195" s="10"/>
    </row>
    <row r="196" spans="45:57" customFormat="1">
      <c r="AS196" s="68"/>
      <c r="AT196" s="68"/>
      <c r="AU196" s="68"/>
      <c r="AV196" s="68"/>
      <c r="AW196" s="69"/>
      <c r="AX196" s="69"/>
      <c r="AY196" s="71"/>
      <c r="AZ196" s="10"/>
      <c r="BA196" s="10"/>
      <c r="BB196" s="10"/>
      <c r="BC196" s="10"/>
      <c r="BD196" s="10"/>
      <c r="BE196" s="10"/>
    </row>
    <row r="197" spans="45:57" customFormat="1">
      <c r="AS197" s="68"/>
      <c r="AT197" s="68"/>
      <c r="AU197" s="68"/>
      <c r="AV197" s="68"/>
      <c r="AW197" s="69"/>
      <c r="AX197" s="69"/>
      <c r="AY197" s="71"/>
      <c r="AZ197" s="10"/>
      <c r="BA197" s="10"/>
      <c r="BB197" s="10"/>
      <c r="BC197" s="10"/>
      <c r="BD197" s="10"/>
      <c r="BE197" s="10"/>
    </row>
    <row r="198" spans="45:57" customFormat="1">
      <c r="AS198" s="68"/>
      <c r="AT198" s="68"/>
      <c r="AU198" s="68"/>
      <c r="AV198" s="68"/>
      <c r="AW198" s="69"/>
      <c r="AX198" s="69"/>
      <c r="AY198" s="71"/>
      <c r="AZ198" s="10"/>
      <c r="BA198" s="10"/>
      <c r="BB198" s="10"/>
      <c r="BC198" s="10"/>
      <c r="BD198" s="10"/>
      <c r="BE198" s="10"/>
    </row>
    <row r="199" spans="45:57" customFormat="1">
      <c r="AS199" s="68"/>
      <c r="AT199" s="68"/>
      <c r="AU199" s="68"/>
      <c r="AV199" s="68"/>
      <c r="AW199" s="68"/>
      <c r="AX199" s="69"/>
      <c r="AY199" s="71"/>
      <c r="AZ199" s="10"/>
      <c r="BA199" s="10"/>
      <c r="BB199" s="10"/>
      <c r="BC199" s="10"/>
      <c r="BD199" s="10"/>
      <c r="BE199" s="10"/>
    </row>
    <row r="200" spans="45:57" customFormat="1">
      <c r="AS200" s="68"/>
      <c r="AT200" s="68"/>
      <c r="AU200" s="68"/>
      <c r="AV200" s="68"/>
      <c r="AW200" s="69"/>
      <c r="AX200" s="69"/>
      <c r="AY200" s="71"/>
      <c r="AZ200" s="10"/>
      <c r="BA200" s="10"/>
      <c r="BB200" s="10"/>
      <c r="BC200" s="10"/>
      <c r="BD200" s="10"/>
      <c r="BE200" s="10"/>
    </row>
    <row r="201" spans="45:57" customFormat="1">
      <c r="AS201" s="68"/>
      <c r="AT201" s="68"/>
      <c r="AU201" s="68"/>
      <c r="AV201" s="68"/>
      <c r="AW201" s="69"/>
      <c r="AX201" s="69"/>
      <c r="AY201" s="71"/>
      <c r="AZ201" s="10"/>
      <c r="BA201" s="10"/>
      <c r="BB201" s="10"/>
      <c r="BC201" s="10"/>
      <c r="BD201" s="10"/>
      <c r="BE201" s="10"/>
    </row>
    <row r="202" spans="45:57" customFormat="1">
      <c r="AS202" s="68"/>
      <c r="AT202" s="68"/>
      <c r="AU202" s="68"/>
      <c r="AV202" s="68"/>
      <c r="AW202" s="69"/>
      <c r="AX202" s="69"/>
      <c r="AY202" s="71"/>
      <c r="AZ202" s="10"/>
      <c r="BA202" s="10"/>
      <c r="BB202" s="10"/>
      <c r="BC202" s="10"/>
      <c r="BD202" s="10"/>
      <c r="BE202" s="10"/>
    </row>
    <row r="203" spans="45:57" customFormat="1">
      <c r="AS203" s="68"/>
      <c r="AT203" s="68"/>
      <c r="AU203" s="68"/>
      <c r="AV203" s="68"/>
      <c r="AW203" s="69"/>
      <c r="AX203" s="69"/>
      <c r="AY203" s="71"/>
      <c r="AZ203" s="10"/>
      <c r="BA203" s="10"/>
      <c r="BB203" s="10"/>
      <c r="BC203" s="10"/>
      <c r="BD203" s="10"/>
      <c r="BE203" s="10"/>
    </row>
    <row r="204" spans="45:57" customFormat="1">
      <c r="AS204" s="68"/>
      <c r="AT204" s="68"/>
      <c r="AU204" s="68"/>
      <c r="AV204" s="68"/>
      <c r="AW204" s="68"/>
      <c r="AX204" s="69"/>
      <c r="AY204" s="71"/>
      <c r="AZ204" s="10"/>
      <c r="BA204" s="10"/>
      <c r="BB204" s="10"/>
      <c r="BC204" s="10"/>
      <c r="BD204" s="10"/>
      <c r="BE204" s="10"/>
    </row>
    <row r="205" spans="45:57" customFormat="1">
      <c r="AS205" s="68"/>
      <c r="AT205" s="68"/>
      <c r="AU205" s="68"/>
      <c r="AV205" s="68"/>
      <c r="AW205" s="69"/>
      <c r="AX205" s="69"/>
      <c r="AY205" s="71"/>
      <c r="AZ205" s="10"/>
      <c r="BA205" s="10"/>
      <c r="BB205" s="10"/>
      <c r="BC205" s="10"/>
      <c r="BD205" s="10"/>
      <c r="BE205" s="10"/>
    </row>
    <row r="206" spans="45:57" customFormat="1">
      <c r="AS206" s="68"/>
      <c r="AT206" s="68"/>
      <c r="AU206" s="68"/>
      <c r="AV206" s="68"/>
      <c r="AW206" s="69"/>
      <c r="AX206" s="69"/>
      <c r="AY206" s="71"/>
      <c r="AZ206" s="10"/>
      <c r="BA206" s="10"/>
      <c r="BB206" s="10"/>
      <c r="BC206" s="10"/>
      <c r="BD206" s="10"/>
      <c r="BE206" s="10"/>
    </row>
    <row r="207" spans="45:57" customFormat="1">
      <c r="AS207" s="68"/>
      <c r="AT207" s="68"/>
      <c r="AU207" s="68"/>
      <c r="AV207" s="68"/>
      <c r="AW207" s="69"/>
      <c r="AX207" s="69"/>
      <c r="AY207" s="71"/>
      <c r="AZ207" s="10"/>
      <c r="BA207" s="10"/>
      <c r="BB207" s="10"/>
      <c r="BC207" s="10"/>
      <c r="BD207" s="10"/>
      <c r="BE207" s="10"/>
    </row>
    <row r="208" spans="45:57" customFormat="1">
      <c r="AS208" s="68"/>
      <c r="AT208" s="68"/>
      <c r="AU208" s="68"/>
      <c r="AV208" s="68"/>
      <c r="AW208" s="68"/>
      <c r="AX208" s="69"/>
      <c r="AY208" s="71"/>
      <c r="AZ208" s="10"/>
      <c r="BA208" s="10"/>
      <c r="BB208" s="10"/>
      <c r="BC208" s="10"/>
      <c r="BD208" s="10"/>
      <c r="BE208" s="10"/>
    </row>
    <row r="209" spans="45:57" customFormat="1">
      <c r="AS209" s="68"/>
      <c r="AT209" s="68"/>
      <c r="AU209" s="68"/>
      <c r="AV209" s="68"/>
      <c r="AW209" s="68"/>
      <c r="AX209" s="69"/>
      <c r="AY209" s="71"/>
      <c r="AZ209" s="10"/>
      <c r="BA209" s="10"/>
      <c r="BB209" s="10"/>
      <c r="BC209" s="10"/>
      <c r="BD209" s="10"/>
      <c r="BE209" s="10"/>
    </row>
    <row r="210" spans="45:57" customFormat="1">
      <c r="AS210" s="68"/>
      <c r="AT210" s="68"/>
      <c r="AU210" s="68"/>
      <c r="AV210" s="68"/>
      <c r="AW210" s="69"/>
      <c r="AX210" s="69"/>
      <c r="AY210" s="71"/>
      <c r="AZ210" s="10"/>
      <c r="BA210" s="10"/>
      <c r="BB210" s="10"/>
      <c r="BC210" s="10"/>
      <c r="BD210" s="10"/>
      <c r="BE210" s="10"/>
    </row>
    <row r="211" spans="45:57" customFormat="1">
      <c r="AS211" s="68"/>
      <c r="AT211" s="68"/>
      <c r="AU211" s="68"/>
      <c r="AV211" s="68"/>
      <c r="AW211" s="69"/>
      <c r="AX211" s="69"/>
      <c r="AY211" s="71"/>
      <c r="AZ211" s="10"/>
      <c r="BA211" s="10"/>
      <c r="BB211" s="10"/>
      <c r="BC211" s="10"/>
      <c r="BD211" s="10"/>
      <c r="BE211" s="10"/>
    </row>
    <row r="212" spans="45:57" customFormat="1">
      <c r="AS212" s="68"/>
      <c r="AT212" s="68"/>
      <c r="AU212" s="68"/>
      <c r="AV212" s="68"/>
      <c r="AW212" s="69"/>
      <c r="AX212" s="69"/>
      <c r="AY212" s="71"/>
      <c r="AZ212" s="10"/>
      <c r="BA212" s="10"/>
      <c r="BB212" s="10"/>
      <c r="BC212" s="10"/>
      <c r="BD212" s="10"/>
      <c r="BE212" s="10"/>
    </row>
    <row r="213" spans="45:57" customFormat="1">
      <c r="AS213" s="68"/>
      <c r="AT213" s="68"/>
      <c r="AU213" s="68"/>
      <c r="AV213" s="68"/>
      <c r="AW213" s="69"/>
      <c r="AX213" s="69"/>
      <c r="AY213" s="71"/>
      <c r="AZ213" s="10"/>
      <c r="BA213" s="10"/>
      <c r="BB213" s="10"/>
      <c r="BC213" s="10"/>
      <c r="BD213" s="10"/>
      <c r="BE213" s="10"/>
    </row>
    <row r="214" spans="45:57" customFormat="1">
      <c r="AS214" s="68"/>
      <c r="AT214" s="68"/>
      <c r="AU214" s="68"/>
      <c r="AV214" s="68"/>
      <c r="AW214" s="69"/>
      <c r="AX214" s="69"/>
      <c r="AY214" s="71"/>
      <c r="AZ214" s="10"/>
      <c r="BA214" s="10"/>
      <c r="BB214" s="10"/>
      <c r="BC214" s="10"/>
      <c r="BD214" s="10"/>
      <c r="BE214" s="10"/>
    </row>
    <row r="215" spans="45:57" customFormat="1">
      <c r="AS215" s="68"/>
      <c r="AT215" s="68"/>
      <c r="AU215" s="68"/>
      <c r="AV215" s="68"/>
      <c r="AW215" s="68"/>
      <c r="AX215" s="69"/>
      <c r="AY215" s="71"/>
      <c r="AZ215" s="10"/>
      <c r="BA215" s="10"/>
      <c r="BB215" s="10"/>
      <c r="BC215" s="10"/>
      <c r="BD215" s="10"/>
      <c r="BE215" s="10"/>
    </row>
    <row r="216" spans="45:57" customFormat="1">
      <c r="AS216" s="68"/>
      <c r="AT216" s="68"/>
      <c r="AU216" s="68"/>
      <c r="AV216" s="68"/>
      <c r="AW216" s="69"/>
      <c r="AX216" s="69"/>
      <c r="AY216" s="71"/>
      <c r="AZ216" s="10"/>
      <c r="BA216" s="10"/>
      <c r="BB216" s="10"/>
      <c r="BC216" s="10"/>
      <c r="BD216" s="10"/>
      <c r="BE216" s="10"/>
    </row>
    <row r="217" spans="45:57" customFormat="1">
      <c r="AS217" s="68"/>
      <c r="AT217" s="68"/>
      <c r="AU217" s="68"/>
      <c r="AV217" s="68"/>
      <c r="AW217" s="69"/>
      <c r="AX217" s="69"/>
      <c r="AY217" s="71"/>
      <c r="AZ217" s="10"/>
      <c r="BA217" s="10"/>
      <c r="BB217" s="10"/>
      <c r="BC217" s="10"/>
      <c r="BD217" s="10"/>
      <c r="BE217" s="10"/>
    </row>
    <row r="218" spans="45:57" customFormat="1">
      <c r="AS218" s="68"/>
      <c r="AT218" s="68"/>
      <c r="AU218" s="68"/>
      <c r="AV218" s="68"/>
      <c r="AW218" s="69"/>
      <c r="AX218" s="69"/>
      <c r="AY218" s="71"/>
      <c r="AZ218" s="10"/>
      <c r="BA218" s="10"/>
      <c r="BB218" s="10"/>
      <c r="BC218" s="10"/>
      <c r="BD218" s="10"/>
      <c r="BE218" s="10"/>
    </row>
    <row r="219" spans="45:57" customFormat="1">
      <c r="AS219" s="68"/>
      <c r="AT219" s="68"/>
      <c r="AU219" s="68"/>
      <c r="AV219" s="68"/>
      <c r="AW219" s="68"/>
      <c r="AX219" s="69"/>
      <c r="AY219" s="71"/>
      <c r="AZ219" s="10"/>
      <c r="BA219" s="10"/>
      <c r="BB219" s="10"/>
      <c r="BC219" s="10"/>
      <c r="BD219" s="10"/>
      <c r="BE219" s="10"/>
    </row>
    <row r="220" spans="45:57" customFormat="1">
      <c r="AS220" s="68"/>
      <c r="AT220" s="68"/>
      <c r="AU220" s="68"/>
      <c r="AV220" s="68"/>
      <c r="AW220" s="69"/>
      <c r="AX220" s="69"/>
      <c r="AY220" s="71"/>
      <c r="AZ220" s="10"/>
      <c r="BA220" s="10"/>
      <c r="BB220" s="10"/>
      <c r="BC220" s="10"/>
      <c r="BD220" s="10"/>
      <c r="BE220" s="10"/>
    </row>
    <row r="221" spans="45:57" customFormat="1">
      <c r="AS221" s="68"/>
      <c r="AT221" s="68"/>
      <c r="AU221" s="68"/>
      <c r="AV221" s="68"/>
      <c r="AW221" s="69"/>
      <c r="AX221" s="69"/>
      <c r="AY221" s="71"/>
      <c r="AZ221" s="10"/>
      <c r="BA221" s="10"/>
      <c r="BB221" s="10"/>
      <c r="BC221" s="10"/>
      <c r="BD221" s="10"/>
      <c r="BE221" s="10"/>
    </row>
    <row r="222" spans="45:57" customFormat="1">
      <c r="AS222" s="68"/>
      <c r="AT222" s="68"/>
      <c r="AU222" s="68"/>
      <c r="AV222" s="68"/>
      <c r="AW222" s="69"/>
      <c r="AX222" s="69"/>
      <c r="AY222" s="71"/>
      <c r="AZ222" s="10"/>
      <c r="BA222" s="10"/>
      <c r="BB222" s="10"/>
      <c r="BC222" s="10"/>
      <c r="BD222" s="10"/>
      <c r="BE222" s="10"/>
    </row>
    <row r="223" spans="45:57" customFormat="1">
      <c r="AS223" s="68"/>
      <c r="AT223" s="68"/>
      <c r="AU223" s="68"/>
      <c r="AV223" s="68"/>
      <c r="AW223" s="69"/>
      <c r="AX223" s="69"/>
      <c r="AY223" s="71"/>
      <c r="AZ223" s="10"/>
      <c r="BA223" s="10"/>
      <c r="BB223" s="10"/>
      <c r="BC223" s="10"/>
      <c r="BD223" s="10"/>
      <c r="BE223" s="10"/>
    </row>
    <row r="224" spans="45:57" customFormat="1">
      <c r="AS224" s="68"/>
      <c r="AT224" s="68"/>
      <c r="AU224" s="68"/>
      <c r="AV224" s="68"/>
      <c r="AW224" s="68"/>
      <c r="AX224" s="69"/>
      <c r="AY224" s="71"/>
      <c r="AZ224" s="10"/>
      <c r="BA224" s="10"/>
      <c r="BB224" s="10"/>
      <c r="BC224" s="10"/>
      <c r="BD224" s="10"/>
      <c r="BE224" s="10"/>
    </row>
    <row r="225" spans="45:57" customFormat="1">
      <c r="AS225" s="68"/>
      <c r="AT225" s="68"/>
      <c r="AU225" s="68"/>
      <c r="AV225" s="68"/>
      <c r="AW225" s="69"/>
      <c r="AX225" s="69"/>
      <c r="AY225" s="71"/>
      <c r="AZ225" s="10"/>
      <c r="BA225" s="10"/>
      <c r="BB225" s="10"/>
      <c r="BC225" s="10"/>
      <c r="BD225" s="10"/>
      <c r="BE225" s="10"/>
    </row>
    <row r="226" spans="45:57" customFormat="1">
      <c r="AS226" s="68"/>
      <c r="AT226" s="68"/>
      <c r="AU226" s="68"/>
      <c r="AV226" s="68"/>
      <c r="AW226" s="69"/>
      <c r="AX226" s="69"/>
      <c r="AY226" s="71"/>
      <c r="AZ226" s="10"/>
      <c r="BA226" s="10"/>
      <c r="BB226" s="10"/>
      <c r="BC226" s="10"/>
      <c r="BD226" s="10"/>
      <c r="BE226" s="10"/>
    </row>
    <row r="227" spans="45:57" customFormat="1">
      <c r="AS227" s="68"/>
      <c r="AT227" s="68"/>
      <c r="AU227" s="68"/>
      <c r="AV227" s="68"/>
      <c r="AW227" s="69"/>
      <c r="AX227" s="69"/>
      <c r="AY227" s="71"/>
      <c r="AZ227" s="10"/>
      <c r="BA227" s="10"/>
      <c r="BB227" s="10"/>
      <c r="BC227" s="10"/>
      <c r="BD227" s="10"/>
      <c r="BE227" s="10"/>
    </row>
    <row r="228" spans="45:57" customFormat="1">
      <c r="AS228" s="68"/>
      <c r="AT228" s="68"/>
      <c r="AU228" s="68"/>
      <c r="AV228" s="68"/>
      <c r="AW228" s="68"/>
      <c r="AX228" s="69"/>
      <c r="AY228" s="71"/>
      <c r="AZ228" s="10"/>
      <c r="BA228" s="10"/>
      <c r="BB228" s="10"/>
      <c r="BC228" s="10"/>
      <c r="BD228" s="10"/>
      <c r="BE228" s="10"/>
    </row>
    <row r="229" spans="45:57" customFormat="1">
      <c r="AS229" s="68"/>
      <c r="AT229" s="68"/>
      <c r="AU229" s="68"/>
      <c r="AV229" s="68"/>
      <c r="AW229" s="68"/>
      <c r="AX229" s="69"/>
      <c r="AY229" s="71"/>
      <c r="AZ229" s="10"/>
      <c r="BA229" s="10"/>
      <c r="BB229" s="10"/>
      <c r="BC229" s="10"/>
      <c r="BD229" s="10"/>
      <c r="BE229" s="10"/>
    </row>
    <row r="230" spans="45:57" customFormat="1">
      <c r="AS230" s="68"/>
      <c r="AT230" s="68"/>
      <c r="AU230" s="68"/>
      <c r="AV230" s="68"/>
      <c r="AW230" s="69"/>
      <c r="AX230" s="69"/>
      <c r="AY230" s="71"/>
      <c r="AZ230" s="10"/>
      <c r="BA230" s="10"/>
      <c r="BB230" s="10"/>
      <c r="BC230" s="10"/>
      <c r="BD230" s="10"/>
      <c r="BE230" s="10"/>
    </row>
    <row r="231" spans="45:57" customFormat="1">
      <c r="AS231" s="68"/>
      <c r="AT231" s="68"/>
      <c r="AU231" s="68"/>
      <c r="AV231" s="68"/>
      <c r="AW231" s="69"/>
      <c r="AX231" s="69"/>
      <c r="AY231" s="71"/>
      <c r="AZ231" s="10"/>
      <c r="BA231" s="10"/>
      <c r="BB231" s="10"/>
      <c r="BC231" s="10"/>
      <c r="BD231" s="10"/>
      <c r="BE231" s="10"/>
    </row>
    <row r="232" spans="45:57" customFormat="1">
      <c r="AS232" s="68"/>
      <c r="AT232" s="68"/>
      <c r="AU232" s="68"/>
      <c r="AV232" s="68"/>
      <c r="AW232" s="69"/>
      <c r="AX232" s="69"/>
      <c r="AY232" s="71"/>
      <c r="AZ232" s="10"/>
      <c r="BA232" s="10"/>
      <c r="BB232" s="10"/>
      <c r="BC232" s="10"/>
      <c r="BD232" s="10"/>
      <c r="BE232" s="10"/>
    </row>
    <row r="233" spans="45:57" customFormat="1">
      <c r="AS233" s="68"/>
      <c r="AT233" s="68"/>
      <c r="AU233" s="68"/>
      <c r="AV233" s="68"/>
      <c r="AW233" s="69"/>
      <c r="AX233" s="69"/>
      <c r="AY233" s="71"/>
      <c r="AZ233" s="10"/>
      <c r="BA233" s="10"/>
      <c r="BB233" s="10"/>
      <c r="BC233" s="10"/>
      <c r="BD233" s="10"/>
      <c r="BE233" s="10"/>
    </row>
    <row r="234" spans="45:57" customFormat="1">
      <c r="AS234" s="68"/>
      <c r="AT234" s="68"/>
      <c r="AU234" s="68"/>
      <c r="AV234" s="68"/>
      <c r="AW234" s="69"/>
      <c r="AX234" s="69"/>
      <c r="AY234" s="71"/>
      <c r="AZ234" s="10"/>
      <c r="BA234" s="10"/>
      <c r="BB234" s="10"/>
      <c r="BC234" s="10"/>
      <c r="BD234" s="10"/>
      <c r="BE234" s="10"/>
    </row>
    <row r="235" spans="45:57" customFormat="1">
      <c r="AS235" s="68"/>
      <c r="AT235" s="68"/>
      <c r="AU235" s="68"/>
      <c r="AV235" s="68"/>
      <c r="AW235" s="69"/>
      <c r="AX235" s="69"/>
      <c r="AY235" s="71"/>
      <c r="AZ235" s="10"/>
      <c r="BA235" s="10"/>
      <c r="BB235" s="10"/>
      <c r="BC235" s="10"/>
      <c r="BD235" s="10"/>
      <c r="BE235" s="10"/>
    </row>
    <row r="236" spans="45:57" customFormat="1">
      <c r="AS236" s="68"/>
      <c r="AT236" s="68"/>
      <c r="AU236" s="68"/>
      <c r="AV236" s="68"/>
      <c r="AW236" s="68"/>
      <c r="AX236" s="69"/>
      <c r="AY236" s="71"/>
      <c r="AZ236" s="10"/>
      <c r="BA236" s="10"/>
      <c r="BB236" s="10"/>
      <c r="BC236" s="10"/>
      <c r="BD236" s="10"/>
      <c r="BE236" s="10"/>
    </row>
    <row r="237" spans="45:57" customFormat="1">
      <c r="AS237" s="68"/>
      <c r="AT237" s="68"/>
      <c r="AU237" s="68"/>
      <c r="AV237" s="68"/>
      <c r="AW237" s="69"/>
      <c r="AX237" s="69"/>
      <c r="AY237" s="71"/>
      <c r="AZ237" s="10"/>
      <c r="BA237" s="10"/>
      <c r="BB237" s="10"/>
      <c r="BC237" s="10"/>
      <c r="BD237" s="10"/>
      <c r="BE237" s="10"/>
    </row>
    <row r="238" spans="45:57" customFormat="1">
      <c r="AS238" s="68"/>
      <c r="AT238" s="68"/>
      <c r="AU238" s="68"/>
      <c r="AV238" s="68"/>
      <c r="AW238" s="69"/>
      <c r="AX238" s="69"/>
      <c r="AY238" s="71"/>
      <c r="AZ238" s="10"/>
      <c r="BA238" s="10"/>
      <c r="BB238" s="10"/>
      <c r="BC238" s="10"/>
      <c r="BD238" s="10"/>
      <c r="BE238" s="10"/>
    </row>
    <row r="239" spans="45:57" customFormat="1">
      <c r="AS239" s="68"/>
      <c r="AT239" s="68"/>
      <c r="AU239" s="68"/>
      <c r="AV239" s="68"/>
      <c r="AW239" s="69"/>
      <c r="AX239" s="69"/>
      <c r="AY239" s="71"/>
      <c r="AZ239" s="10"/>
      <c r="BA239" s="10"/>
      <c r="BB239" s="10"/>
      <c r="BC239" s="10"/>
      <c r="BD239" s="10"/>
      <c r="BE239" s="10"/>
    </row>
    <row r="240" spans="45:57" customFormat="1">
      <c r="AS240" s="68"/>
      <c r="AT240" s="68"/>
      <c r="AU240" s="68"/>
      <c r="AV240" s="68"/>
      <c r="AW240" s="68"/>
      <c r="AX240" s="69"/>
      <c r="AY240" s="71"/>
      <c r="AZ240" s="10"/>
      <c r="BA240" s="10"/>
      <c r="BB240" s="10"/>
      <c r="BC240" s="10"/>
      <c r="BD240" s="10"/>
      <c r="BE240" s="10"/>
    </row>
    <row r="241" spans="45:57" customFormat="1">
      <c r="AS241" s="68"/>
      <c r="AT241" s="68"/>
      <c r="AU241" s="68"/>
      <c r="AV241" s="68"/>
      <c r="AW241" s="69"/>
      <c r="AX241" s="69"/>
      <c r="AY241" s="71"/>
      <c r="AZ241" s="10"/>
      <c r="BA241" s="10"/>
      <c r="BB241" s="10"/>
      <c r="BC241" s="10"/>
      <c r="BD241" s="10"/>
      <c r="BE241" s="10"/>
    </row>
    <row r="242" spans="45:57" customFormat="1">
      <c r="AS242" s="68"/>
      <c r="AT242" s="68"/>
      <c r="AU242" s="68"/>
      <c r="AV242" s="68"/>
      <c r="AW242" s="69"/>
      <c r="AX242" s="69"/>
      <c r="AY242" s="71"/>
      <c r="AZ242" s="10"/>
      <c r="BA242" s="10"/>
      <c r="BB242" s="10"/>
      <c r="BC242" s="10"/>
      <c r="BD242" s="10"/>
      <c r="BE242" s="10"/>
    </row>
    <row r="243" spans="45:57" customFormat="1">
      <c r="AS243" s="68"/>
      <c r="AT243" s="68"/>
      <c r="AU243" s="68"/>
      <c r="AV243" s="68"/>
      <c r="AW243" s="69"/>
      <c r="AX243" s="69"/>
      <c r="AY243" s="71"/>
      <c r="AZ243" s="10"/>
      <c r="BA243" s="10"/>
      <c r="BB243" s="10"/>
      <c r="BC243" s="10"/>
      <c r="BD243" s="10"/>
      <c r="BE243" s="10"/>
    </row>
    <row r="244" spans="45:57" customFormat="1">
      <c r="AS244" s="68"/>
      <c r="AT244" s="68"/>
      <c r="AU244" s="68"/>
      <c r="AV244" s="68"/>
      <c r="AW244" s="69"/>
      <c r="AX244" s="69"/>
      <c r="AY244" s="71"/>
      <c r="AZ244" s="10"/>
      <c r="BA244" s="10"/>
      <c r="BB244" s="10"/>
      <c r="BC244" s="10"/>
      <c r="BD244" s="10"/>
      <c r="BE244" s="10"/>
    </row>
    <row r="245" spans="45:57" customFormat="1">
      <c r="AS245" s="68"/>
      <c r="AT245" s="68"/>
      <c r="AU245" s="68"/>
      <c r="AV245" s="68"/>
      <c r="AW245" s="68"/>
      <c r="AX245" s="69"/>
      <c r="AY245" s="71"/>
      <c r="AZ245" s="10"/>
      <c r="BA245" s="10"/>
      <c r="BB245" s="10"/>
      <c r="BC245" s="10"/>
      <c r="BD245" s="10"/>
      <c r="BE245" s="10"/>
    </row>
    <row r="246" spans="45:57" customFormat="1">
      <c r="AS246" s="68"/>
      <c r="AT246" s="68"/>
      <c r="AU246" s="68"/>
      <c r="AV246" s="68"/>
      <c r="AW246" s="69"/>
      <c r="AX246" s="69"/>
      <c r="AY246" s="71"/>
      <c r="AZ246" s="10"/>
      <c r="BA246" s="10"/>
      <c r="BB246" s="10"/>
      <c r="BC246" s="10"/>
      <c r="BD246" s="10"/>
      <c r="BE246" s="10"/>
    </row>
    <row r="247" spans="45:57" customFormat="1">
      <c r="AS247" s="68"/>
      <c r="AT247" s="68"/>
      <c r="AU247" s="68"/>
      <c r="AV247" s="68"/>
      <c r="AW247" s="69"/>
      <c r="AX247" s="69"/>
      <c r="AY247" s="71"/>
      <c r="AZ247" s="10"/>
      <c r="BA247" s="10"/>
      <c r="BB247" s="10"/>
      <c r="BC247" s="10"/>
      <c r="BD247" s="10"/>
      <c r="BE247" s="10"/>
    </row>
    <row r="248" spans="45:57" customFormat="1">
      <c r="AS248" s="68"/>
      <c r="AT248" s="68"/>
      <c r="AU248" s="68"/>
      <c r="AV248" s="68"/>
      <c r="AW248" s="69"/>
      <c r="AX248" s="69"/>
      <c r="AY248" s="71"/>
      <c r="AZ248" s="10"/>
      <c r="BA248" s="10"/>
      <c r="BB248" s="10"/>
      <c r="BC248" s="10"/>
      <c r="BD248" s="10"/>
      <c r="BE248" s="10"/>
    </row>
    <row r="249" spans="45:57" customFormat="1">
      <c r="AS249" s="68"/>
      <c r="AT249" s="68"/>
      <c r="AU249" s="68"/>
      <c r="AV249" s="68"/>
      <c r="AW249" s="68"/>
      <c r="AX249" s="69"/>
      <c r="AY249" s="71"/>
      <c r="AZ249" s="10"/>
      <c r="BA249" s="10"/>
      <c r="BB249" s="10"/>
      <c r="BC249" s="10"/>
      <c r="BD249" s="10"/>
      <c r="BE249" s="10"/>
    </row>
    <row r="250" spans="45:57" customFormat="1">
      <c r="AS250" s="68"/>
      <c r="AT250" s="68"/>
      <c r="AU250" s="68"/>
      <c r="AV250" s="68"/>
      <c r="AW250" s="68"/>
      <c r="AX250" s="69"/>
      <c r="AY250" s="71"/>
      <c r="AZ250" s="10"/>
      <c r="BA250" s="10"/>
      <c r="BB250" s="10"/>
      <c r="BC250" s="10"/>
      <c r="BD250" s="10"/>
      <c r="BE250" s="10"/>
    </row>
    <row r="251" spans="45:57" customFormat="1">
      <c r="AS251" s="68"/>
      <c r="AT251" s="68"/>
      <c r="AU251" s="68"/>
      <c r="AV251" s="68"/>
      <c r="AW251" s="69"/>
      <c r="AX251" s="69"/>
      <c r="AY251" s="71"/>
      <c r="AZ251" s="10"/>
      <c r="BA251" s="10"/>
      <c r="BB251" s="10"/>
      <c r="BC251" s="10"/>
      <c r="BD251" s="10"/>
      <c r="BE251" s="10"/>
    </row>
    <row r="252" spans="45:57" customFormat="1">
      <c r="AS252" s="68"/>
      <c r="AT252" s="68"/>
      <c r="AU252" s="68"/>
      <c r="AV252" s="68"/>
      <c r="AW252" s="69"/>
      <c r="AX252" s="69"/>
      <c r="AY252" s="71"/>
      <c r="AZ252" s="10"/>
      <c r="BA252" s="10"/>
      <c r="BB252" s="10"/>
      <c r="BC252" s="10"/>
      <c r="BD252" s="10"/>
      <c r="BE252" s="10"/>
    </row>
    <row r="253" spans="45:57" customFormat="1">
      <c r="AS253" s="68"/>
      <c r="AT253" s="68"/>
      <c r="AU253" s="68"/>
      <c r="AV253" s="68"/>
      <c r="AW253" s="68"/>
      <c r="AX253" s="69"/>
      <c r="AY253" s="71"/>
      <c r="AZ253" s="10"/>
      <c r="BA253" s="10"/>
      <c r="BB253" s="10"/>
      <c r="BC253" s="10"/>
      <c r="BD253" s="10"/>
      <c r="BE253" s="10"/>
    </row>
    <row r="254" spans="45:57" customFormat="1">
      <c r="AS254" s="68"/>
      <c r="AT254" s="68"/>
      <c r="AU254" s="68"/>
      <c r="AV254" s="68"/>
      <c r="AW254" s="69"/>
      <c r="AX254" s="69"/>
      <c r="AY254" s="71"/>
      <c r="AZ254" s="10"/>
      <c r="BA254" s="10"/>
      <c r="BB254" s="10"/>
      <c r="BC254" s="10"/>
      <c r="BD254" s="10"/>
      <c r="BE254" s="10"/>
    </row>
    <row r="255" spans="45:57" customFormat="1">
      <c r="AS255" s="68"/>
      <c r="AT255" s="68"/>
      <c r="AU255" s="68"/>
      <c r="AV255" s="68"/>
      <c r="AW255" s="69"/>
      <c r="AX255" s="69"/>
      <c r="AY255" s="71"/>
      <c r="AZ255" s="10"/>
      <c r="BA255" s="10"/>
      <c r="BB255" s="10"/>
      <c r="BC255" s="10"/>
      <c r="BD255" s="10"/>
      <c r="BE255" s="10"/>
    </row>
    <row r="256" spans="45:57" customFormat="1">
      <c r="AS256" s="68"/>
      <c r="AT256" s="68"/>
      <c r="AU256" s="68"/>
      <c r="AV256" s="68"/>
      <c r="AW256" s="69"/>
      <c r="AX256" s="69"/>
      <c r="AY256" s="71"/>
      <c r="AZ256" s="10"/>
      <c r="BA256" s="10"/>
      <c r="BB256" s="10"/>
      <c r="BC256" s="10"/>
      <c r="BD256" s="10"/>
      <c r="BE256" s="10"/>
    </row>
    <row r="257" spans="45:57" customFormat="1">
      <c r="AS257" s="68"/>
      <c r="AT257" s="68"/>
      <c r="AU257" s="68"/>
      <c r="AV257" s="68"/>
      <c r="AW257" s="68"/>
      <c r="AX257" s="69"/>
      <c r="AY257" s="71"/>
      <c r="AZ257" s="10"/>
      <c r="BA257" s="10"/>
      <c r="BB257" s="10"/>
      <c r="BC257" s="10"/>
      <c r="BD257" s="10"/>
      <c r="BE257" s="10"/>
    </row>
    <row r="258" spans="45:57" customFormat="1">
      <c r="AS258" s="68"/>
      <c r="AT258" s="68"/>
      <c r="AU258" s="68"/>
      <c r="AV258" s="68"/>
      <c r="AW258" s="69"/>
      <c r="AX258" s="69"/>
      <c r="AY258" s="71"/>
      <c r="AZ258" s="10"/>
      <c r="BA258" s="10"/>
      <c r="BB258" s="10"/>
      <c r="BC258" s="10"/>
      <c r="BD258" s="10"/>
      <c r="BE258" s="10"/>
    </row>
    <row r="259" spans="45:57" customFormat="1">
      <c r="AS259" s="68"/>
      <c r="AT259" s="68"/>
      <c r="AU259" s="68"/>
      <c r="AV259" s="68"/>
      <c r="AW259" s="69"/>
      <c r="AX259" s="69"/>
      <c r="AY259" s="71"/>
      <c r="AZ259" s="10"/>
      <c r="BA259" s="10"/>
      <c r="BB259" s="10"/>
      <c r="BC259" s="10"/>
      <c r="BD259" s="10"/>
      <c r="BE259" s="10"/>
    </row>
    <row r="260" spans="45:57" customFormat="1">
      <c r="AS260" s="68"/>
      <c r="AT260" s="68"/>
      <c r="AU260" s="68"/>
      <c r="AV260" s="68"/>
      <c r="AW260" s="69"/>
      <c r="AX260" s="69"/>
      <c r="AY260" s="71"/>
      <c r="AZ260" s="10"/>
      <c r="BA260" s="10"/>
      <c r="BB260" s="10"/>
      <c r="BC260" s="10"/>
      <c r="BD260" s="10"/>
      <c r="BE260" s="10"/>
    </row>
    <row r="261" spans="45:57" customFormat="1">
      <c r="AS261" s="68"/>
      <c r="AT261" s="68"/>
      <c r="AU261" s="68"/>
      <c r="AV261" s="68"/>
      <c r="AW261" s="69"/>
      <c r="AX261" s="69"/>
      <c r="AY261" s="71"/>
      <c r="AZ261" s="10"/>
      <c r="BA261" s="10"/>
      <c r="BB261" s="10"/>
      <c r="BC261" s="10"/>
      <c r="BD261" s="10"/>
      <c r="BE261" s="10"/>
    </row>
    <row r="262" spans="45:57" customFormat="1">
      <c r="AS262" s="68"/>
      <c r="AT262" s="68"/>
      <c r="AU262" s="68"/>
      <c r="AV262" s="68"/>
      <c r="AW262" s="68"/>
      <c r="AX262" s="69"/>
      <c r="AY262" s="71"/>
      <c r="AZ262" s="10"/>
      <c r="BA262" s="10"/>
      <c r="BB262" s="10"/>
      <c r="BC262" s="10"/>
      <c r="BD262" s="10"/>
      <c r="BE262" s="10"/>
    </row>
    <row r="263" spans="45:57" customFormat="1">
      <c r="AS263" s="68"/>
      <c r="AT263" s="68"/>
      <c r="AU263" s="68"/>
      <c r="AV263" s="68"/>
      <c r="AW263" s="69"/>
      <c r="AX263" s="69"/>
      <c r="AY263" s="71"/>
      <c r="AZ263" s="10"/>
      <c r="BA263" s="10"/>
      <c r="BB263" s="10"/>
      <c r="BC263" s="10"/>
      <c r="BD263" s="10"/>
      <c r="BE263" s="10"/>
    </row>
    <row r="264" spans="45:57" customFormat="1">
      <c r="AS264" s="68"/>
      <c r="AT264" s="68"/>
      <c r="AU264" s="68"/>
      <c r="AV264" s="68"/>
      <c r="AW264" s="69"/>
      <c r="AX264" s="69"/>
      <c r="AY264" s="71"/>
      <c r="AZ264" s="10"/>
      <c r="BA264" s="10"/>
      <c r="BB264" s="10"/>
      <c r="BC264" s="10"/>
      <c r="BD264" s="10"/>
      <c r="BE264" s="10"/>
    </row>
    <row r="265" spans="45:57" customFormat="1">
      <c r="AS265" s="68"/>
      <c r="AT265" s="68"/>
      <c r="AU265" s="68"/>
      <c r="AV265" s="68"/>
      <c r="AW265" s="69"/>
      <c r="AX265" s="69"/>
      <c r="AY265" s="71"/>
      <c r="AZ265" s="10"/>
      <c r="BA265" s="10"/>
      <c r="BB265" s="10"/>
      <c r="BC265" s="10"/>
      <c r="BD265" s="10"/>
      <c r="BE265" s="10"/>
    </row>
    <row r="266" spans="45:57" customFormat="1">
      <c r="AS266" s="68"/>
      <c r="AT266" s="68"/>
      <c r="AU266" s="68"/>
      <c r="AV266" s="68"/>
      <c r="AW266" s="68"/>
      <c r="AX266" s="69"/>
      <c r="AY266" s="71"/>
      <c r="AZ266" s="10"/>
      <c r="BA266" s="10"/>
      <c r="BB266" s="10"/>
      <c r="BC266" s="10"/>
      <c r="BD266" s="10"/>
      <c r="BE266" s="10"/>
    </row>
    <row r="267" spans="45:57" customFormat="1">
      <c r="AS267" s="68"/>
      <c r="AT267" s="68"/>
      <c r="AU267" s="68"/>
      <c r="AV267" s="68"/>
      <c r="AW267" s="68"/>
      <c r="AX267" s="69"/>
      <c r="AY267" s="71"/>
      <c r="AZ267" s="10"/>
      <c r="BA267" s="10"/>
      <c r="BB267" s="10"/>
      <c r="BC267" s="10"/>
      <c r="BD267" s="10"/>
      <c r="BE267" s="10"/>
    </row>
    <row r="268" spans="45:57" customFormat="1">
      <c r="AS268" s="68"/>
      <c r="AT268" s="68"/>
      <c r="AU268" s="68"/>
      <c r="AV268" s="68"/>
      <c r="AW268" s="69"/>
      <c r="AX268" s="69"/>
      <c r="AY268" s="71"/>
      <c r="AZ268" s="10"/>
      <c r="BA268" s="10"/>
      <c r="BB268" s="10"/>
      <c r="BC268" s="10"/>
      <c r="BD268" s="10"/>
      <c r="BE268" s="10"/>
    </row>
    <row r="269" spans="45:57" customFormat="1">
      <c r="AS269" s="68"/>
      <c r="AT269" s="68"/>
      <c r="AU269" s="68"/>
      <c r="AV269" s="68"/>
      <c r="AW269" s="69"/>
      <c r="AX269" s="69"/>
      <c r="AY269" s="71"/>
      <c r="AZ269" s="10"/>
      <c r="BA269" s="10"/>
      <c r="BB269" s="10"/>
      <c r="BC269" s="10"/>
      <c r="BD269" s="10"/>
      <c r="BE269" s="10"/>
    </row>
    <row r="270" spans="45:57" customFormat="1">
      <c r="AS270" s="68"/>
      <c r="AT270" s="68"/>
      <c r="AU270" s="68"/>
      <c r="AV270" s="68"/>
      <c r="AW270" s="69"/>
      <c r="AX270" s="69"/>
      <c r="AY270" s="71"/>
      <c r="AZ270" s="10"/>
      <c r="BA270" s="10"/>
      <c r="BB270" s="10"/>
      <c r="BC270" s="10"/>
      <c r="BD270" s="10"/>
      <c r="BE270" s="10"/>
    </row>
    <row r="271" spans="45:57" customFormat="1">
      <c r="AS271" s="68"/>
      <c r="AT271" s="68"/>
      <c r="AU271" s="68"/>
      <c r="AV271" s="68"/>
      <c r="AW271" s="69"/>
      <c r="AX271" s="69"/>
      <c r="AY271" s="71"/>
      <c r="AZ271" s="10"/>
      <c r="BA271" s="10"/>
      <c r="BB271" s="10"/>
      <c r="BC271" s="10"/>
      <c r="BD271" s="10"/>
      <c r="BE271" s="10"/>
    </row>
    <row r="272" spans="45:57" customFormat="1">
      <c r="AS272" s="68"/>
      <c r="AT272" s="68"/>
      <c r="AU272" s="68"/>
      <c r="AV272" s="68"/>
      <c r="AW272" s="69"/>
      <c r="AX272" s="69"/>
      <c r="AY272" s="71"/>
      <c r="AZ272" s="10"/>
      <c r="BA272" s="10"/>
      <c r="BB272" s="10"/>
      <c r="BC272" s="10"/>
      <c r="BD272" s="10"/>
      <c r="BE272" s="10"/>
    </row>
    <row r="273" spans="45:57" customFormat="1">
      <c r="AS273" s="68"/>
      <c r="AT273" s="68"/>
      <c r="AU273" s="68"/>
      <c r="AV273" s="68"/>
      <c r="AW273" s="69"/>
      <c r="AX273" s="69"/>
      <c r="AY273" s="71"/>
      <c r="AZ273" s="10"/>
      <c r="BA273" s="10"/>
      <c r="BB273" s="10"/>
      <c r="BC273" s="10"/>
      <c r="BD273" s="10"/>
      <c r="BE273" s="10"/>
    </row>
    <row r="274" spans="45:57" customFormat="1">
      <c r="AS274" s="68"/>
      <c r="AT274" s="68"/>
      <c r="AU274" s="68"/>
      <c r="AV274" s="68"/>
      <c r="AW274" s="68"/>
      <c r="AX274" s="69"/>
      <c r="AY274" s="71"/>
      <c r="AZ274" s="10"/>
      <c r="BA274" s="10"/>
      <c r="BB274" s="10"/>
      <c r="BC274" s="10"/>
      <c r="BD274" s="10"/>
      <c r="BE274" s="10"/>
    </row>
    <row r="275" spans="45:57" customFormat="1">
      <c r="AS275" s="68"/>
      <c r="AT275" s="68"/>
      <c r="AU275" s="68"/>
      <c r="AV275" s="68"/>
      <c r="AW275" s="69"/>
      <c r="AX275" s="69"/>
      <c r="AY275" s="71"/>
      <c r="AZ275" s="10"/>
      <c r="BA275" s="10"/>
      <c r="BB275" s="10"/>
      <c r="BC275" s="10"/>
      <c r="BD275" s="10"/>
      <c r="BE275" s="10"/>
    </row>
    <row r="276" spans="45:57" customFormat="1">
      <c r="AS276" s="68"/>
      <c r="AT276" s="68"/>
      <c r="AU276" s="68"/>
      <c r="AV276" s="68"/>
      <c r="AW276" s="69"/>
      <c r="AX276" s="69"/>
      <c r="AY276" s="71"/>
      <c r="AZ276" s="10"/>
      <c r="BA276" s="10"/>
      <c r="BB276" s="10"/>
      <c r="BC276" s="10"/>
      <c r="BD276" s="10"/>
      <c r="BE276" s="10"/>
    </row>
    <row r="277" spans="45:57" customFormat="1">
      <c r="AS277" s="68"/>
      <c r="AT277" s="68"/>
      <c r="AU277" s="68"/>
      <c r="AV277" s="68"/>
      <c r="AW277" s="69"/>
      <c r="AX277" s="69"/>
      <c r="AY277" s="71"/>
      <c r="AZ277" s="10"/>
      <c r="BA277" s="10"/>
      <c r="BB277" s="10"/>
      <c r="BC277" s="10"/>
      <c r="BD277" s="10"/>
      <c r="BE277" s="10"/>
    </row>
    <row r="278" spans="45:57" customFormat="1">
      <c r="AS278" s="68"/>
      <c r="AT278" s="68"/>
      <c r="AU278" s="68"/>
      <c r="AV278" s="68"/>
      <c r="AW278" s="68"/>
      <c r="AX278" s="69"/>
      <c r="AY278" s="71"/>
      <c r="AZ278" s="10"/>
      <c r="BA278" s="10"/>
      <c r="BB278" s="10"/>
      <c r="BC278" s="10"/>
      <c r="BD278" s="10"/>
      <c r="BE278" s="10"/>
    </row>
    <row r="279" spans="45:57" customFormat="1">
      <c r="AS279" s="68"/>
      <c r="AT279" s="68"/>
      <c r="AU279" s="68"/>
      <c r="AV279" s="68"/>
      <c r="AW279" s="69"/>
      <c r="AX279" s="69"/>
      <c r="AY279" s="71"/>
      <c r="AZ279" s="10"/>
      <c r="BA279" s="10"/>
      <c r="BB279" s="10"/>
      <c r="BC279" s="10"/>
      <c r="BD279" s="10"/>
      <c r="BE279" s="10"/>
    </row>
    <row r="280" spans="45:57" customFormat="1">
      <c r="AS280" s="68"/>
      <c r="AT280" s="68"/>
      <c r="AU280" s="68"/>
      <c r="AV280" s="68"/>
      <c r="AW280" s="69"/>
      <c r="AX280" s="69"/>
      <c r="AY280" s="71"/>
      <c r="AZ280" s="10"/>
      <c r="BA280" s="10"/>
      <c r="BB280" s="10"/>
      <c r="BC280" s="10"/>
      <c r="BD280" s="10"/>
      <c r="BE280" s="10"/>
    </row>
    <row r="281" spans="45:57" customFormat="1">
      <c r="AS281" s="68"/>
      <c r="AT281" s="68"/>
      <c r="AU281" s="68"/>
      <c r="AV281" s="68"/>
      <c r="AW281" s="69"/>
      <c r="AX281" s="69"/>
      <c r="AY281" s="71"/>
      <c r="AZ281" s="10"/>
      <c r="BA281" s="10"/>
      <c r="BB281" s="10"/>
      <c r="BC281" s="10"/>
      <c r="BD281" s="10"/>
      <c r="BE281" s="10"/>
    </row>
    <row r="282" spans="45:57" customFormat="1">
      <c r="AS282" s="68"/>
      <c r="AT282" s="68"/>
      <c r="AU282" s="68"/>
      <c r="AV282" s="68"/>
      <c r="AW282" s="69"/>
      <c r="AX282" s="69"/>
      <c r="AY282" s="71"/>
      <c r="AZ282" s="10"/>
      <c r="BA282" s="10"/>
      <c r="BB282" s="10"/>
      <c r="BC282" s="10"/>
      <c r="BD282" s="10"/>
      <c r="BE282" s="10"/>
    </row>
    <row r="283" spans="45:57" customFormat="1">
      <c r="AS283" s="68"/>
      <c r="AT283" s="68"/>
      <c r="AU283" s="68"/>
      <c r="AV283" s="68"/>
      <c r="AW283" s="68"/>
      <c r="AX283" s="69"/>
      <c r="AY283" s="71"/>
      <c r="AZ283" s="10"/>
      <c r="BA283" s="10"/>
      <c r="BB283" s="10"/>
      <c r="BC283" s="10"/>
      <c r="BD283" s="10"/>
      <c r="BE283" s="10"/>
    </row>
    <row r="284" spans="45:57" customFormat="1">
      <c r="AS284" s="68"/>
      <c r="AT284" s="68"/>
      <c r="AU284" s="68"/>
      <c r="AV284" s="68"/>
      <c r="AW284" s="69"/>
      <c r="AX284" s="69"/>
      <c r="AY284" s="71"/>
      <c r="AZ284" s="10"/>
      <c r="BA284" s="10"/>
      <c r="BB284" s="10"/>
      <c r="BC284" s="10"/>
      <c r="BD284" s="10"/>
      <c r="BE284" s="10"/>
    </row>
    <row r="285" spans="45:57" customFormat="1">
      <c r="AS285" s="68"/>
      <c r="AT285" s="68"/>
      <c r="AU285" s="68"/>
      <c r="AV285" s="68"/>
      <c r="AW285" s="69"/>
      <c r="AX285" s="69"/>
      <c r="AY285" s="71"/>
      <c r="AZ285" s="10"/>
      <c r="BA285" s="10"/>
      <c r="BB285" s="10"/>
      <c r="BC285" s="10"/>
      <c r="BD285" s="10"/>
      <c r="BE285" s="10"/>
    </row>
    <row r="286" spans="45:57" customFormat="1">
      <c r="AS286" s="68"/>
      <c r="AT286" s="68"/>
      <c r="AU286" s="68"/>
      <c r="AV286" s="68"/>
      <c r="AW286" s="69"/>
      <c r="AX286" s="69"/>
      <c r="AY286" s="71"/>
      <c r="AZ286" s="10"/>
      <c r="BA286" s="10"/>
      <c r="BB286" s="10"/>
      <c r="BC286" s="10"/>
      <c r="BD286" s="10"/>
      <c r="BE286" s="10"/>
    </row>
    <row r="287" spans="45:57" customFormat="1">
      <c r="AS287" s="68"/>
      <c r="AT287" s="68"/>
      <c r="AU287" s="68"/>
      <c r="AV287" s="68"/>
      <c r="AW287" s="68"/>
      <c r="AX287" s="69"/>
      <c r="AY287" s="71"/>
      <c r="AZ287" s="10"/>
      <c r="BA287" s="10"/>
      <c r="BB287" s="10"/>
      <c r="BC287" s="10"/>
      <c r="BD287" s="10"/>
      <c r="BE287" s="10"/>
    </row>
    <row r="288" spans="45:57" customFormat="1">
      <c r="AS288" s="68"/>
      <c r="AT288" s="68"/>
      <c r="AU288" s="68"/>
      <c r="AV288" s="68"/>
      <c r="AW288" s="68"/>
      <c r="AX288" s="69"/>
      <c r="AY288" s="71"/>
      <c r="AZ288" s="10"/>
      <c r="BA288" s="10"/>
      <c r="BB288" s="10"/>
      <c r="BC288" s="10"/>
      <c r="BD288" s="10"/>
      <c r="BE288" s="10"/>
    </row>
    <row r="289" spans="45:57" customFormat="1">
      <c r="AS289" s="68"/>
      <c r="AT289" s="68"/>
      <c r="AU289" s="68"/>
      <c r="AV289" s="68"/>
      <c r="AW289" s="69"/>
      <c r="AX289" s="69"/>
      <c r="AY289" s="71"/>
      <c r="AZ289" s="10"/>
      <c r="BA289" s="10"/>
      <c r="BB289" s="10"/>
      <c r="BC289" s="10"/>
      <c r="BD289" s="10"/>
      <c r="BE289" s="10"/>
    </row>
    <row r="290" spans="45:57" customFormat="1">
      <c r="AS290" s="68"/>
      <c r="AT290" s="68"/>
      <c r="AU290" s="68"/>
      <c r="AV290" s="68"/>
      <c r="AW290" s="69"/>
      <c r="AX290" s="69"/>
      <c r="AY290" s="71"/>
      <c r="AZ290" s="10"/>
      <c r="BA290" s="10"/>
      <c r="BB290" s="10"/>
      <c r="BC290" s="10"/>
      <c r="BD290" s="10"/>
      <c r="BE290" s="10"/>
    </row>
    <row r="291" spans="45:57" customFormat="1">
      <c r="AS291" s="68"/>
      <c r="AT291" s="68"/>
      <c r="AU291" s="68"/>
      <c r="AV291" s="68"/>
      <c r="AW291" s="69"/>
      <c r="AX291" s="69"/>
      <c r="AY291" s="71"/>
      <c r="AZ291" s="10"/>
      <c r="BA291" s="10"/>
      <c r="BB291" s="10"/>
      <c r="BC291" s="10"/>
      <c r="BD291" s="10"/>
      <c r="BE291" s="10"/>
    </row>
    <row r="292" spans="45:57" customFormat="1">
      <c r="AS292" s="68"/>
      <c r="AT292" s="68"/>
      <c r="AU292" s="68"/>
      <c r="AV292" s="68"/>
      <c r="AW292" s="69"/>
      <c r="AX292" s="69"/>
      <c r="AY292" s="71"/>
      <c r="AZ292" s="10"/>
      <c r="BA292" s="10"/>
      <c r="BB292" s="10"/>
      <c r="BC292" s="10"/>
      <c r="BD292" s="10"/>
      <c r="BE292" s="10"/>
    </row>
    <row r="293" spans="45:57" customFormat="1">
      <c r="AS293" s="68"/>
      <c r="AT293" s="68"/>
      <c r="AU293" s="68"/>
      <c r="AV293" s="68"/>
      <c r="AW293" s="69"/>
      <c r="AX293" s="69"/>
      <c r="AY293" s="71"/>
      <c r="AZ293" s="10"/>
      <c r="BA293" s="10"/>
      <c r="BB293" s="10"/>
      <c r="BC293" s="10"/>
      <c r="BD293" s="10"/>
      <c r="BE293" s="10"/>
    </row>
    <row r="294" spans="45:57" customFormat="1">
      <c r="AS294" s="68"/>
      <c r="AT294" s="68"/>
      <c r="AU294" s="68"/>
      <c r="AV294" s="68"/>
      <c r="AW294" s="68"/>
      <c r="AX294" s="69"/>
      <c r="AY294" s="71"/>
      <c r="AZ294" s="10"/>
      <c r="BA294" s="10"/>
      <c r="BB294" s="10"/>
      <c r="BC294" s="10"/>
      <c r="BD294" s="10"/>
      <c r="BE294" s="10"/>
    </row>
    <row r="295" spans="45:57" customFormat="1">
      <c r="AS295" s="68"/>
      <c r="AT295" s="68"/>
      <c r="AU295" s="68"/>
      <c r="AV295" s="68"/>
      <c r="AW295" s="69"/>
      <c r="AX295" s="69"/>
      <c r="AY295" s="71"/>
      <c r="AZ295" s="10"/>
      <c r="BA295" s="10"/>
      <c r="BB295" s="10"/>
      <c r="BC295" s="10"/>
      <c r="BD295" s="10"/>
      <c r="BE295" s="10"/>
    </row>
    <row r="296" spans="45:57" customFormat="1">
      <c r="AS296" s="68"/>
      <c r="AT296" s="68"/>
      <c r="AU296" s="68"/>
      <c r="AV296" s="68"/>
      <c r="AW296" s="69"/>
      <c r="AX296" s="69"/>
      <c r="AY296" s="71"/>
      <c r="AZ296" s="10"/>
      <c r="BA296" s="10"/>
      <c r="BB296" s="10"/>
      <c r="BC296" s="10"/>
      <c r="BD296" s="10"/>
      <c r="BE296" s="10"/>
    </row>
    <row r="297" spans="45:57" customFormat="1">
      <c r="AS297" s="68"/>
      <c r="AT297" s="68"/>
      <c r="AU297" s="68"/>
      <c r="AV297" s="68"/>
      <c r="AW297" s="69"/>
      <c r="AX297" s="69"/>
      <c r="AY297" s="71"/>
      <c r="AZ297" s="10"/>
      <c r="BA297" s="10"/>
      <c r="BB297" s="10"/>
      <c r="BC297" s="10"/>
      <c r="BD297" s="10"/>
      <c r="BE297" s="10"/>
    </row>
    <row r="298" spans="45:57" customFormat="1">
      <c r="AS298" s="68"/>
      <c r="AT298" s="68"/>
      <c r="AU298" s="68"/>
      <c r="AV298" s="68"/>
      <c r="AW298" s="68"/>
      <c r="AX298" s="69"/>
      <c r="AY298" s="71"/>
      <c r="AZ298" s="10"/>
      <c r="BA298" s="10"/>
      <c r="BB298" s="10"/>
      <c r="BC298" s="10"/>
      <c r="BD298" s="10"/>
      <c r="BE298" s="10"/>
    </row>
    <row r="299" spans="45:57" customFormat="1">
      <c r="AS299" s="68"/>
      <c r="AT299" s="68"/>
      <c r="AU299" s="68"/>
      <c r="AV299" s="68"/>
      <c r="AW299" s="69"/>
      <c r="AX299" s="69"/>
      <c r="AY299" s="71"/>
      <c r="AZ299" s="10"/>
      <c r="BA299" s="10"/>
      <c r="BB299" s="10"/>
      <c r="BC299" s="10"/>
      <c r="BD299" s="10"/>
      <c r="BE299" s="10"/>
    </row>
    <row r="300" spans="45:57" customFormat="1">
      <c r="AS300" s="68"/>
      <c r="AT300" s="68"/>
      <c r="AU300" s="68"/>
      <c r="AV300" s="68"/>
      <c r="AW300" s="69"/>
      <c r="AX300" s="69"/>
      <c r="AY300" s="71"/>
      <c r="AZ300" s="10"/>
      <c r="BA300" s="10"/>
      <c r="BB300" s="10"/>
      <c r="BC300" s="10"/>
      <c r="BD300" s="10"/>
      <c r="BE300" s="10"/>
    </row>
    <row r="301" spans="45:57" customFormat="1">
      <c r="AS301" s="68"/>
      <c r="AT301" s="68"/>
      <c r="AU301" s="68"/>
      <c r="AV301" s="68"/>
      <c r="AW301" s="69"/>
      <c r="AX301" s="69"/>
      <c r="AY301" s="71"/>
      <c r="AZ301" s="10"/>
      <c r="BA301" s="10"/>
      <c r="BB301" s="10"/>
      <c r="BC301" s="10"/>
      <c r="BD301" s="10"/>
      <c r="BE301" s="10"/>
    </row>
    <row r="302" spans="45:57" customFormat="1">
      <c r="AS302" s="68"/>
      <c r="AT302" s="68"/>
      <c r="AU302" s="68"/>
      <c r="AV302" s="68"/>
      <c r="AW302" s="69"/>
      <c r="AX302" s="69"/>
      <c r="AY302" s="71"/>
      <c r="AZ302" s="10"/>
      <c r="BA302" s="10"/>
      <c r="BB302" s="10"/>
      <c r="BC302" s="10"/>
      <c r="BD302" s="10"/>
      <c r="BE302" s="10"/>
    </row>
    <row r="303" spans="45:57" customFormat="1">
      <c r="AS303" s="68"/>
      <c r="AT303" s="68"/>
      <c r="AU303" s="68"/>
      <c r="AV303" s="68"/>
      <c r="AW303" s="68"/>
      <c r="AX303" s="69"/>
      <c r="AY303" s="71"/>
      <c r="AZ303" s="10"/>
      <c r="BA303" s="10"/>
      <c r="BB303" s="10"/>
      <c r="BC303" s="10"/>
      <c r="BD303" s="10"/>
      <c r="BE303" s="10"/>
    </row>
    <row r="304" spans="45:57" customFormat="1">
      <c r="AS304" s="68"/>
      <c r="AT304" s="68"/>
      <c r="AU304" s="68"/>
      <c r="AV304" s="68"/>
      <c r="AW304" s="69"/>
      <c r="AX304" s="69"/>
      <c r="AY304" s="71"/>
      <c r="AZ304" s="10"/>
      <c r="BA304" s="10"/>
      <c r="BB304" s="10"/>
      <c r="BC304" s="10"/>
      <c r="BD304" s="10"/>
      <c r="BE304" s="10"/>
    </row>
    <row r="305" spans="45:57" customFormat="1">
      <c r="AS305" s="68"/>
      <c r="AT305" s="68"/>
      <c r="AU305" s="68"/>
      <c r="AV305" s="68"/>
      <c r="AW305" s="69"/>
      <c r="AX305" s="69"/>
      <c r="AY305" s="71"/>
      <c r="AZ305" s="10"/>
      <c r="BA305" s="10"/>
      <c r="BB305" s="10"/>
      <c r="BC305" s="10"/>
      <c r="BD305" s="10"/>
      <c r="BE305" s="10"/>
    </row>
    <row r="306" spans="45:57" customFormat="1">
      <c r="AS306" s="68"/>
      <c r="AT306" s="68"/>
      <c r="AU306" s="68"/>
      <c r="AV306" s="68"/>
      <c r="AW306" s="69"/>
      <c r="AX306" s="69"/>
      <c r="AY306" s="71"/>
      <c r="AZ306" s="10"/>
      <c r="BA306" s="10"/>
      <c r="BB306" s="10"/>
      <c r="BC306" s="10"/>
      <c r="BD306" s="10"/>
      <c r="BE306" s="10"/>
    </row>
    <row r="307" spans="45:57" customFormat="1">
      <c r="AS307" s="68"/>
      <c r="AT307" s="68"/>
      <c r="AU307" s="68"/>
      <c r="AV307" s="68"/>
      <c r="AW307" s="68"/>
      <c r="AX307" s="69"/>
      <c r="AY307" s="71"/>
      <c r="AZ307" s="10"/>
      <c r="BA307" s="10"/>
      <c r="BB307" s="10"/>
      <c r="BC307" s="10"/>
      <c r="BD307" s="10"/>
      <c r="BE307" s="10"/>
    </row>
    <row r="308" spans="45:57" customFormat="1">
      <c r="AS308" s="68"/>
      <c r="AT308" s="68"/>
      <c r="AU308" s="68"/>
      <c r="AV308" s="68"/>
      <c r="AW308" s="68"/>
      <c r="AX308" s="69"/>
      <c r="AY308" s="71"/>
      <c r="AZ308" s="10"/>
      <c r="BA308" s="10"/>
      <c r="BB308" s="10"/>
      <c r="BC308" s="10"/>
      <c r="BD308" s="10"/>
      <c r="BE308" s="10"/>
    </row>
    <row r="309" spans="45:57" customFormat="1">
      <c r="AS309" s="68"/>
      <c r="AT309" s="68"/>
      <c r="AU309" s="68"/>
      <c r="AV309" s="68"/>
      <c r="AW309" s="69"/>
      <c r="AX309" s="69"/>
      <c r="AY309" s="71"/>
      <c r="AZ309" s="10"/>
      <c r="BA309" s="10"/>
      <c r="BB309" s="10"/>
      <c r="BC309" s="10"/>
      <c r="BD309" s="10"/>
      <c r="BE309" s="10"/>
    </row>
    <row r="310" spans="45:57" customFormat="1">
      <c r="AS310" s="68"/>
      <c r="AT310" s="68"/>
      <c r="AU310" s="68"/>
      <c r="AV310" s="68"/>
      <c r="AW310" s="69"/>
      <c r="AX310" s="69"/>
      <c r="AY310" s="71"/>
      <c r="AZ310" s="10"/>
      <c r="BA310" s="10"/>
      <c r="BB310" s="10"/>
      <c r="BC310" s="10"/>
      <c r="BD310" s="10"/>
      <c r="BE310" s="10"/>
    </row>
    <row r="311" spans="45:57" customFormat="1">
      <c r="AS311" s="68"/>
      <c r="AT311" s="68"/>
      <c r="AU311" s="68"/>
      <c r="AV311" s="68"/>
      <c r="AW311" s="69"/>
      <c r="AX311" s="69"/>
      <c r="AY311" s="71"/>
      <c r="AZ311" s="10"/>
      <c r="BA311" s="10"/>
      <c r="BB311" s="10"/>
      <c r="BC311" s="10"/>
      <c r="BD311" s="10"/>
      <c r="BE311" s="10"/>
    </row>
    <row r="312" spans="45:57" customFormat="1">
      <c r="AS312" s="68"/>
      <c r="AT312" s="68"/>
      <c r="AU312" s="68"/>
      <c r="AV312" s="68"/>
      <c r="AW312" s="69"/>
      <c r="AX312" s="69"/>
      <c r="AY312" s="71"/>
      <c r="AZ312" s="10"/>
      <c r="BA312" s="10"/>
      <c r="BB312" s="10"/>
      <c r="BC312" s="10"/>
      <c r="BD312" s="10"/>
      <c r="BE312" s="10"/>
    </row>
    <row r="313" spans="45:57" customFormat="1">
      <c r="AS313" s="68"/>
      <c r="AT313" s="68"/>
      <c r="AU313" s="68"/>
      <c r="AV313" s="68"/>
      <c r="AW313" s="69"/>
      <c r="AX313" s="69"/>
      <c r="AY313" s="71"/>
      <c r="AZ313" s="10"/>
      <c r="BA313" s="10"/>
      <c r="BB313" s="10"/>
      <c r="BC313" s="10"/>
      <c r="BD313" s="10"/>
      <c r="BE313" s="10"/>
    </row>
    <row r="314" spans="45:57" customFormat="1">
      <c r="AS314" s="68"/>
      <c r="AT314" s="68"/>
      <c r="AU314" s="68"/>
      <c r="AV314" s="68"/>
      <c r="AW314" s="69"/>
      <c r="AX314" s="69"/>
      <c r="AY314" s="71"/>
      <c r="AZ314" s="10"/>
      <c r="BA314" s="10"/>
      <c r="BB314" s="10"/>
      <c r="BC314" s="10"/>
      <c r="BD314" s="10"/>
      <c r="BE314" s="10"/>
    </row>
    <row r="315" spans="45:57" customFormat="1">
      <c r="AS315" s="68"/>
      <c r="AT315" s="68"/>
      <c r="AU315" s="68"/>
      <c r="AV315" s="68"/>
      <c r="AW315" s="68"/>
      <c r="AX315" s="69"/>
      <c r="AY315" s="71"/>
      <c r="AZ315" s="10"/>
      <c r="BA315" s="10"/>
      <c r="BB315" s="10"/>
      <c r="BC315" s="10"/>
      <c r="BD315" s="10"/>
      <c r="BE315" s="10"/>
    </row>
    <row r="316" spans="45:57" customFormat="1">
      <c r="AS316" s="68"/>
      <c r="AT316" s="68"/>
      <c r="AU316" s="68"/>
      <c r="AV316" s="68"/>
      <c r="AW316" s="69"/>
      <c r="AX316" s="69"/>
      <c r="AY316" s="71"/>
      <c r="AZ316" s="10"/>
      <c r="BA316" s="10"/>
      <c r="BB316" s="10"/>
      <c r="BC316" s="10"/>
      <c r="BD316" s="10"/>
      <c r="BE316" s="10"/>
    </row>
    <row r="317" spans="45:57" customFormat="1">
      <c r="AS317" s="68"/>
      <c r="AT317" s="68"/>
      <c r="AU317" s="68"/>
      <c r="AV317" s="68"/>
      <c r="AW317" s="69"/>
      <c r="AX317" s="69"/>
      <c r="AY317" s="71"/>
      <c r="AZ317" s="10"/>
      <c r="BA317" s="10"/>
      <c r="BB317" s="10"/>
      <c r="BC317" s="10"/>
      <c r="BD317" s="10"/>
      <c r="BE317" s="10"/>
    </row>
    <row r="318" spans="45:57" customFormat="1">
      <c r="AS318" s="68"/>
      <c r="AT318" s="68"/>
      <c r="AU318" s="68"/>
      <c r="AV318" s="68"/>
      <c r="AW318" s="69"/>
      <c r="AX318" s="69"/>
      <c r="AY318" s="71"/>
      <c r="AZ318" s="10"/>
      <c r="BA318" s="10"/>
      <c r="BB318" s="10"/>
      <c r="BC318" s="10"/>
      <c r="BD318" s="10"/>
      <c r="BE318" s="10"/>
    </row>
    <row r="319" spans="45:57" customFormat="1">
      <c r="AS319" s="68"/>
      <c r="AT319" s="68"/>
      <c r="AU319" s="68"/>
      <c r="AV319" s="68"/>
      <c r="AW319" s="68"/>
      <c r="AX319" s="69"/>
      <c r="AY319" s="71"/>
      <c r="AZ319" s="10"/>
      <c r="BA319" s="10"/>
      <c r="BB319" s="10"/>
      <c r="BC319" s="10"/>
      <c r="BD319" s="10"/>
      <c r="BE319" s="10"/>
    </row>
    <row r="320" spans="45:57" customFormat="1">
      <c r="AS320" s="68"/>
      <c r="AT320" s="68"/>
      <c r="AU320" s="68"/>
      <c r="AV320" s="68"/>
      <c r="AW320" s="69"/>
      <c r="AX320" s="69"/>
      <c r="AY320" s="71"/>
      <c r="AZ320" s="10"/>
      <c r="BA320" s="10"/>
      <c r="BB320" s="10"/>
      <c r="BC320" s="10"/>
      <c r="BD320" s="10"/>
      <c r="BE320" s="10"/>
    </row>
    <row r="321" spans="45:57" customFormat="1">
      <c r="AS321" s="68"/>
      <c r="AT321" s="68"/>
      <c r="AU321" s="68"/>
      <c r="AV321" s="68"/>
      <c r="AW321" s="69"/>
      <c r="AX321" s="69"/>
      <c r="AY321" s="71"/>
      <c r="AZ321" s="10"/>
      <c r="BA321" s="10"/>
      <c r="BB321" s="10"/>
      <c r="BC321" s="10"/>
      <c r="BD321" s="10"/>
      <c r="BE321" s="10"/>
    </row>
    <row r="322" spans="45:57" customFormat="1">
      <c r="AS322" s="68"/>
      <c r="AT322" s="68"/>
      <c r="AU322" s="68"/>
      <c r="AV322" s="68"/>
      <c r="AW322" s="69"/>
      <c r="AX322" s="69"/>
      <c r="AY322" s="71"/>
      <c r="AZ322" s="10"/>
      <c r="BA322" s="10"/>
      <c r="BB322" s="10"/>
      <c r="BC322" s="10"/>
      <c r="BD322" s="10"/>
      <c r="BE322" s="10"/>
    </row>
    <row r="323" spans="45:57" customFormat="1">
      <c r="AS323" s="68"/>
      <c r="AT323" s="68"/>
      <c r="AU323" s="68"/>
      <c r="AV323" s="68"/>
      <c r="AW323" s="69"/>
      <c r="AX323" s="69"/>
      <c r="AY323" s="71"/>
      <c r="AZ323" s="10"/>
      <c r="BA323" s="10"/>
      <c r="BB323" s="10"/>
      <c r="BC323" s="10"/>
      <c r="BD323" s="10"/>
      <c r="BE323" s="10"/>
    </row>
    <row r="324" spans="45:57" customFormat="1">
      <c r="AS324" s="68"/>
      <c r="AT324" s="68"/>
      <c r="AU324" s="68"/>
      <c r="AV324" s="68"/>
      <c r="AW324" s="68"/>
      <c r="AX324" s="69"/>
      <c r="AY324" s="71"/>
      <c r="AZ324" s="10"/>
      <c r="BA324" s="10"/>
      <c r="BB324" s="10"/>
      <c r="BC324" s="10"/>
      <c r="BD324" s="10"/>
      <c r="BE324" s="10"/>
    </row>
    <row r="325" spans="45:57" customFormat="1">
      <c r="AS325" s="68"/>
      <c r="AT325" s="68"/>
      <c r="AU325" s="68"/>
      <c r="AV325" s="68"/>
      <c r="AW325" s="69"/>
      <c r="AX325" s="69"/>
      <c r="AY325" s="71"/>
      <c r="AZ325" s="10"/>
      <c r="BA325" s="10"/>
      <c r="BB325" s="10"/>
      <c r="BC325" s="10"/>
      <c r="BD325" s="10"/>
      <c r="BE325" s="10"/>
    </row>
    <row r="326" spans="45:57" customFormat="1">
      <c r="AS326" s="68"/>
      <c r="AT326" s="68"/>
      <c r="AU326" s="68"/>
      <c r="AV326" s="68"/>
      <c r="AW326" s="69"/>
      <c r="AX326" s="69"/>
      <c r="AY326" s="71"/>
      <c r="AZ326" s="10"/>
      <c r="BA326" s="10"/>
      <c r="BB326" s="10"/>
      <c r="BC326" s="10"/>
      <c r="BD326" s="10"/>
      <c r="BE326" s="10"/>
    </row>
    <row r="327" spans="45:57" customFormat="1">
      <c r="AS327" s="68"/>
      <c r="AT327" s="68"/>
      <c r="AU327" s="68"/>
      <c r="AV327" s="68"/>
      <c r="AW327" s="69"/>
      <c r="AX327" s="69"/>
      <c r="AY327" s="71"/>
      <c r="AZ327" s="10"/>
      <c r="BA327" s="10"/>
      <c r="BB327" s="10"/>
      <c r="BC327" s="10"/>
      <c r="BD327" s="10"/>
      <c r="BE327" s="10"/>
    </row>
    <row r="328" spans="45:57" customFormat="1">
      <c r="AS328" s="68"/>
      <c r="AT328" s="68"/>
      <c r="AU328" s="68"/>
      <c r="AV328" s="68"/>
      <c r="AW328" s="68"/>
      <c r="AX328" s="69"/>
      <c r="AY328" s="71"/>
      <c r="AZ328" s="10"/>
      <c r="BA328" s="10"/>
      <c r="BB328" s="10"/>
      <c r="BC328" s="10"/>
      <c r="BD328" s="10"/>
      <c r="BE328" s="10"/>
    </row>
    <row r="329" spans="45:57" customFormat="1">
      <c r="AS329" s="68"/>
      <c r="AT329" s="68"/>
      <c r="AU329" s="68"/>
      <c r="AV329" s="68"/>
      <c r="AW329" s="68"/>
      <c r="AX329" s="69"/>
      <c r="AY329" s="71"/>
      <c r="AZ329" s="10"/>
      <c r="BA329" s="10"/>
      <c r="BB329" s="10"/>
      <c r="BC329" s="10"/>
      <c r="BD329" s="10"/>
      <c r="BE329" s="10"/>
    </row>
    <row r="330" spans="45:57" customFormat="1">
      <c r="AS330" s="68"/>
      <c r="AT330" s="68"/>
      <c r="AU330" s="68"/>
      <c r="AV330" s="68"/>
      <c r="AW330" s="69"/>
      <c r="AX330" s="69"/>
      <c r="AY330" s="71"/>
      <c r="AZ330" s="10"/>
      <c r="BA330" s="10"/>
      <c r="BB330" s="10"/>
      <c r="BC330" s="10"/>
      <c r="BD330" s="10"/>
      <c r="BE330" s="10"/>
    </row>
    <row r="331" spans="45:57" customFormat="1">
      <c r="AS331" s="68"/>
      <c r="AT331" s="68"/>
      <c r="AU331" s="68"/>
      <c r="AV331" s="68"/>
      <c r="AW331" s="69"/>
      <c r="AX331" s="69"/>
      <c r="AY331" s="71"/>
      <c r="AZ331" s="10"/>
      <c r="BA331" s="10"/>
      <c r="BB331" s="10"/>
      <c r="BC331" s="10"/>
      <c r="BD331" s="10"/>
      <c r="BE331" s="10"/>
    </row>
    <row r="332" spans="45:57" customFormat="1">
      <c r="AS332" s="68"/>
      <c r="AT332" s="68"/>
      <c r="AU332" s="68"/>
      <c r="AV332" s="68"/>
      <c r="AW332" s="69"/>
      <c r="AX332" s="69"/>
      <c r="AY332" s="71"/>
      <c r="AZ332" s="10"/>
      <c r="BA332" s="10"/>
      <c r="BB332" s="10"/>
      <c r="BC332" s="10"/>
      <c r="BD332" s="10"/>
      <c r="BE332" s="10"/>
    </row>
    <row r="333" spans="45:57" customFormat="1">
      <c r="AS333" s="68"/>
      <c r="AT333" s="68"/>
      <c r="AU333" s="68"/>
      <c r="AV333" s="68"/>
      <c r="AW333" s="69"/>
      <c r="AX333" s="69"/>
      <c r="AY333" s="71"/>
      <c r="AZ333" s="10"/>
      <c r="BA333" s="10"/>
      <c r="BB333" s="10"/>
      <c r="BC333" s="10"/>
      <c r="BD333" s="10"/>
      <c r="BE333" s="10"/>
    </row>
    <row r="334" spans="45:57" customFormat="1">
      <c r="AS334" s="68"/>
      <c r="AT334" s="68"/>
      <c r="AU334" s="68"/>
      <c r="AV334" s="68"/>
      <c r="AW334" s="69"/>
      <c r="AX334" s="69"/>
      <c r="AY334" s="71"/>
      <c r="AZ334" s="10"/>
      <c r="BA334" s="10"/>
      <c r="BB334" s="10"/>
      <c r="BC334" s="10"/>
      <c r="BD334" s="10"/>
      <c r="BE334" s="10"/>
    </row>
    <row r="335" spans="45:57" customFormat="1">
      <c r="AS335" s="68"/>
      <c r="AT335" s="68"/>
      <c r="AU335" s="68"/>
      <c r="AV335" s="68"/>
      <c r="AW335" s="68"/>
      <c r="AX335" s="69"/>
      <c r="AY335" s="71"/>
      <c r="AZ335" s="10"/>
      <c r="BA335" s="10"/>
      <c r="BB335" s="10"/>
      <c r="BC335" s="10"/>
      <c r="BD335" s="10"/>
      <c r="BE335" s="10"/>
    </row>
    <row r="336" spans="45:57" customFormat="1">
      <c r="AS336" s="68"/>
      <c r="AT336" s="68"/>
      <c r="AU336" s="68"/>
      <c r="AV336" s="68"/>
      <c r="AW336" s="69"/>
      <c r="AX336" s="69"/>
      <c r="AY336" s="71"/>
      <c r="AZ336" s="10"/>
      <c r="BA336" s="10"/>
      <c r="BB336" s="10"/>
      <c r="BC336" s="10"/>
      <c r="BD336" s="10"/>
      <c r="BE336" s="10"/>
    </row>
    <row r="337" spans="45:57" customFormat="1">
      <c r="AS337" s="68"/>
      <c r="AT337" s="68"/>
      <c r="AU337" s="68"/>
      <c r="AV337" s="68"/>
      <c r="AW337" s="69"/>
      <c r="AX337" s="69"/>
      <c r="AY337" s="71"/>
      <c r="AZ337" s="10"/>
      <c r="BA337" s="10"/>
      <c r="BB337" s="10"/>
      <c r="BC337" s="10"/>
      <c r="BD337" s="10"/>
      <c r="BE337" s="10"/>
    </row>
    <row r="338" spans="45:57" customFormat="1">
      <c r="AS338" s="68"/>
      <c r="AT338" s="68"/>
      <c r="AU338" s="68"/>
      <c r="AV338" s="68"/>
      <c r="AW338" s="69"/>
      <c r="AX338" s="69"/>
      <c r="AY338" s="71"/>
      <c r="AZ338" s="10"/>
      <c r="BA338" s="10"/>
      <c r="BB338" s="10"/>
      <c r="BC338" s="10"/>
      <c r="BD338" s="10"/>
      <c r="BE338" s="10"/>
    </row>
    <row r="339" spans="45:57" customFormat="1">
      <c r="AS339" s="68"/>
      <c r="AT339" s="68"/>
      <c r="AU339" s="68"/>
      <c r="AV339" s="68"/>
      <c r="AW339" s="68"/>
      <c r="AX339" s="69"/>
      <c r="AY339" s="71"/>
      <c r="AZ339" s="10"/>
      <c r="BA339" s="10"/>
      <c r="BB339" s="10"/>
      <c r="BC339" s="10"/>
      <c r="BD339" s="10"/>
      <c r="BE339" s="10"/>
    </row>
    <row r="340" spans="45:57" customFormat="1">
      <c r="AS340" s="68"/>
      <c r="AT340" s="68"/>
      <c r="AU340" s="68"/>
      <c r="AV340" s="68"/>
      <c r="AW340" s="69"/>
      <c r="AX340" s="69"/>
      <c r="AY340" s="71"/>
      <c r="AZ340" s="10"/>
      <c r="BA340" s="10"/>
      <c r="BB340" s="10"/>
      <c r="BC340" s="10"/>
      <c r="BD340" s="10"/>
      <c r="BE340" s="10"/>
    </row>
    <row r="341" spans="45:57" customFormat="1">
      <c r="AS341" s="68"/>
      <c r="AT341" s="68"/>
      <c r="AU341" s="68"/>
      <c r="AV341" s="68"/>
      <c r="AW341" s="69"/>
      <c r="AX341" s="69"/>
      <c r="AY341" s="71"/>
      <c r="AZ341" s="10"/>
      <c r="BA341" s="10"/>
      <c r="BB341" s="10"/>
      <c r="BC341" s="10"/>
      <c r="BD341" s="10"/>
      <c r="BE341" s="10"/>
    </row>
    <row r="342" spans="45:57" customFormat="1">
      <c r="AS342" s="68"/>
      <c r="AT342" s="68"/>
      <c r="AU342" s="68"/>
      <c r="AV342" s="68"/>
      <c r="AW342" s="69"/>
      <c r="AX342" s="69"/>
      <c r="AY342" s="71"/>
      <c r="AZ342" s="10"/>
      <c r="BA342" s="10"/>
      <c r="BB342" s="10"/>
      <c r="BC342" s="10"/>
      <c r="BD342" s="10"/>
      <c r="BE342" s="10"/>
    </row>
    <row r="343" spans="45:57" customFormat="1">
      <c r="AS343" s="68"/>
      <c r="AT343" s="68"/>
      <c r="AU343" s="68"/>
      <c r="AV343" s="68"/>
      <c r="AW343" s="69"/>
      <c r="AX343" s="69"/>
      <c r="AY343" s="71"/>
      <c r="AZ343" s="10"/>
      <c r="BA343" s="10"/>
      <c r="BB343" s="10"/>
      <c r="BC343" s="10"/>
      <c r="BD343" s="10"/>
      <c r="BE343" s="10"/>
    </row>
    <row r="344" spans="45:57" customFormat="1">
      <c r="AS344" s="68"/>
      <c r="AT344" s="68"/>
      <c r="AU344" s="68"/>
      <c r="AV344" s="68"/>
      <c r="AW344" s="68"/>
      <c r="AX344" s="69"/>
      <c r="AY344" s="71"/>
      <c r="AZ344" s="10"/>
      <c r="BA344" s="10"/>
      <c r="BB344" s="10"/>
      <c r="BC344" s="10"/>
      <c r="BD344" s="10"/>
      <c r="BE344" s="10"/>
    </row>
    <row r="345" spans="45:57" customFormat="1">
      <c r="AS345" s="68"/>
      <c r="AT345" s="68"/>
      <c r="AU345" s="68"/>
      <c r="AV345" s="68"/>
      <c r="AW345" s="69"/>
      <c r="AX345" s="69"/>
      <c r="AY345" s="71"/>
      <c r="AZ345" s="10"/>
      <c r="BA345" s="10"/>
      <c r="BB345" s="10"/>
      <c r="BC345" s="10"/>
      <c r="BD345" s="10"/>
      <c r="BE345" s="10"/>
    </row>
    <row r="346" spans="45:57" customFormat="1">
      <c r="AS346" s="68"/>
      <c r="AT346" s="68"/>
      <c r="AU346" s="68"/>
      <c r="AV346" s="68"/>
      <c r="AW346" s="69"/>
      <c r="AX346" s="69"/>
      <c r="AY346" s="71"/>
      <c r="AZ346" s="10"/>
      <c r="BA346" s="10"/>
      <c r="BB346" s="10"/>
      <c r="BC346" s="10"/>
      <c r="BD346" s="10"/>
      <c r="BE346" s="10"/>
    </row>
    <row r="347" spans="45:57" customFormat="1">
      <c r="AS347" s="68"/>
      <c r="AT347" s="68"/>
      <c r="AU347" s="68"/>
      <c r="AV347" s="68"/>
      <c r="AW347" s="69"/>
      <c r="AX347" s="69"/>
      <c r="AY347" s="71"/>
      <c r="AZ347" s="10"/>
      <c r="BA347" s="10"/>
      <c r="BB347" s="10"/>
      <c r="BC347" s="10"/>
      <c r="BD347" s="10"/>
      <c r="BE347" s="10"/>
    </row>
    <row r="348" spans="45:57" customFormat="1">
      <c r="AS348" s="68"/>
      <c r="AT348" s="68"/>
      <c r="AU348" s="68"/>
      <c r="AV348" s="68"/>
      <c r="AW348" s="68"/>
      <c r="AX348" s="69"/>
      <c r="AY348" s="71"/>
      <c r="AZ348" s="10"/>
      <c r="BA348" s="10"/>
      <c r="BB348" s="10"/>
      <c r="BC348" s="10"/>
      <c r="BD348" s="10"/>
      <c r="BE348" s="10"/>
    </row>
    <row r="349" spans="45:57" customFormat="1">
      <c r="AS349" s="68"/>
      <c r="AT349" s="68"/>
      <c r="AU349" s="68"/>
      <c r="AV349" s="68"/>
      <c r="AW349" s="68"/>
      <c r="AX349" s="69"/>
      <c r="AY349" s="71"/>
      <c r="AZ349" s="10"/>
      <c r="BA349" s="10"/>
      <c r="BB349" s="10"/>
      <c r="BC349" s="10"/>
      <c r="BD349" s="10"/>
      <c r="BE349" s="10"/>
    </row>
    <row r="350" spans="45:57" customFormat="1">
      <c r="AS350" s="68"/>
      <c r="AT350" s="68"/>
      <c r="AU350" s="68"/>
      <c r="AV350" s="68"/>
      <c r="AW350" s="69"/>
      <c r="AX350" s="69"/>
      <c r="AY350" s="71"/>
      <c r="AZ350" s="10"/>
      <c r="BA350" s="10"/>
      <c r="BB350" s="10"/>
      <c r="BC350" s="10"/>
      <c r="BD350" s="10"/>
      <c r="BE350" s="10"/>
    </row>
    <row r="351" spans="45:57" customFormat="1">
      <c r="AS351" s="68"/>
      <c r="AT351" s="68"/>
      <c r="AU351" s="68"/>
      <c r="AV351" s="68"/>
      <c r="AW351" s="69"/>
      <c r="AX351" s="69"/>
      <c r="AY351" s="71"/>
      <c r="AZ351" s="10"/>
      <c r="BA351" s="10"/>
      <c r="BB351" s="10"/>
      <c r="BC351" s="10"/>
      <c r="BD351" s="10"/>
      <c r="BE351" s="10"/>
    </row>
    <row r="352" spans="45:57" customFormat="1">
      <c r="AS352" s="68"/>
      <c r="AT352" s="68"/>
      <c r="AU352" s="68"/>
      <c r="AV352" s="68"/>
      <c r="AW352" s="69"/>
      <c r="AX352" s="69"/>
      <c r="AY352" s="71"/>
      <c r="AZ352" s="10"/>
      <c r="BA352" s="10"/>
      <c r="BB352" s="10"/>
      <c r="BC352" s="10"/>
      <c r="BD352" s="10"/>
      <c r="BE352" s="10"/>
    </row>
    <row r="353" spans="45:57" customFormat="1">
      <c r="AS353" s="68"/>
      <c r="AT353" s="68"/>
      <c r="AU353" s="68"/>
      <c r="AV353" s="68"/>
      <c r="AW353" s="69"/>
      <c r="AX353" s="69"/>
      <c r="AY353" s="71"/>
      <c r="AZ353" s="10"/>
      <c r="BA353" s="10"/>
      <c r="BB353" s="10"/>
      <c r="BC353" s="10"/>
      <c r="BD353" s="10"/>
      <c r="BE353" s="10"/>
    </row>
    <row r="354" spans="45:57" customFormat="1">
      <c r="AS354" s="68"/>
      <c r="AT354" s="68"/>
      <c r="AU354" s="68"/>
      <c r="AV354" s="68"/>
      <c r="AW354" s="69"/>
      <c r="AX354" s="69"/>
      <c r="AY354" s="71"/>
      <c r="AZ354" s="10"/>
      <c r="BA354" s="10"/>
      <c r="BB354" s="10"/>
      <c r="BC354" s="10"/>
      <c r="BD354" s="10"/>
      <c r="BE354" s="10"/>
    </row>
    <row r="355" spans="45:57" customFormat="1">
      <c r="AS355" s="68"/>
      <c r="AT355" s="68"/>
      <c r="AU355" s="68"/>
      <c r="AV355" s="68"/>
      <c r="AW355" s="69"/>
      <c r="AX355" s="69"/>
      <c r="AY355" s="71"/>
      <c r="AZ355" s="10"/>
      <c r="BA355" s="10"/>
      <c r="BB355" s="10"/>
      <c r="BC355" s="10"/>
      <c r="BD355" s="10"/>
      <c r="BE355" s="10"/>
    </row>
    <row r="356" spans="45:57" customFormat="1">
      <c r="AS356" s="68"/>
      <c r="AT356" s="68"/>
      <c r="AU356" s="68"/>
      <c r="AV356" s="68"/>
      <c r="AW356" s="68"/>
      <c r="AX356" s="69"/>
      <c r="AY356" s="71"/>
      <c r="AZ356" s="10"/>
      <c r="BA356" s="10"/>
      <c r="BB356" s="10"/>
      <c r="BC356" s="10"/>
      <c r="BD356" s="10"/>
      <c r="BE356" s="10"/>
    </row>
    <row r="357" spans="45:57" customFormat="1">
      <c r="AS357" s="68"/>
      <c r="AT357" s="68"/>
      <c r="AU357" s="68"/>
      <c r="AV357" s="68"/>
      <c r="AW357" s="69"/>
      <c r="AX357" s="69"/>
      <c r="AY357" s="71"/>
      <c r="AZ357" s="10"/>
      <c r="BA357" s="10"/>
      <c r="BB357" s="10"/>
      <c r="BC357" s="10"/>
      <c r="BD357" s="10"/>
      <c r="BE357" s="10"/>
    </row>
    <row r="358" spans="45:57" customFormat="1">
      <c r="AS358" s="68"/>
      <c r="AT358" s="68"/>
      <c r="AU358" s="68"/>
      <c r="AV358" s="68"/>
      <c r="AW358" s="69"/>
      <c r="AX358" s="69"/>
      <c r="AY358" s="71"/>
      <c r="AZ358" s="10"/>
      <c r="BA358" s="10"/>
      <c r="BB358" s="10"/>
      <c r="BC358" s="10"/>
      <c r="BD358" s="10"/>
      <c r="BE358" s="10"/>
    </row>
    <row r="359" spans="45:57" customFormat="1">
      <c r="AS359" s="68"/>
      <c r="AT359" s="68"/>
      <c r="AU359" s="68"/>
      <c r="AV359" s="68"/>
      <c r="AW359" s="69"/>
      <c r="AX359" s="69"/>
      <c r="AY359" s="71"/>
      <c r="AZ359" s="10"/>
      <c r="BA359" s="10"/>
      <c r="BB359" s="10"/>
      <c r="BC359" s="10"/>
      <c r="BD359" s="10"/>
      <c r="BE359" s="10"/>
    </row>
    <row r="360" spans="45:57" customFormat="1">
      <c r="AS360" s="68"/>
      <c r="AT360" s="68"/>
      <c r="AU360" s="68"/>
      <c r="AV360" s="68"/>
      <c r="AW360" s="68"/>
      <c r="AX360" s="69"/>
      <c r="AY360" s="71"/>
      <c r="AZ360" s="10"/>
      <c r="BA360" s="10"/>
      <c r="BB360" s="10"/>
      <c r="BC360" s="10"/>
      <c r="BD360" s="10"/>
      <c r="BE360" s="10"/>
    </row>
    <row r="361" spans="45:57" customFormat="1">
      <c r="AS361" s="68"/>
      <c r="AT361" s="68"/>
      <c r="AU361" s="68"/>
      <c r="AV361" s="68"/>
      <c r="AW361" s="69"/>
      <c r="AX361" s="69"/>
      <c r="AY361" s="71"/>
      <c r="AZ361" s="10"/>
      <c r="BA361" s="10"/>
      <c r="BB361" s="10"/>
      <c r="BC361" s="10"/>
      <c r="BD361" s="10"/>
      <c r="BE361" s="10"/>
    </row>
    <row r="362" spans="45:57" customFormat="1">
      <c r="AS362" s="68"/>
      <c r="AT362" s="68"/>
      <c r="AU362" s="68"/>
      <c r="AV362" s="68"/>
      <c r="AW362" s="69"/>
      <c r="AX362" s="69"/>
      <c r="AY362" s="71"/>
      <c r="AZ362" s="10"/>
      <c r="BA362" s="10"/>
      <c r="BB362" s="10"/>
      <c r="BC362" s="10"/>
      <c r="BD362" s="10"/>
      <c r="BE362" s="10"/>
    </row>
    <row r="363" spans="45:57" customFormat="1">
      <c r="AS363" s="68"/>
      <c r="AT363" s="68"/>
      <c r="AU363" s="68"/>
      <c r="AV363" s="68"/>
      <c r="AW363" s="69"/>
      <c r="AX363" s="69"/>
      <c r="AY363" s="71"/>
      <c r="AZ363" s="10"/>
      <c r="BA363" s="10"/>
      <c r="BB363" s="10"/>
      <c r="BC363" s="10"/>
      <c r="BD363" s="10"/>
      <c r="BE363" s="10"/>
    </row>
    <row r="364" spans="45:57" customFormat="1">
      <c r="AS364" s="68"/>
      <c r="AT364" s="68"/>
      <c r="AU364" s="68"/>
      <c r="AV364" s="68"/>
      <c r="AW364" s="69"/>
      <c r="AX364" s="69"/>
      <c r="AY364" s="71"/>
      <c r="AZ364" s="10"/>
      <c r="BA364" s="10"/>
      <c r="BB364" s="10"/>
      <c r="BC364" s="10"/>
      <c r="BD364" s="10"/>
      <c r="BE364" s="10"/>
    </row>
    <row r="365" spans="45:57" customFormat="1">
      <c r="AS365" s="68"/>
      <c r="AT365" s="68"/>
      <c r="AU365" s="68"/>
      <c r="AV365" s="68"/>
      <c r="AW365" s="68"/>
      <c r="AX365" s="69"/>
      <c r="AY365" s="71"/>
      <c r="AZ365" s="10"/>
      <c r="BA365" s="10"/>
      <c r="BB365" s="10"/>
      <c r="BC365" s="10"/>
      <c r="BD365" s="10"/>
      <c r="BE365" s="10"/>
    </row>
    <row r="366" spans="45:57" customFormat="1">
      <c r="AS366" s="68"/>
      <c r="AT366" s="68"/>
      <c r="AU366" s="68"/>
      <c r="AV366" s="68"/>
      <c r="AW366" s="69"/>
      <c r="AX366" s="69"/>
      <c r="AY366" s="71"/>
      <c r="AZ366" s="10"/>
      <c r="BA366" s="10"/>
      <c r="BB366" s="10"/>
      <c r="BC366" s="10"/>
      <c r="BD366" s="10"/>
      <c r="BE366" s="10"/>
    </row>
    <row r="367" spans="45:57" customFormat="1">
      <c r="AS367" s="68"/>
      <c r="AT367" s="68"/>
      <c r="AU367" s="68"/>
      <c r="AV367" s="68"/>
      <c r="AW367" s="69"/>
      <c r="AX367" s="69"/>
      <c r="AY367" s="71"/>
      <c r="AZ367" s="10"/>
      <c r="BA367" s="10"/>
      <c r="BB367" s="10"/>
      <c r="BC367" s="10"/>
      <c r="BD367" s="10"/>
      <c r="BE367" s="10"/>
    </row>
    <row r="368" spans="45:57" customFormat="1">
      <c r="AS368" s="68"/>
      <c r="AT368" s="68"/>
      <c r="AU368" s="68"/>
      <c r="AV368" s="68"/>
      <c r="AW368" s="69"/>
      <c r="AX368" s="69"/>
      <c r="AY368" s="71"/>
      <c r="AZ368" s="10"/>
      <c r="BA368" s="10"/>
      <c r="BB368" s="10"/>
      <c r="BC368" s="10"/>
      <c r="BD368" s="10"/>
      <c r="BE368" s="10"/>
    </row>
    <row r="369" spans="45:57" customFormat="1">
      <c r="AS369" s="68"/>
      <c r="AT369" s="68"/>
      <c r="AU369" s="68"/>
      <c r="AV369" s="68"/>
      <c r="AW369" s="68"/>
      <c r="AX369" s="69"/>
      <c r="AY369" s="71"/>
      <c r="AZ369" s="10"/>
      <c r="BA369" s="10"/>
      <c r="BB369" s="10"/>
      <c r="BC369" s="10"/>
      <c r="BD369" s="10"/>
      <c r="BE369" s="10"/>
    </row>
    <row r="370" spans="45:57" customFormat="1">
      <c r="AS370" s="68"/>
      <c r="AT370" s="68"/>
      <c r="AU370" s="68"/>
      <c r="AV370" s="68"/>
      <c r="AW370" s="68"/>
      <c r="AX370" s="69"/>
      <c r="AY370" s="71"/>
      <c r="AZ370" s="10"/>
      <c r="BA370" s="10"/>
      <c r="BB370" s="10"/>
      <c r="BC370" s="10"/>
      <c r="BD370" s="10"/>
      <c r="BE370" s="10"/>
    </row>
    <row r="371" spans="45:57" customFormat="1">
      <c r="AS371" s="68"/>
      <c r="AT371" s="68"/>
      <c r="AU371" s="68"/>
      <c r="AV371" s="68"/>
      <c r="AW371" s="69"/>
      <c r="AX371" s="69"/>
      <c r="AY371" s="71"/>
      <c r="AZ371" s="10"/>
      <c r="BA371" s="10"/>
      <c r="BB371" s="10"/>
      <c r="BC371" s="10"/>
      <c r="BD371" s="10"/>
      <c r="BE371" s="10"/>
    </row>
    <row r="372" spans="45:57" customFormat="1">
      <c r="AS372" s="68"/>
      <c r="AT372" s="68"/>
      <c r="AU372" s="68"/>
      <c r="AV372" s="68"/>
      <c r="AW372" s="68"/>
      <c r="AX372" s="69"/>
      <c r="AY372" s="71"/>
      <c r="AZ372" s="10"/>
      <c r="BA372" s="10"/>
      <c r="BB372" s="10"/>
      <c r="BC372" s="10"/>
      <c r="BD372" s="10"/>
      <c r="BE372" s="10"/>
    </row>
    <row r="373" spans="45:57" customFormat="1">
      <c r="AS373" s="68"/>
      <c r="AT373" s="68"/>
      <c r="AU373" s="68"/>
      <c r="AV373" s="68"/>
      <c r="AW373" s="69"/>
      <c r="AX373" s="69"/>
      <c r="AY373" s="71"/>
      <c r="AZ373" s="10"/>
      <c r="BA373" s="10"/>
      <c r="BB373" s="10"/>
      <c r="BC373" s="10"/>
      <c r="BD373" s="10"/>
      <c r="BE373" s="10"/>
    </row>
    <row r="374" spans="45:57" customFormat="1">
      <c r="AS374" s="68"/>
      <c r="AT374" s="68"/>
      <c r="AU374" s="68"/>
      <c r="AV374" s="68"/>
      <c r="AW374" s="69"/>
      <c r="AX374" s="69"/>
      <c r="AY374" s="71"/>
      <c r="AZ374" s="10"/>
      <c r="BA374" s="10"/>
      <c r="BB374" s="10"/>
      <c r="BC374" s="10"/>
      <c r="BD374" s="10"/>
      <c r="BE374" s="10"/>
    </row>
    <row r="375" spans="45:57" customFormat="1">
      <c r="AS375" s="68"/>
      <c r="AT375" s="68"/>
      <c r="AU375" s="68"/>
      <c r="AV375" s="68"/>
      <c r="AW375" s="69"/>
      <c r="AX375" s="69"/>
      <c r="AY375" s="71"/>
      <c r="AZ375" s="10"/>
      <c r="BA375" s="10"/>
      <c r="BB375" s="10"/>
      <c r="BC375" s="10"/>
      <c r="BD375" s="10"/>
      <c r="BE375" s="10"/>
    </row>
    <row r="376" spans="45:57" customFormat="1">
      <c r="AS376" s="68"/>
      <c r="AT376" s="68"/>
      <c r="AU376" s="68"/>
      <c r="AV376" s="68"/>
      <c r="AW376" s="68"/>
      <c r="AX376" s="69"/>
      <c r="AY376" s="71"/>
      <c r="AZ376" s="10"/>
      <c r="BA376" s="10"/>
      <c r="BB376" s="10"/>
      <c r="BC376" s="10"/>
      <c r="BD376" s="10"/>
      <c r="BE376" s="10"/>
    </row>
    <row r="377" spans="45:57" customFormat="1">
      <c r="AS377" s="68"/>
      <c r="AT377" s="68"/>
      <c r="AU377" s="68"/>
      <c r="AV377" s="68"/>
      <c r="AW377" s="69"/>
      <c r="AX377" s="69"/>
      <c r="AY377" s="71"/>
      <c r="AZ377" s="10"/>
      <c r="BA377" s="10"/>
      <c r="BB377" s="10"/>
      <c r="BC377" s="10"/>
      <c r="BD377" s="10"/>
      <c r="BE377" s="10"/>
    </row>
    <row r="378" spans="45:57" customFormat="1">
      <c r="AS378" s="68"/>
      <c r="AT378" s="68"/>
      <c r="AU378" s="68"/>
      <c r="AV378" s="68"/>
      <c r="AW378" s="69"/>
      <c r="AX378" s="69"/>
      <c r="AY378" s="71"/>
      <c r="AZ378" s="10"/>
      <c r="BA378" s="10"/>
      <c r="BB378" s="10"/>
      <c r="BC378" s="10"/>
      <c r="BD378" s="10"/>
      <c r="BE378" s="10"/>
    </row>
    <row r="379" spans="45:57" customFormat="1">
      <c r="AS379" s="68"/>
      <c r="AT379" s="68"/>
      <c r="AU379" s="68"/>
      <c r="AV379" s="68"/>
      <c r="AW379" s="69"/>
      <c r="AX379" s="69"/>
      <c r="AY379" s="71"/>
      <c r="AZ379" s="10"/>
      <c r="BA379" s="10"/>
      <c r="BB379" s="10"/>
      <c r="BC379" s="10"/>
      <c r="BD379" s="10"/>
      <c r="BE379" s="10"/>
    </row>
    <row r="380" spans="45:57" customFormat="1">
      <c r="AS380" s="68"/>
      <c r="AT380" s="68"/>
      <c r="AU380" s="68"/>
      <c r="AV380" s="68"/>
      <c r="AW380" s="69"/>
      <c r="AX380" s="69"/>
      <c r="AY380" s="71"/>
      <c r="AZ380" s="10"/>
      <c r="BA380" s="10"/>
      <c r="BB380" s="10"/>
      <c r="BC380" s="10"/>
      <c r="BD380" s="10"/>
      <c r="BE380" s="10"/>
    </row>
    <row r="381" spans="45:57" customFormat="1">
      <c r="AS381" s="68"/>
      <c r="AT381" s="68"/>
      <c r="AU381" s="68"/>
      <c r="AV381" s="68"/>
      <c r="AW381" s="68"/>
      <c r="AX381" s="69"/>
      <c r="AY381" s="71"/>
      <c r="AZ381" s="10"/>
      <c r="BA381" s="10"/>
      <c r="BB381" s="10"/>
      <c r="BC381" s="10"/>
      <c r="BD381" s="10"/>
      <c r="BE381" s="10"/>
    </row>
    <row r="382" spans="45:57" customFormat="1">
      <c r="AS382" s="68"/>
      <c r="AT382" s="68"/>
      <c r="AU382" s="68"/>
      <c r="AV382" s="68"/>
      <c r="AW382" s="69"/>
      <c r="AX382" s="69"/>
      <c r="AY382" s="71"/>
      <c r="AZ382" s="10"/>
      <c r="BA382" s="10"/>
      <c r="BB382" s="10"/>
      <c r="BC382" s="10"/>
      <c r="BD382" s="10"/>
      <c r="BE382" s="10"/>
    </row>
    <row r="383" spans="45:57" customFormat="1">
      <c r="AS383" s="68"/>
      <c r="AT383" s="68"/>
      <c r="AU383" s="68"/>
      <c r="AV383" s="68"/>
      <c r="AW383" s="69"/>
      <c r="AX383" s="69"/>
      <c r="AY383" s="71"/>
      <c r="AZ383" s="10"/>
      <c r="BA383" s="10"/>
      <c r="BB383" s="10"/>
      <c r="BC383" s="10"/>
      <c r="BD383" s="10"/>
      <c r="BE383" s="10"/>
    </row>
    <row r="384" spans="45:57" customFormat="1">
      <c r="AS384" s="68"/>
      <c r="AT384" s="68"/>
      <c r="AU384" s="68"/>
      <c r="AV384" s="68"/>
      <c r="AW384" s="69"/>
      <c r="AX384" s="69"/>
      <c r="AY384" s="71"/>
      <c r="AZ384" s="10"/>
      <c r="BA384" s="10"/>
      <c r="BB384" s="10"/>
      <c r="BC384" s="10"/>
      <c r="BD384" s="10"/>
      <c r="BE384" s="10"/>
    </row>
    <row r="385" spans="45:57" customFormat="1">
      <c r="AS385" s="68"/>
      <c r="AT385" s="68"/>
      <c r="AU385" s="68"/>
      <c r="AV385" s="68"/>
      <c r="AW385" s="68"/>
      <c r="AX385" s="69"/>
      <c r="AY385" s="71"/>
      <c r="AZ385" s="10"/>
      <c r="BA385" s="10"/>
      <c r="BB385" s="10"/>
      <c r="BC385" s="10"/>
      <c r="BD385" s="10"/>
      <c r="BE385" s="10"/>
    </row>
    <row r="386" spans="45:57" customFormat="1">
      <c r="AS386" s="68"/>
      <c r="AT386" s="68"/>
      <c r="AU386" s="68"/>
      <c r="AV386" s="68"/>
      <c r="AW386" s="68"/>
      <c r="AX386" s="69"/>
      <c r="AY386" s="71"/>
      <c r="AZ386" s="10"/>
      <c r="BA386" s="10"/>
      <c r="BB386" s="10"/>
      <c r="BC386" s="10"/>
      <c r="BD386" s="10"/>
      <c r="BE386" s="10"/>
    </row>
    <row r="387" spans="45:57" customFormat="1">
      <c r="AS387" s="68"/>
      <c r="AT387" s="68"/>
      <c r="AU387" s="68"/>
      <c r="AV387" s="68"/>
      <c r="AW387" s="69"/>
      <c r="AX387" s="69"/>
      <c r="AY387" s="71"/>
      <c r="AZ387" s="10"/>
      <c r="BA387" s="10"/>
      <c r="BB387" s="10"/>
      <c r="BC387" s="10"/>
      <c r="BD387" s="10"/>
      <c r="BE387" s="10"/>
    </row>
    <row r="388" spans="45:57" customFormat="1">
      <c r="AS388" s="68"/>
      <c r="AT388" s="68"/>
      <c r="AU388" s="68"/>
      <c r="AV388" s="68"/>
      <c r="AW388" s="69"/>
      <c r="AX388" s="69"/>
      <c r="AY388" s="71"/>
      <c r="AZ388" s="10"/>
      <c r="BA388" s="10"/>
      <c r="BB388" s="10"/>
      <c r="BC388" s="10"/>
      <c r="BD388" s="10"/>
      <c r="BE388" s="10"/>
    </row>
    <row r="389" spans="45:57" customFormat="1">
      <c r="AS389" s="68"/>
      <c r="AT389" s="68"/>
      <c r="AU389" s="68"/>
      <c r="AV389" s="68"/>
      <c r="AW389" s="69"/>
      <c r="AX389" s="69"/>
      <c r="AY389" s="71"/>
      <c r="AZ389" s="10"/>
      <c r="BA389" s="10"/>
      <c r="BB389" s="10"/>
      <c r="BC389" s="10"/>
      <c r="BD389" s="10"/>
      <c r="BE389" s="10"/>
    </row>
    <row r="390" spans="45:57" customFormat="1">
      <c r="AS390" s="68"/>
      <c r="AT390" s="68"/>
      <c r="AU390" s="68"/>
      <c r="AV390" s="68"/>
      <c r="AW390" s="69"/>
      <c r="AX390" s="69"/>
      <c r="AY390" s="71"/>
      <c r="AZ390" s="10"/>
      <c r="BA390" s="10"/>
      <c r="BB390" s="10"/>
      <c r="BC390" s="10"/>
      <c r="BD390" s="10"/>
      <c r="BE390" s="10"/>
    </row>
    <row r="391" spans="45:57" customFormat="1">
      <c r="AS391" s="68"/>
      <c r="AT391" s="68"/>
      <c r="AU391" s="68"/>
      <c r="AV391" s="68"/>
      <c r="AW391" s="69"/>
      <c r="AX391" s="69"/>
      <c r="AY391" s="71"/>
      <c r="AZ391" s="10"/>
      <c r="BA391" s="10"/>
      <c r="BB391" s="10"/>
      <c r="BC391" s="10"/>
      <c r="BD391" s="10"/>
      <c r="BE391" s="10"/>
    </row>
    <row r="392" spans="45:57" customFormat="1">
      <c r="AS392" s="68"/>
      <c r="AT392" s="68"/>
      <c r="AU392" s="68"/>
      <c r="AV392" s="68"/>
      <c r="AW392" s="69"/>
      <c r="AX392" s="69"/>
      <c r="AY392" s="71"/>
      <c r="AZ392" s="10"/>
      <c r="BA392" s="10"/>
      <c r="BB392" s="10"/>
      <c r="BC392" s="10"/>
      <c r="BD392" s="10"/>
      <c r="BE392" s="10"/>
    </row>
    <row r="393" spans="45:57" customFormat="1">
      <c r="AS393" s="68"/>
      <c r="AT393" s="68"/>
      <c r="AU393" s="68"/>
      <c r="AV393" s="68"/>
      <c r="AW393" s="68"/>
      <c r="AX393" s="69"/>
      <c r="AY393" s="71"/>
      <c r="AZ393" s="10"/>
      <c r="BA393" s="10"/>
      <c r="BB393" s="10"/>
      <c r="BC393" s="10"/>
      <c r="BD393" s="10"/>
      <c r="BE393" s="10"/>
    </row>
    <row r="394" spans="45:57" customFormat="1">
      <c r="AS394" s="68"/>
      <c r="AT394" s="68"/>
      <c r="AU394" s="68"/>
      <c r="AV394" s="68"/>
      <c r="AW394" s="69"/>
      <c r="AX394" s="69"/>
      <c r="AY394" s="71"/>
      <c r="AZ394" s="10"/>
      <c r="BA394" s="10"/>
      <c r="BB394" s="10"/>
      <c r="BC394" s="10"/>
      <c r="BD394" s="10"/>
      <c r="BE394" s="10"/>
    </row>
    <row r="395" spans="45:57" customFormat="1">
      <c r="AS395" s="68"/>
      <c r="AT395" s="68"/>
      <c r="AU395" s="68"/>
      <c r="AV395" s="68"/>
      <c r="AW395" s="69"/>
      <c r="AX395" s="69"/>
      <c r="AY395" s="71"/>
      <c r="AZ395" s="10"/>
      <c r="BA395" s="10"/>
      <c r="BB395" s="10"/>
      <c r="BC395" s="10"/>
      <c r="BD395" s="10"/>
      <c r="BE395" s="10"/>
    </row>
    <row r="396" spans="45:57" customFormat="1">
      <c r="AS396" s="68"/>
      <c r="AT396" s="68"/>
      <c r="AU396" s="68"/>
      <c r="AV396" s="68"/>
      <c r="AW396" s="69"/>
      <c r="AX396" s="69"/>
      <c r="AY396" s="71"/>
      <c r="AZ396" s="10"/>
      <c r="BA396" s="10"/>
      <c r="BB396" s="10"/>
      <c r="BC396" s="10"/>
      <c r="BD396" s="10"/>
      <c r="BE396" s="10"/>
    </row>
    <row r="397" spans="45:57" customFormat="1">
      <c r="AS397" s="68"/>
      <c r="AT397" s="68"/>
      <c r="AU397" s="68"/>
      <c r="AV397" s="68"/>
      <c r="AW397" s="68"/>
      <c r="AX397" s="69"/>
      <c r="AY397" s="71"/>
      <c r="AZ397" s="10"/>
      <c r="BA397" s="10"/>
      <c r="BB397" s="10"/>
      <c r="BC397" s="10"/>
      <c r="BD397" s="10"/>
      <c r="BE397" s="10"/>
    </row>
    <row r="398" spans="45:57" customFormat="1">
      <c r="AS398" s="68"/>
      <c r="AT398" s="68"/>
      <c r="AU398" s="68"/>
      <c r="AV398" s="68"/>
      <c r="AW398" s="69"/>
      <c r="AX398" s="69"/>
      <c r="AY398" s="71"/>
      <c r="AZ398" s="10"/>
      <c r="BA398" s="10"/>
      <c r="BB398" s="10"/>
      <c r="BC398" s="10"/>
      <c r="BD398" s="10"/>
      <c r="BE398" s="10"/>
    </row>
    <row r="399" spans="45:57" customFormat="1">
      <c r="AS399" s="68"/>
      <c r="AT399" s="68"/>
      <c r="AU399" s="68"/>
      <c r="AV399" s="68"/>
      <c r="AW399" s="69"/>
      <c r="AX399" s="69"/>
      <c r="AY399" s="71"/>
      <c r="AZ399" s="10"/>
      <c r="BA399" s="10"/>
      <c r="BB399" s="10"/>
      <c r="BC399" s="10"/>
      <c r="BD399" s="10"/>
      <c r="BE399" s="10"/>
    </row>
    <row r="400" spans="45:57" customFormat="1">
      <c r="AS400" s="68"/>
      <c r="AT400" s="68"/>
      <c r="AU400" s="68"/>
      <c r="AV400" s="68"/>
      <c r="AW400" s="69"/>
      <c r="AX400" s="69"/>
      <c r="AY400" s="71"/>
      <c r="AZ400" s="10"/>
      <c r="BA400" s="10"/>
      <c r="BB400" s="10"/>
      <c r="BC400" s="10"/>
      <c r="BD400" s="10"/>
      <c r="BE400" s="10"/>
    </row>
    <row r="401" spans="2:57" customFormat="1">
      <c r="AS401" s="68"/>
      <c r="AT401" s="68"/>
      <c r="AU401" s="68"/>
      <c r="AV401" s="68"/>
      <c r="AW401" s="69"/>
      <c r="AX401" s="69"/>
      <c r="AY401" s="71"/>
      <c r="AZ401" s="10"/>
      <c r="BA401" s="10"/>
      <c r="BB401" s="10"/>
      <c r="BC401" s="10"/>
      <c r="BD401" s="10"/>
      <c r="BE401" s="10"/>
    </row>
    <row r="402" spans="2:57" customFormat="1">
      <c r="AS402" s="68"/>
      <c r="AT402" s="68"/>
      <c r="AU402" s="68"/>
      <c r="AV402" s="68"/>
      <c r="AW402" s="68"/>
      <c r="AX402" s="69"/>
      <c r="AY402" s="71"/>
      <c r="AZ402" s="10"/>
      <c r="BA402" s="10"/>
      <c r="BB402" s="10"/>
      <c r="BC402" s="10"/>
      <c r="BD402" s="10"/>
      <c r="BE402" s="10"/>
    </row>
    <row r="403" spans="2:57" customFormat="1">
      <c r="AS403" s="68"/>
      <c r="AT403" s="68"/>
      <c r="AU403" s="68"/>
      <c r="AV403" s="68"/>
      <c r="AW403" s="69"/>
      <c r="AX403" s="69"/>
      <c r="AY403" s="71"/>
      <c r="AZ403" s="10"/>
      <c r="BA403" s="10"/>
      <c r="BB403" s="10"/>
      <c r="BC403" s="10"/>
      <c r="BD403" s="10"/>
      <c r="BE403" s="10"/>
    </row>
    <row r="404" spans="2:57" customFormat="1">
      <c r="AS404" s="68"/>
      <c r="AT404" s="68"/>
      <c r="AU404" s="68"/>
      <c r="AV404" s="68"/>
      <c r="AW404" s="69"/>
      <c r="AX404" s="69"/>
      <c r="AY404" s="71"/>
      <c r="AZ404" s="10"/>
      <c r="BA404" s="10"/>
      <c r="BB404" s="10"/>
      <c r="BC404" s="10"/>
      <c r="BD404" s="10"/>
      <c r="BE404" s="10"/>
    </row>
    <row r="405" spans="2:57" customFormat="1">
      <c r="AS405" s="68"/>
      <c r="AT405" s="68"/>
      <c r="AU405" s="68"/>
      <c r="AV405" s="68"/>
      <c r="AW405" s="69"/>
      <c r="AX405" s="69"/>
      <c r="AY405" s="71"/>
      <c r="AZ405" s="10"/>
      <c r="BA405" s="10"/>
      <c r="BB405" s="10"/>
      <c r="BC405" s="10"/>
      <c r="BD405" s="10"/>
      <c r="BE405" s="10"/>
    </row>
    <row r="406" spans="2:57" customFormat="1">
      <c r="B406" s="21"/>
      <c r="C406" s="21"/>
      <c r="D406" s="21"/>
      <c r="E406" s="21"/>
      <c r="AF406" s="10"/>
      <c r="AG406" s="10"/>
      <c r="AH406" s="10"/>
      <c r="AI406" s="10"/>
      <c r="AJ406" s="10"/>
      <c r="AK406" s="10"/>
      <c r="AL406" s="10"/>
      <c r="AM406" s="10"/>
      <c r="AS406" s="76"/>
      <c r="AT406" s="69"/>
      <c r="AU406" s="69"/>
      <c r="AV406" s="69"/>
      <c r="AW406" s="68"/>
      <c r="AX406" s="69"/>
      <c r="AY406" s="76"/>
      <c r="AZ406" s="10"/>
      <c r="BA406" s="10"/>
      <c r="BB406" s="10"/>
      <c r="BC406" s="10"/>
      <c r="BD406" s="10"/>
      <c r="BE406" s="10"/>
    </row>
    <row r="407" spans="2:57"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W407" s="68"/>
    </row>
    <row r="408" spans="2:57"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2:57"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2:57"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2:57"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2:57"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2:57"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W413" s="68"/>
    </row>
    <row r="414" spans="2:57"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2:57"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2:57"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6:49"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W417" s="68"/>
    </row>
    <row r="418" spans="6:49"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6:49"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6:49"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6:49"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6:49"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W422" s="68"/>
    </row>
    <row r="423" spans="6:49"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6:49"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6:49"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6:49"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W426" s="68"/>
    </row>
    <row r="427" spans="6:49"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W427" s="68"/>
    </row>
    <row r="428" spans="6:49"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6:49"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6:49"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6:49"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6:49"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6:49"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6:49"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W434" s="68"/>
    </row>
    <row r="435" spans="6:49"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6:49"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6:49"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6:49"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W438" s="68"/>
    </row>
    <row r="443" spans="6:49">
      <c r="AW443" s="68"/>
    </row>
    <row r="447" spans="6:49">
      <c r="AW447" s="68"/>
    </row>
    <row r="448" spans="6:49">
      <c r="AW448" s="68"/>
    </row>
    <row r="454" spans="49:49">
      <c r="AW454" s="68"/>
    </row>
    <row r="458" spans="49:49">
      <c r="AW458" s="68"/>
    </row>
    <row r="463" spans="49:49">
      <c r="AW463" s="68"/>
    </row>
    <row r="467" spans="49:49">
      <c r="AW467" s="68"/>
    </row>
    <row r="468" spans="49:49">
      <c r="AW468" s="68"/>
    </row>
    <row r="475" spans="49:49">
      <c r="AW475" s="68"/>
    </row>
    <row r="479" spans="49:49">
      <c r="AW479" s="68"/>
    </row>
    <row r="484" spans="49:49">
      <c r="AW484" s="68"/>
    </row>
    <row r="488" spans="49:49">
      <c r="AW488" s="68"/>
    </row>
    <row r="489" spans="49:49">
      <c r="AW489" s="68"/>
    </row>
  </sheetData>
  <mergeCells count="48">
    <mergeCell ref="B6:C6"/>
    <mergeCell ref="D6:F6"/>
    <mergeCell ref="A1:AJ2"/>
    <mergeCell ref="J11:J12"/>
    <mergeCell ref="B4:C4"/>
    <mergeCell ref="D4:F4"/>
    <mergeCell ref="B5:C5"/>
    <mergeCell ref="D5:F5"/>
    <mergeCell ref="M11:N11"/>
    <mergeCell ref="O11:O12"/>
    <mergeCell ref="M10:O10"/>
    <mergeCell ref="F10:L10"/>
    <mergeCell ref="F11:F12"/>
    <mergeCell ref="G11:G12"/>
    <mergeCell ref="H11:H12"/>
    <mergeCell ref="I11:I12"/>
    <mergeCell ref="K11:K12"/>
    <mergeCell ref="L11:L12"/>
    <mergeCell ref="A9:A12"/>
    <mergeCell ref="B10:B12"/>
    <mergeCell ref="C10:C12"/>
    <mergeCell ref="D10:D12"/>
    <mergeCell ref="E10:E12"/>
    <mergeCell ref="AB10:AC11"/>
    <mergeCell ref="AD10:AG11"/>
    <mergeCell ref="AH10:AH12"/>
    <mergeCell ref="AI10:AI12"/>
    <mergeCell ref="AJ10:AJ12"/>
    <mergeCell ref="P10:P12"/>
    <mergeCell ref="Q10:Q12"/>
    <mergeCell ref="R10:R12"/>
    <mergeCell ref="S10:S12"/>
    <mergeCell ref="AA10:AA12"/>
    <mergeCell ref="U10:U12"/>
    <mergeCell ref="V10:V12"/>
    <mergeCell ref="W10:W12"/>
    <mergeCell ref="X10:X12"/>
    <mergeCell ref="Y10:Y12"/>
    <mergeCell ref="Z10:Z12"/>
    <mergeCell ref="T10:T12"/>
    <mergeCell ref="AY11:AY12"/>
    <mergeCell ref="AW11:AW12"/>
    <mergeCell ref="AS9:AY10"/>
    <mergeCell ref="AT11:AT12"/>
    <mergeCell ref="AU11:AU12"/>
    <mergeCell ref="AV11:AV12"/>
    <mergeCell ref="AX11:AX12"/>
    <mergeCell ref="AS11:AS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CommandButton4">
          <controlPr defaultSize="0" autoLine="0" r:id="rId5">
            <anchor moveWithCells="1">
              <from>
                <xdr:col>10</xdr:col>
                <xdr:colOff>323850</xdr:colOff>
                <xdr:row>3</xdr:row>
                <xdr:rowOff>171450</xdr:rowOff>
              </from>
              <to>
                <xdr:col>12</xdr:col>
                <xdr:colOff>581025</xdr:colOff>
                <xdr:row>6</xdr:row>
                <xdr:rowOff>47625</xdr:rowOff>
              </to>
            </anchor>
          </controlPr>
        </control>
      </mc:Choice>
      <mc:Fallback>
        <control shapeId="6149" r:id="rId4" name="CommandButton4"/>
      </mc:Fallback>
    </mc:AlternateContent>
    <mc:AlternateContent xmlns:mc="http://schemas.openxmlformats.org/markup-compatibility/2006">
      <mc:Choice Requires="x14">
        <control shapeId="6148" r:id="rId6" name="CommandButton3">
          <controlPr defaultSize="0" autoLine="0" r:id="rId7">
            <anchor moveWithCells="1">
              <from>
                <xdr:col>6</xdr:col>
                <xdr:colOff>419100</xdr:colOff>
                <xdr:row>3</xdr:row>
                <xdr:rowOff>171450</xdr:rowOff>
              </from>
              <to>
                <xdr:col>9</xdr:col>
                <xdr:colOff>142875</xdr:colOff>
                <xdr:row>6</xdr:row>
                <xdr:rowOff>47625</xdr:rowOff>
              </to>
            </anchor>
          </controlPr>
        </control>
      </mc:Choice>
      <mc:Fallback>
        <control shapeId="6148" r:id="rId6" name="CommandButton3"/>
      </mc:Fallback>
    </mc:AlternateContent>
    <mc:AlternateContent xmlns:mc="http://schemas.openxmlformats.org/markup-compatibility/2006">
      <mc:Choice Requires="x14">
        <control shapeId="6147" r:id="rId8" name="CommandButton2">
          <controlPr defaultSize="0" autoLine="0" r:id="rId9">
            <anchor moveWithCells="1">
              <from>
                <xdr:col>52</xdr:col>
                <xdr:colOff>0</xdr:colOff>
                <xdr:row>10</xdr:row>
                <xdr:rowOff>590550</xdr:rowOff>
              </from>
              <to>
                <xdr:col>56</xdr:col>
                <xdr:colOff>514350</xdr:colOff>
                <xdr:row>11</xdr:row>
                <xdr:rowOff>447675</xdr:rowOff>
              </to>
            </anchor>
          </controlPr>
        </control>
      </mc:Choice>
      <mc:Fallback>
        <control shapeId="6147" r:id="rId8" name="CommandButton2"/>
      </mc:Fallback>
    </mc:AlternateContent>
    <mc:AlternateContent xmlns:mc="http://schemas.openxmlformats.org/markup-compatibility/2006">
      <mc:Choice Requires="x14">
        <control shapeId="6146" r:id="rId10" name="CommandButton1">
          <controlPr defaultSize="0" autoLine="0" r:id="rId11">
            <anchor moveWithCells="1">
              <from>
                <xdr:col>52</xdr:col>
                <xdr:colOff>0</xdr:colOff>
                <xdr:row>10</xdr:row>
                <xdr:rowOff>0</xdr:rowOff>
              </from>
              <to>
                <xdr:col>56</xdr:col>
                <xdr:colOff>514350</xdr:colOff>
                <xdr:row>10</xdr:row>
                <xdr:rowOff>485775</xdr:rowOff>
              </to>
            </anchor>
          </controlPr>
        </control>
      </mc:Choice>
      <mc:Fallback>
        <control shapeId="6146" r:id="rId10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/>
  <dimension ref="A1:BL489"/>
  <sheetViews>
    <sheetView showGridLines="0" zoomScaleNormal="100" workbookViewId="0">
      <selection sqref="A1:AI2"/>
    </sheetView>
  </sheetViews>
  <sheetFormatPr baseColWidth="10" defaultColWidth="11.42578125" defaultRowHeight="15"/>
  <cols>
    <col min="1" max="1" width="4.5703125" customWidth="1"/>
    <col min="2" max="2" width="11.42578125" style="10"/>
    <col min="3" max="3" width="13" style="10" customWidth="1"/>
    <col min="4" max="4" width="19.28515625" style="10" customWidth="1"/>
    <col min="5" max="6" width="12.140625" style="10" customWidth="1"/>
    <col min="7" max="7" width="11.7109375" style="10" customWidth="1"/>
    <col min="8" max="8" width="11.85546875" style="10" customWidth="1"/>
    <col min="9" max="9" width="13.42578125" style="10" customWidth="1"/>
    <col min="10" max="10" width="4.7109375" style="10" customWidth="1"/>
    <col min="11" max="11" width="15.42578125" style="10" customWidth="1"/>
    <col min="12" max="12" width="13.5703125" style="10" customWidth="1"/>
    <col min="13" max="13" width="11.7109375" style="10" customWidth="1"/>
    <col min="14" max="14" width="16.28515625" style="10" customWidth="1"/>
    <col min="15" max="15" width="44.7109375" style="10" customWidth="1"/>
    <col min="16" max="16" width="4.7109375" style="10" customWidth="1"/>
    <col min="17" max="17" width="16.28515625" style="10" customWidth="1"/>
    <col min="18" max="18" width="4.7109375" style="10" customWidth="1"/>
    <col min="19" max="19" width="16.28515625" style="10" customWidth="1"/>
    <col min="20" max="25" width="4.7109375" style="10" customWidth="1"/>
    <col min="26" max="27" width="16.28515625" style="10" customWidth="1"/>
    <col min="28" max="28" width="12.7109375" style="10" customWidth="1"/>
    <col min="29" max="29" width="13" style="10" customWidth="1"/>
    <col min="30" max="30" width="11.42578125" style="10" customWidth="1"/>
    <col min="31" max="31" width="10.85546875" style="10" customWidth="1"/>
    <col min="32" max="32" width="12.5703125" style="10" customWidth="1"/>
    <col min="33" max="33" width="13.5703125" style="10" customWidth="1"/>
    <col min="34" max="34" width="20" style="10" customWidth="1"/>
    <col min="35" max="35" width="11.42578125" style="10" customWidth="1"/>
    <col min="36" max="36" width="0.85546875" customWidth="1"/>
    <col min="37" max="44" width="0.85546875" style="10" customWidth="1"/>
    <col min="45" max="45" width="15.7109375" style="10" customWidth="1"/>
    <col min="46" max="46" width="17.140625" style="10" customWidth="1"/>
    <col min="47" max="47" width="14.28515625" style="10" customWidth="1"/>
    <col min="48" max="48" width="14.28515625" style="10" hidden="1" customWidth="1"/>
    <col min="49" max="49" width="7.140625" style="10" hidden="1" customWidth="1"/>
    <col min="50" max="50" width="13.5703125" style="10" customWidth="1"/>
    <col min="51" max="51" width="13.7109375" customWidth="1"/>
    <col min="52" max="55" width="3" style="10" customWidth="1"/>
    <col min="56" max="16384" width="11.42578125" style="10"/>
  </cols>
  <sheetData>
    <row r="1" spans="1:64" s="21" customFormat="1" ht="14.45" customHeight="1">
      <c r="A1" s="124" t="s">
        <v>133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6"/>
      <c r="AS1" s="58">
        <v>27</v>
      </c>
      <c r="AT1" s="58">
        <v>16</v>
      </c>
      <c r="AU1" s="58">
        <v>19</v>
      </c>
      <c r="AV1" s="58">
        <v>23</v>
      </c>
      <c r="AW1" s="58">
        <v>25</v>
      </c>
      <c r="AX1" s="58">
        <v>26</v>
      </c>
      <c r="AY1" s="58">
        <f>+AS1</f>
        <v>27</v>
      </c>
      <c r="BE1" s="60">
        <v>140200</v>
      </c>
    </row>
    <row r="2" spans="1:64" s="21" customFormat="1" ht="30" customHeight="1" thickBot="1">
      <c r="A2" s="127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9"/>
      <c r="AS2" s="58">
        <v>43</v>
      </c>
      <c r="AT2" s="58">
        <v>17</v>
      </c>
      <c r="AU2" s="58">
        <v>43</v>
      </c>
      <c r="AV2" s="58">
        <v>43</v>
      </c>
      <c r="AW2" s="58">
        <v>43</v>
      </c>
      <c r="AX2" s="58">
        <v>43</v>
      </c>
      <c r="AY2" s="58">
        <v>43</v>
      </c>
    </row>
    <row r="3" spans="1:64" s="21" customFormat="1" ht="5.25" customHeight="1">
      <c r="A3" s="92"/>
      <c r="B3" s="93"/>
      <c r="C3" s="93"/>
      <c r="D3" s="94"/>
      <c r="E3" s="94"/>
      <c r="F3" s="94"/>
      <c r="G3" s="94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S3" s="58">
        <v>43</v>
      </c>
      <c r="AT3" s="58">
        <v>21</v>
      </c>
      <c r="AU3" s="58">
        <v>43</v>
      </c>
      <c r="AV3" s="58">
        <v>43</v>
      </c>
      <c r="AW3" s="58">
        <v>43</v>
      </c>
      <c r="AX3" s="58">
        <v>43</v>
      </c>
      <c r="AY3" s="58">
        <v>43</v>
      </c>
    </row>
    <row r="4" spans="1:64" s="21" customFormat="1" ht="18.75">
      <c r="A4" s="92"/>
      <c r="B4" s="242" t="s">
        <v>58</v>
      </c>
      <c r="C4" s="242"/>
      <c r="D4" s="243" t="str">
        <f>+CONFIGURACION!D9&amp;"-"&amp;TEXT(CONFIGURACION!D11,"00")</f>
        <v>2017-03</v>
      </c>
      <c r="E4" s="244"/>
      <c r="F4" s="244"/>
      <c r="G4" s="96"/>
      <c r="H4" s="92"/>
      <c r="I4" s="92"/>
      <c r="J4" s="92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S4" s="58">
        <v>43</v>
      </c>
      <c r="AT4" s="58">
        <v>22</v>
      </c>
      <c r="AU4" s="58">
        <v>43</v>
      </c>
      <c r="AV4" s="58">
        <v>43</v>
      </c>
      <c r="AW4" s="58">
        <v>43</v>
      </c>
      <c r="AX4" s="58">
        <v>43</v>
      </c>
      <c r="AY4" s="58">
        <v>43</v>
      </c>
      <c r="BE4" s="57"/>
    </row>
    <row r="5" spans="1:64" s="21" customFormat="1" ht="18.75">
      <c r="A5" s="92"/>
      <c r="B5" s="242" t="s">
        <v>59</v>
      </c>
      <c r="C5" s="242"/>
      <c r="D5" s="241">
        <f>+CONFIGURACION!D5</f>
        <v>20440494731</v>
      </c>
      <c r="E5" s="241"/>
      <c r="F5" s="241"/>
      <c r="G5" s="96"/>
      <c r="H5" s="92"/>
      <c r="I5" s="92"/>
      <c r="J5" s="92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  <c r="AI5" s="95"/>
      <c r="AS5" s="58">
        <v>43</v>
      </c>
      <c r="AT5" s="58">
        <v>24</v>
      </c>
      <c r="AU5" s="58">
        <v>43</v>
      </c>
      <c r="AV5" s="58">
        <v>43</v>
      </c>
      <c r="AW5" s="58">
        <v>43</v>
      </c>
      <c r="AX5" s="58">
        <v>43</v>
      </c>
      <c r="AY5" s="58">
        <v>43</v>
      </c>
    </row>
    <row r="6" spans="1:64" s="21" customFormat="1" ht="18.75">
      <c r="A6" s="92"/>
      <c r="B6" s="242" t="s">
        <v>60</v>
      </c>
      <c r="C6" s="242"/>
      <c r="D6" s="241" t="str">
        <f>+CONFIGURACION!D7</f>
        <v>EXCEL NEGOCIOS SAC</v>
      </c>
      <c r="E6" s="241"/>
      <c r="F6" s="241"/>
      <c r="G6" s="97"/>
      <c r="H6" s="98"/>
      <c r="I6" s="92"/>
      <c r="J6" s="92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S6" s="58">
        <v>43</v>
      </c>
      <c r="AT6" s="58">
        <v>43</v>
      </c>
      <c r="AU6" s="58">
        <v>43</v>
      </c>
      <c r="AV6" s="58">
        <v>43</v>
      </c>
      <c r="AW6" s="58">
        <v>43</v>
      </c>
      <c r="AX6" s="58">
        <v>43</v>
      </c>
      <c r="AY6" s="58">
        <v>43</v>
      </c>
    </row>
    <row r="7" spans="1:64" s="21" customFormat="1" ht="8.4499999999999993" customHeight="1">
      <c r="A7" s="92"/>
      <c r="B7" s="99"/>
      <c r="C7" s="99"/>
      <c r="D7" s="100"/>
      <c r="E7" s="100"/>
      <c r="F7" s="100"/>
      <c r="G7" s="100"/>
      <c r="H7" s="98"/>
      <c r="I7" s="92"/>
      <c r="J7" s="92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S7" s="59" t="s">
        <v>138</v>
      </c>
      <c r="AT7" s="59" t="s">
        <v>139</v>
      </c>
      <c r="AU7" s="59" t="s">
        <v>139</v>
      </c>
      <c r="AV7" s="59" t="s">
        <v>139</v>
      </c>
      <c r="AW7" s="59" t="s">
        <v>139</v>
      </c>
      <c r="AX7" s="59" t="s">
        <v>139</v>
      </c>
      <c r="AY7" s="59" t="s">
        <v>139</v>
      </c>
    </row>
    <row r="8" spans="1:64" s="21" customFormat="1" ht="10.9" customHeight="1" thickBot="1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K8" s="26"/>
      <c r="AL8" s="26"/>
      <c r="AM8" s="26"/>
      <c r="AN8" s="26"/>
      <c r="AO8" s="26"/>
      <c r="AP8" s="26"/>
      <c r="AQ8" s="26"/>
      <c r="AR8" s="26"/>
      <c r="AS8" s="58">
        <f>COLUMN(AS7)</f>
        <v>45</v>
      </c>
      <c r="AT8" s="58">
        <f>COLUMN(AT7)</f>
        <v>46</v>
      </c>
      <c r="AU8" s="58">
        <f t="shared" ref="AU8:AY8" si="0">COLUMN(AU7)</f>
        <v>47</v>
      </c>
      <c r="AV8" s="58">
        <f t="shared" si="0"/>
        <v>48</v>
      </c>
      <c r="AW8" s="58">
        <f t="shared" si="0"/>
        <v>49</v>
      </c>
      <c r="AX8" s="58">
        <f t="shared" si="0"/>
        <v>50</v>
      </c>
      <c r="AY8" s="58">
        <f t="shared" si="0"/>
        <v>51</v>
      </c>
    </row>
    <row r="9" spans="1:64" s="21" customFormat="1" ht="15.75" customHeight="1">
      <c r="A9" s="154" t="s">
        <v>61</v>
      </c>
      <c r="B9" s="65">
        <v>25</v>
      </c>
      <c r="C9" s="65">
        <v>1</v>
      </c>
      <c r="D9" s="65">
        <v>2</v>
      </c>
      <c r="E9" s="65">
        <v>3</v>
      </c>
      <c r="F9" s="65">
        <v>4</v>
      </c>
      <c r="G9" s="65">
        <v>5</v>
      </c>
      <c r="H9" s="65">
        <v>6</v>
      </c>
      <c r="I9" s="65">
        <v>7</v>
      </c>
      <c r="J9" s="67"/>
      <c r="K9" s="65">
        <v>8</v>
      </c>
      <c r="L9" s="65">
        <v>9</v>
      </c>
      <c r="M9" s="65">
        <v>10</v>
      </c>
      <c r="N9" s="65">
        <v>11</v>
      </c>
      <c r="O9" s="65">
        <v>12</v>
      </c>
      <c r="P9" s="223"/>
      <c r="Q9" s="65">
        <v>13</v>
      </c>
      <c r="R9" s="223"/>
      <c r="S9" s="65">
        <v>14</v>
      </c>
      <c r="T9" s="223"/>
      <c r="U9" s="223"/>
      <c r="V9" s="223"/>
      <c r="W9" s="223"/>
      <c r="X9" s="223"/>
      <c r="Y9" s="223"/>
      <c r="Z9" s="65">
        <v>15</v>
      </c>
      <c r="AA9" s="65">
        <v>16</v>
      </c>
      <c r="AB9" s="65">
        <v>17</v>
      </c>
      <c r="AC9" s="65">
        <v>18</v>
      </c>
      <c r="AD9" s="65">
        <v>19</v>
      </c>
      <c r="AE9" s="65">
        <v>20</v>
      </c>
      <c r="AF9" s="65">
        <v>21</v>
      </c>
      <c r="AG9" s="65">
        <v>22</v>
      </c>
      <c r="AH9" s="65">
        <v>23</v>
      </c>
      <c r="AI9" s="66">
        <v>24</v>
      </c>
      <c r="AJ9"/>
      <c r="AS9" s="227" t="s">
        <v>177</v>
      </c>
      <c r="AT9" s="228"/>
      <c r="AU9" s="228"/>
      <c r="AV9" s="228"/>
      <c r="AW9" s="228"/>
      <c r="AX9" s="228"/>
      <c r="AY9" s="229"/>
    </row>
    <row r="10" spans="1:64" s="21" customFormat="1" ht="35.25" customHeight="1" thickBot="1">
      <c r="A10" s="155"/>
      <c r="B10" s="158" t="s">
        <v>62</v>
      </c>
      <c r="C10" s="158" t="s">
        <v>63</v>
      </c>
      <c r="D10" s="158" t="s">
        <v>64</v>
      </c>
      <c r="E10" s="158" t="s">
        <v>65</v>
      </c>
      <c r="F10" s="162" t="s">
        <v>49</v>
      </c>
      <c r="G10" s="162"/>
      <c r="H10" s="162"/>
      <c r="I10" s="162"/>
      <c r="J10" s="162"/>
      <c r="K10" s="162"/>
      <c r="L10" s="162"/>
      <c r="M10" s="160" t="s">
        <v>48</v>
      </c>
      <c r="N10" s="160"/>
      <c r="O10" s="160"/>
      <c r="P10" s="224"/>
      <c r="Q10" s="145" t="s">
        <v>120</v>
      </c>
      <c r="R10" s="224"/>
      <c r="S10" s="145" t="s">
        <v>122</v>
      </c>
      <c r="T10" s="224"/>
      <c r="U10" s="224"/>
      <c r="V10" s="224"/>
      <c r="W10" s="224"/>
      <c r="X10" s="224"/>
      <c r="Y10" s="224"/>
      <c r="Z10" s="145" t="s">
        <v>129</v>
      </c>
      <c r="AA10" s="145" t="s">
        <v>130</v>
      </c>
      <c r="AB10" s="145" t="s">
        <v>40</v>
      </c>
      <c r="AC10" s="145"/>
      <c r="AD10" s="145" t="s">
        <v>39</v>
      </c>
      <c r="AE10" s="145"/>
      <c r="AF10" s="145"/>
      <c r="AG10" s="145"/>
      <c r="AH10" s="145" t="s">
        <v>34</v>
      </c>
      <c r="AI10" s="147" t="s">
        <v>30</v>
      </c>
      <c r="AJ10"/>
      <c r="AS10" s="230"/>
      <c r="AT10" s="231"/>
      <c r="AU10" s="231"/>
      <c r="AV10" s="231"/>
      <c r="AW10" s="231"/>
      <c r="AX10" s="231"/>
      <c r="AY10" s="232"/>
    </row>
    <row r="11" spans="1:64" s="21" customFormat="1" ht="49.5" customHeight="1">
      <c r="A11" s="155"/>
      <c r="B11" s="158"/>
      <c r="C11" s="158"/>
      <c r="D11" s="158"/>
      <c r="E11" s="158"/>
      <c r="F11" s="163" t="s">
        <v>82</v>
      </c>
      <c r="G11" s="163" t="s">
        <v>28</v>
      </c>
      <c r="H11" s="163" t="s">
        <v>83</v>
      </c>
      <c r="I11" s="152" t="s">
        <v>132</v>
      </c>
      <c r="J11" s="204"/>
      <c r="K11" s="152" t="s">
        <v>85</v>
      </c>
      <c r="L11" s="152" t="s">
        <v>23</v>
      </c>
      <c r="M11" s="161" t="s">
        <v>22</v>
      </c>
      <c r="N11" s="161"/>
      <c r="O11" s="157" t="s">
        <v>21</v>
      </c>
      <c r="P11" s="224"/>
      <c r="Q11" s="145" t="s">
        <v>120</v>
      </c>
      <c r="R11" s="224"/>
      <c r="S11" s="145" t="s">
        <v>122</v>
      </c>
      <c r="T11" s="224"/>
      <c r="U11" s="224"/>
      <c r="V11" s="224"/>
      <c r="W11" s="224"/>
      <c r="X11" s="224"/>
      <c r="Y11" s="224"/>
      <c r="Z11" s="145" t="s">
        <v>129</v>
      </c>
      <c r="AA11" s="145" t="s">
        <v>130</v>
      </c>
      <c r="AB11" s="145"/>
      <c r="AC11" s="145"/>
      <c r="AD11" s="145"/>
      <c r="AE11" s="145"/>
      <c r="AF11" s="145"/>
      <c r="AG11" s="145"/>
      <c r="AH11" s="145"/>
      <c r="AI11" s="147"/>
      <c r="AJ11"/>
      <c r="AS11" s="233" t="s">
        <v>178</v>
      </c>
      <c r="AT11" s="235" t="s">
        <v>179</v>
      </c>
      <c r="AU11" s="235" t="s">
        <v>180</v>
      </c>
      <c r="AV11" s="237" t="s">
        <v>172</v>
      </c>
      <c r="AW11" s="237" t="s">
        <v>173</v>
      </c>
      <c r="AX11" s="235" t="s">
        <v>181</v>
      </c>
      <c r="AY11" s="239" t="s">
        <v>140</v>
      </c>
    </row>
    <row r="12" spans="1:64" s="21" customFormat="1" ht="36" customHeight="1" thickBot="1">
      <c r="A12" s="156"/>
      <c r="B12" s="159"/>
      <c r="C12" s="159"/>
      <c r="D12" s="159"/>
      <c r="E12" s="159"/>
      <c r="F12" s="164"/>
      <c r="G12" s="164"/>
      <c r="H12" s="164"/>
      <c r="I12" s="153"/>
      <c r="J12" s="205"/>
      <c r="K12" s="153"/>
      <c r="L12" s="153"/>
      <c r="M12" s="75" t="s">
        <v>20</v>
      </c>
      <c r="N12" s="61" t="s">
        <v>19</v>
      </c>
      <c r="O12" s="138"/>
      <c r="P12" s="225"/>
      <c r="Q12" s="146" t="s">
        <v>120</v>
      </c>
      <c r="R12" s="226"/>
      <c r="S12" s="222" t="s">
        <v>122</v>
      </c>
      <c r="T12" s="225"/>
      <c r="U12" s="225"/>
      <c r="V12" s="225"/>
      <c r="W12" s="225"/>
      <c r="X12" s="225"/>
      <c r="Y12" s="225"/>
      <c r="Z12" s="146" t="s">
        <v>129</v>
      </c>
      <c r="AA12" s="146" t="s">
        <v>130</v>
      </c>
      <c r="AB12" s="63" t="s">
        <v>97</v>
      </c>
      <c r="AC12" s="62" t="s">
        <v>15</v>
      </c>
      <c r="AD12" s="64" t="s">
        <v>14</v>
      </c>
      <c r="AE12" s="62" t="s">
        <v>13</v>
      </c>
      <c r="AF12" s="64" t="s">
        <v>12</v>
      </c>
      <c r="AG12" s="64" t="s">
        <v>10</v>
      </c>
      <c r="AH12" s="146"/>
      <c r="AI12" s="148"/>
      <c r="AJ12"/>
      <c r="AS12" s="234"/>
      <c r="AT12" s="236"/>
      <c r="AU12" s="236"/>
      <c r="AV12" s="238"/>
      <c r="AW12" s="238"/>
      <c r="AX12" s="236"/>
      <c r="AY12" s="240"/>
    </row>
    <row r="13" spans="1:64" customFormat="1">
      <c r="A13">
        <v>1</v>
      </c>
      <c r="B13" s="18">
        <v>1</v>
      </c>
      <c r="C13" s="18">
        <v>20170300</v>
      </c>
      <c r="D13" s="18" t="s">
        <v>386</v>
      </c>
      <c r="E13" s="18" t="s">
        <v>7</v>
      </c>
      <c r="F13" s="14">
        <v>42809</v>
      </c>
      <c r="G13" s="12"/>
      <c r="H13" s="13" t="s">
        <v>2</v>
      </c>
      <c r="I13" s="13" t="s">
        <v>336</v>
      </c>
      <c r="J13" s="13"/>
      <c r="K13" s="13" t="s">
        <v>337</v>
      </c>
      <c r="L13" s="13"/>
      <c r="M13" s="12">
        <v>6</v>
      </c>
      <c r="N13" s="12" t="s">
        <v>338</v>
      </c>
      <c r="O13" s="91" t="s">
        <v>339</v>
      </c>
      <c r="P13" s="17"/>
      <c r="Q13" s="16">
        <v>101.69491525423729</v>
      </c>
      <c r="R13" s="102"/>
      <c r="S13" s="102">
        <v>18.305084745762709</v>
      </c>
      <c r="T13" s="16"/>
      <c r="U13" s="16"/>
      <c r="V13" s="16"/>
      <c r="W13" s="16"/>
      <c r="X13" s="16"/>
      <c r="Y13" s="16"/>
      <c r="Z13" s="15"/>
      <c r="AA13" s="16">
        <v>120</v>
      </c>
      <c r="AB13" s="12"/>
      <c r="AC13" s="12"/>
      <c r="AD13" s="12"/>
      <c r="AE13" s="12"/>
      <c r="AF13" s="12"/>
      <c r="AG13" s="12"/>
      <c r="AH13" s="12"/>
      <c r="AI13" s="12">
        <v>1</v>
      </c>
      <c r="AS13" s="68">
        <v>12121</v>
      </c>
      <c r="AT13" s="68">
        <v>70111</v>
      </c>
      <c r="AU13" s="68">
        <v>40111</v>
      </c>
      <c r="AV13" s="68"/>
      <c r="AW13" s="69"/>
      <c r="AX13" s="70"/>
      <c r="AY13" s="71">
        <v>10100</v>
      </c>
      <c r="BD13" s="10"/>
      <c r="BF13" s="10"/>
      <c r="BG13" s="10"/>
      <c r="BH13" s="10"/>
      <c r="BI13" s="10"/>
      <c r="BJ13" s="10"/>
      <c r="BK13" s="10"/>
      <c r="BL13" s="10"/>
    </row>
    <row r="14" spans="1:64">
      <c r="A14">
        <v>2</v>
      </c>
      <c r="B14" s="18">
        <v>1</v>
      </c>
      <c r="C14" s="18">
        <v>20170300</v>
      </c>
      <c r="D14" s="18" t="s">
        <v>387</v>
      </c>
      <c r="E14" s="18" t="s">
        <v>6</v>
      </c>
      <c r="F14" s="14">
        <v>42810</v>
      </c>
      <c r="G14" s="12"/>
      <c r="H14" s="13" t="s">
        <v>2</v>
      </c>
      <c r="I14" s="13" t="s">
        <v>336</v>
      </c>
      <c r="J14" s="13"/>
      <c r="K14" s="13" t="s">
        <v>340</v>
      </c>
      <c r="L14" s="13"/>
      <c r="M14" s="12">
        <v>6</v>
      </c>
      <c r="N14" s="12" t="s">
        <v>341</v>
      </c>
      <c r="O14" s="17" t="s">
        <v>342</v>
      </c>
      <c r="P14" s="17"/>
      <c r="Q14" s="16">
        <v>51.694915254237294</v>
      </c>
      <c r="R14" s="102"/>
      <c r="S14" s="102">
        <v>9.3050847457627128</v>
      </c>
      <c r="T14" s="16"/>
      <c r="U14" s="16"/>
      <c r="V14" s="16"/>
      <c r="W14" s="16"/>
      <c r="X14" s="16"/>
      <c r="Y14" s="16"/>
      <c r="Z14" s="15"/>
      <c r="AA14" s="16">
        <v>61</v>
      </c>
      <c r="AB14" s="12"/>
      <c r="AC14" s="12"/>
      <c r="AD14" s="12"/>
      <c r="AE14" s="12"/>
      <c r="AF14" s="12"/>
      <c r="AG14" s="12"/>
      <c r="AH14" s="12"/>
      <c r="AI14" s="12">
        <v>1</v>
      </c>
      <c r="AK14"/>
      <c r="AL14"/>
      <c r="AM14"/>
      <c r="AN14"/>
      <c r="AO14"/>
      <c r="AP14"/>
      <c r="AQ14"/>
      <c r="AR14"/>
      <c r="AS14" s="68">
        <v>12121</v>
      </c>
      <c r="AT14" s="68">
        <v>70111</v>
      </c>
      <c r="AU14" s="68">
        <v>40111</v>
      </c>
      <c r="AV14" s="68"/>
      <c r="AW14" s="68"/>
      <c r="AX14" s="68"/>
      <c r="AY14" s="71">
        <v>10100</v>
      </c>
    </row>
    <row r="15" spans="1:64">
      <c r="A15">
        <v>3</v>
      </c>
      <c r="B15" s="18">
        <v>1</v>
      </c>
      <c r="C15" s="18">
        <v>20170300</v>
      </c>
      <c r="D15" s="18" t="s">
        <v>388</v>
      </c>
      <c r="E15" s="18" t="s">
        <v>5</v>
      </c>
      <c r="F15" s="14">
        <v>42811</v>
      </c>
      <c r="G15" s="12"/>
      <c r="H15" s="13" t="s">
        <v>2</v>
      </c>
      <c r="I15" s="13" t="s">
        <v>336</v>
      </c>
      <c r="J15" s="13"/>
      <c r="K15" s="13" t="s">
        <v>343</v>
      </c>
      <c r="L15" s="13"/>
      <c r="M15" s="12">
        <v>6</v>
      </c>
      <c r="N15" s="12" t="s">
        <v>338</v>
      </c>
      <c r="O15" s="17" t="s">
        <v>339</v>
      </c>
      <c r="P15" s="17"/>
      <c r="Q15" s="16">
        <v>31.35593220338983</v>
      </c>
      <c r="R15" s="102"/>
      <c r="S15" s="102">
        <v>5.6440677966101696</v>
      </c>
      <c r="T15" s="16"/>
      <c r="U15" s="16"/>
      <c r="V15" s="16"/>
      <c r="W15" s="16"/>
      <c r="X15" s="16"/>
      <c r="Y15" s="16"/>
      <c r="Z15" s="15"/>
      <c r="AA15" s="16">
        <v>37</v>
      </c>
      <c r="AB15" s="12"/>
      <c r="AC15" s="12"/>
      <c r="AD15" s="12"/>
      <c r="AE15" s="12"/>
      <c r="AF15" s="12"/>
      <c r="AG15" s="12"/>
      <c r="AH15" s="12"/>
      <c r="AI15" s="12">
        <v>1</v>
      </c>
      <c r="AK15"/>
      <c r="AL15"/>
      <c r="AM15"/>
      <c r="AN15"/>
      <c r="AO15"/>
      <c r="AP15"/>
      <c r="AQ15"/>
      <c r="AR15"/>
      <c r="AS15" s="68">
        <v>12121</v>
      </c>
      <c r="AT15" s="68">
        <v>70111</v>
      </c>
      <c r="AU15" s="68">
        <v>40111</v>
      </c>
      <c r="AV15" s="68"/>
      <c r="AW15" s="69"/>
      <c r="AX15" s="68"/>
      <c r="AY15" s="71">
        <v>10100</v>
      </c>
    </row>
    <row r="16" spans="1:64">
      <c r="A16">
        <v>4</v>
      </c>
      <c r="B16" s="18">
        <v>1</v>
      </c>
      <c r="C16" s="18">
        <v>20170300</v>
      </c>
      <c r="D16" s="18" t="s">
        <v>389</v>
      </c>
      <c r="E16" s="18" t="s">
        <v>3</v>
      </c>
      <c r="F16" s="14">
        <v>42811</v>
      </c>
      <c r="G16" s="12"/>
      <c r="H16" s="13" t="s">
        <v>2</v>
      </c>
      <c r="I16" s="13" t="s">
        <v>336</v>
      </c>
      <c r="J16" s="13"/>
      <c r="K16" s="13" t="s">
        <v>344</v>
      </c>
      <c r="L16" s="13"/>
      <c r="M16" s="13">
        <v>6</v>
      </c>
      <c r="N16" s="12" t="s">
        <v>338</v>
      </c>
      <c r="O16" s="91" t="s">
        <v>339</v>
      </c>
      <c r="P16" s="17"/>
      <c r="Q16" s="16">
        <v>8.4745762711864412</v>
      </c>
      <c r="R16" s="102"/>
      <c r="S16" s="102">
        <v>1.5254237288135593</v>
      </c>
      <c r="T16" s="16"/>
      <c r="U16" s="16"/>
      <c r="V16" s="16"/>
      <c r="W16" s="16"/>
      <c r="X16" s="16"/>
      <c r="Y16" s="16"/>
      <c r="Z16" s="15"/>
      <c r="AA16" s="16">
        <v>10</v>
      </c>
      <c r="AB16" s="12"/>
      <c r="AC16" s="90"/>
      <c r="AD16" s="12"/>
      <c r="AE16" s="12"/>
      <c r="AF16" s="12"/>
      <c r="AG16" s="12"/>
      <c r="AH16" s="12"/>
      <c r="AI16" s="12">
        <v>1</v>
      </c>
      <c r="AK16"/>
      <c r="AL16"/>
      <c r="AM16"/>
      <c r="AN16"/>
      <c r="AO16"/>
      <c r="AP16"/>
      <c r="AQ16"/>
      <c r="AR16"/>
      <c r="AS16" s="68">
        <v>12121</v>
      </c>
      <c r="AT16" s="68">
        <v>70111</v>
      </c>
      <c r="AU16" s="68">
        <v>40111</v>
      </c>
      <c r="AV16" s="68"/>
      <c r="AW16" s="69"/>
      <c r="AX16" s="69"/>
      <c r="AY16" s="71">
        <v>10100</v>
      </c>
    </row>
    <row r="17" spans="1:51">
      <c r="A17">
        <v>5</v>
      </c>
      <c r="B17" s="18">
        <v>1</v>
      </c>
      <c r="C17" s="18">
        <v>20170300</v>
      </c>
      <c r="D17" s="18" t="s">
        <v>390</v>
      </c>
      <c r="E17" s="18" t="s">
        <v>205</v>
      </c>
      <c r="F17" s="14">
        <v>42815</v>
      </c>
      <c r="G17" s="12"/>
      <c r="H17" s="13" t="s">
        <v>2</v>
      </c>
      <c r="I17" s="13" t="s">
        <v>345</v>
      </c>
      <c r="J17" s="13"/>
      <c r="K17" s="13" t="s">
        <v>346</v>
      </c>
      <c r="L17" s="13"/>
      <c r="M17" s="12">
        <v>6</v>
      </c>
      <c r="N17" s="12" t="s">
        <v>347</v>
      </c>
      <c r="O17" s="17" t="s">
        <v>348</v>
      </c>
      <c r="P17" s="17"/>
      <c r="Q17" s="16">
        <v>17.796610169491526</v>
      </c>
      <c r="R17" s="102"/>
      <c r="S17" s="102">
        <v>3.2033898305084745</v>
      </c>
      <c r="T17" s="16"/>
      <c r="U17" s="16"/>
      <c r="V17" s="16"/>
      <c r="W17" s="16"/>
      <c r="X17" s="16"/>
      <c r="Y17" s="16"/>
      <c r="Z17" s="15"/>
      <c r="AA17" s="16">
        <v>21</v>
      </c>
      <c r="AB17" s="12"/>
      <c r="AC17" s="12"/>
      <c r="AD17" s="12"/>
      <c r="AE17" s="12"/>
      <c r="AF17" s="12"/>
      <c r="AG17" s="12"/>
      <c r="AH17" s="12"/>
      <c r="AI17" s="12">
        <v>1</v>
      </c>
      <c r="AK17"/>
      <c r="AL17"/>
      <c r="AM17"/>
      <c r="AN17"/>
      <c r="AO17"/>
      <c r="AP17"/>
      <c r="AQ17"/>
      <c r="AR17"/>
      <c r="AS17" s="68">
        <v>12121</v>
      </c>
      <c r="AT17" s="68">
        <v>70111</v>
      </c>
      <c r="AU17" s="68">
        <v>40111</v>
      </c>
      <c r="AV17" s="68"/>
      <c r="AW17" s="69"/>
      <c r="AX17" s="68"/>
      <c r="AY17" s="71">
        <v>10100</v>
      </c>
    </row>
    <row r="18" spans="1:51" ht="13.9" customHeight="1">
      <c r="A18">
        <v>6</v>
      </c>
      <c r="B18" s="18">
        <v>2</v>
      </c>
      <c r="C18" s="18">
        <v>20170300</v>
      </c>
      <c r="D18" s="18">
        <v>0</v>
      </c>
      <c r="E18" s="18" t="s">
        <v>209</v>
      </c>
      <c r="F18" s="14">
        <v>42815</v>
      </c>
      <c r="G18" s="12"/>
      <c r="H18" s="13" t="s">
        <v>2</v>
      </c>
      <c r="I18" s="13" t="s">
        <v>345</v>
      </c>
      <c r="J18" s="13"/>
      <c r="K18" s="13" t="s">
        <v>349</v>
      </c>
      <c r="L18" s="13"/>
      <c r="M18" s="12"/>
      <c r="N18" s="12"/>
      <c r="O18" s="17" t="s">
        <v>310</v>
      </c>
      <c r="P18" s="17"/>
      <c r="Q18" s="16"/>
      <c r="R18" s="102"/>
      <c r="S18" s="102"/>
      <c r="T18" s="16"/>
      <c r="U18" s="16"/>
      <c r="V18" s="16"/>
      <c r="W18" s="16"/>
      <c r="X18" s="16"/>
      <c r="Y18" s="16"/>
      <c r="Z18" s="15"/>
      <c r="AA18" s="16"/>
      <c r="AB18" s="12"/>
      <c r="AC18" s="12"/>
      <c r="AD18" s="12"/>
      <c r="AE18" s="12"/>
      <c r="AF18" s="12"/>
      <c r="AG18" s="12"/>
      <c r="AH18" s="12"/>
      <c r="AI18" s="12"/>
      <c r="AK18"/>
      <c r="AL18"/>
      <c r="AM18"/>
      <c r="AN18"/>
      <c r="AO18"/>
      <c r="AP18"/>
      <c r="AQ18"/>
      <c r="AR18"/>
      <c r="AS18" s="68"/>
      <c r="AT18" s="68"/>
      <c r="AU18" s="68"/>
      <c r="AV18" s="68"/>
      <c r="AW18" s="68"/>
      <c r="AX18" s="70"/>
      <c r="AY18" s="71"/>
    </row>
    <row r="19" spans="1:51">
      <c r="A19">
        <v>7</v>
      </c>
      <c r="B19" s="18">
        <v>1</v>
      </c>
      <c r="C19" s="18">
        <v>20170300</v>
      </c>
      <c r="D19" s="18" t="s">
        <v>391</v>
      </c>
      <c r="E19" s="18" t="s">
        <v>214</v>
      </c>
      <c r="F19" s="14">
        <v>42815</v>
      </c>
      <c r="G19" s="12"/>
      <c r="H19" s="13" t="s">
        <v>2</v>
      </c>
      <c r="I19" s="13" t="s">
        <v>345</v>
      </c>
      <c r="J19" s="13"/>
      <c r="K19" s="13" t="s">
        <v>350</v>
      </c>
      <c r="L19" s="13"/>
      <c r="M19" s="12">
        <v>6</v>
      </c>
      <c r="N19" s="12" t="s">
        <v>351</v>
      </c>
      <c r="O19" s="17" t="s">
        <v>352</v>
      </c>
      <c r="P19" s="17"/>
      <c r="Q19" s="16">
        <v>12.288135593220339</v>
      </c>
      <c r="R19" s="102"/>
      <c r="S19" s="102">
        <v>2.2118644067796609</v>
      </c>
      <c r="T19" s="16"/>
      <c r="U19" s="16"/>
      <c r="V19" s="16"/>
      <c r="W19" s="16"/>
      <c r="X19" s="16"/>
      <c r="Y19" s="16"/>
      <c r="Z19" s="15"/>
      <c r="AA19" s="16">
        <v>14.5</v>
      </c>
      <c r="AB19" s="12"/>
      <c r="AC19" s="12"/>
      <c r="AD19" s="12"/>
      <c r="AE19" s="12"/>
      <c r="AF19" s="12"/>
      <c r="AG19" s="12"/>
      <c r="AH19" s="12"/>
      <c r="AI19" s="12">
        <v>1</v>
      </c>
      <c r="AK19"/>
      <c r="AL19"/>
      <c r="AM19"/>
      <c r="AN19"/>
      <c r="AO19"/>
      <c r="AP19"/>
      <c r="AQ19"/>
      <c r="AR19"/>
      <c r="AS19" s="68">
        <v>12121</v>
      </c>
      <c r="AT19" s="68">
        <v>70111</v>
      </c>
      <c r="AU19" s="68">
        <v>40111</v>
      </c>
      <c r="AV19" s="68"/>
      <c r="AW19" s="69"/>
      <c r="AX19" s="69"/>
      <c r="AY19" s="71">
        <v>10100</v>
      </c>
    </row>
    <row r="20" spans="1:51">
      <c r="A20">
        <v>8</v>
      </c>
      <c r="B20" s="18">
        <v>1</v>
      </c>
      <c r="C20" s="18">
        <v>20170300</v>
      </c>
      <c r="D20" s="18" t="s">
        <v>392</v>
      </c>
      <c r="E20" s="18" t="s">
        <v>217</v>
      </c>
      <c r="F20" s="14">
        <v>42815</v>
      </c>
      <c r="G20" s="12"/>
      <c r="H20" s="13" t="s">
        <v>2</v>
      </c>
      <c r="I20" s="13" t="s">
        <v>345</v>
      </c>
      <c r="J20" s="13"/>
      <c r="K20" s="13" t="s">
        <v>353</v>
      </c>
      <c r="L20" s="13"/>
      <c r="M20" s="12">
        <v>6</v>
      </c>
      <c r="N20" s="12" t="s">
        <v>354</v>
      </c>
      <c r="O20" s="17" t="s">
        <v>355</v>
      </c>
      <c r="P20" s="17"/>
      <c r="Q20" s="16">
        <v>1901.2711864406781</v>
      </c>
      <c r="R20" s="102"/>
      <c r="S20" s="102">
        <v>342.22881355932202</v>
      </c>
      <c r="T20" s="16"/>
      <c r="U20" s="16"/>
      <c r="V20" s="16"/>
      <c r="W20" s="16"/>
      <c r="X20" s="16"/>
      <c r="Y20" s="16"/>
      <c r="Z20" s="88">
        <v>38.025423728813564</v>
      </c>
      <c r="AA20" s="16">
        <v>2281.5254237288136</v>
      </c>
      <c r="AB20" s="12"/>
      <c r="AC20" s="12"/>
      <c r="AD20" s="12"/>
      <c r="AE20" s="12"/>
      <c r="AF20" s="12"/>
      <c r="AG20" s="12"/>
      <c r="AH20" s="12"/>
      <c r="AI20" s="12">
        <v>1</v>
      </c>
      <c r="AK20"/>
      <c r="AL20"/>
      <c r="AM20"/>
      <c r="AN20"/>
      <c r="AO20"/>
      <c r="AP20"/>
      <c r="AQ20"/>
      <c r="AR20"/>
      <c r="AS20" s="68">
        <v>12121</v>
      </c>
      <c r="AT20" s="68">
        <v>70111</v>
      </c>
      <c r="AU20" s="68">
        <v>40111</v>
      </c>
      <c r="AV20" s="68"/>
      <c r="AW20" s="69"/>
      <c r="AX20" s="68">
        <v>40113</v>
      </c>
      <c r="AY20" s="71">
        <v>10100</v>
      </c>
    </row>
    <row r="21" spans="1:51">
      <c r="A21">
        <v>9</v>
      </c>
      <c r="B21" s="18">
        <v>1</v>
      </c>
      <c r="C21" s="18">
        <v>20170300</v>
      </c>
      <c r="D21" s="18" t="s">
        <v>393</v>
      </c>
      <c r="E21" s="18" t="s">
        <v>221</v>
      </c>
      <c r="F21" s="14">
        <v>42816</v>
      </c>
      <c r="G21" s="12"/>
      <c r="H21" s="13" t="s">
        <v>2</v>
      </c>
      <c r="I21" s="13" t="s">
        <v>336</v>
      </c>
      <c r="J21" s="13"/>
      <c r="K21" s="13" t="s">
        <v>356</v>
      </c>
      <c r="L21" s="13"/>
      <c r="M21" s="12">
        <v>6</v>
      </c>
      <c r="N21" s="12" t="s">
        <v>357</v>
      </c>
      <c r="O21" s="17" t="s">
        <v>358</v>
      </c>
      <c r="P21" s="17"/>
      <c r="Q21" s="16">
        <v>11.016949152542374</v>
      </c>
      <c r="R21" s="102"/>
      <c r="S21" s="102">
        <v>1.9830508474576272</v>
      </c>
      <c r="T21" s="16"/>
      <c r="U21" s="16"/>
      <c r="V21" s="16"/>
      <c r="W21" s="16"/>
      <c r="X21" s="16"/>
      <c r="Y21" s="16"/>
      <c r="Z21" s="15"/>
      <c r="AA21" s="16">
        <v>13</v>
      </c>
      <c r="AB21" s="12"/>
      <c r="AC21" s="12"/>
      <c r="AD21" s="12"/>
      <c r="AE21" s="12"/>
      <c r="AF21" s="12"/>
      <c r="AG21" s="12"/>
      <c r="AH21" s="12"/>
      <c r="AI21" s="12">
        <v>1</v>
      </c>
      <c r="AK21"/>
      <c r="AL21"/>
      <c r="AM21"/>
      <c r="AN21"/>
      <c r="AO21"/>
      <c r="AP21"/>
      <c r="AQ21"/>
      <c r="AR21"/>
      <c r="AS21" s="68">
        <v>12121</v>
      </c>
      <c r="AT21" s="68">
        <v>70111</v>
      </c>
      <c r="AU21" s="68">
        <v>40111</v>
      </c>
      <c r="AV21" s="68"/>
      <c r="AW21" s="69"/>
      <c r="AX21" s="68"/>
      <c r="AY21" s="71">
        <v>10100</v>
      </c>
    </row>
    <row r="22" spans="1:51">
      <c r="A22">
        <v>10</v>
      </c>
      <c r="B22" s="18">
        <v>1</v>
      </c>
      <c r="C22" s="18">
        <v>20170300</v>
      </c>
      <c r="D22" s="18" t="s">
        <v>394</v>
      </c>
      <c r="E22" s="18" t="s">
        <v>223</v>
      </c>
      <c r="F22" s="14">
        <v>42816</v>
      </c>
      <c r="G22" s="12"/>
      <c r="H22" s="13" t="s">
        <v>2</v>
      </c>
      <c r="I22" s="13" t="s">
        <v>336</v>
      </c>
      <c r="J22" s="13"/>
      <c r="K22" s="13" t="s">
        <v>359</v>
      </c>
      <c r="L22" s="13"/>
      <c r="M22" s="12">
        <v>6</v>
      </c>
      <c r="N22" s="12" t="s">
        <v>338</v>
      </c>
      <c r="O22" s="17" t="s">
        <v>339</v>
      </c>
      <c r="P22" s="17"/>
      <c r="Q22" s="16">
        <v>5.9322033898305087</v>
      </c>
      <c r="R22" s="102"/>
      <c r="S22" s="102">
        <v>1.0677966101694916</v>
      </c>
      <c r="T22" s="16"/>
      <c r="U22" s="16"/>
      <c r="V22" s="16"/>
      <c r="W22" s="16"/>
      <c r="X22" s="16"/>
      <c r="Y22" s="16"/>
      <c r="Z22" s="15"/>
      <c r="AA22" s="16">
        <v>7</v>
      </c>
      <c r="AB22" s="12"/>
      <c r="AC22" s="12"/>
      <c r="AD22" s="12"/>
      <c r="AE22" s="12"/>
      <c r="AF22" s="12"/>
      <c r="AG22" s="12"/>
      <c r="AH22" s="12"/>
      <c r="AI22" s="12">
        <v>1</v>
      </c>
      <c r="AK22"/>
      <c r="AL22"/>
      <c r="AM22"/>
      <c r="AN22"/>
      <c r="AO22"/>
      <c r="AP22"/>
      <c r="AQ22"/>
      <c r="AR22"/>
      <c r="AS22" s="68">
        <v>12121</v>
      </c>
      <c r="AT22" s="68">
        <v>70111</v>
      </c>
      <c r="AU22" s="68">
        <v>40111</v>
      </c>
      <c r="AV22" s="68"/>
      <c r="AW22" s="69"/>
      <c r="AX22" s="68"/>
      <c r="AY22" s="71">
        <v>10100</v>
      </c>
    </row>
    <row r="23" spans="1:51">
      <c r="A23">
        <v>11</v>
      </c>
      <c r="B23" s="18">
        <v>1</v>
      </c>
      <c r="C23" s="18">
        <v>20170300</v>
      </c>
      <c r="D23" s="18" t="s">
        <v>395</v>
      </c>
      <c r="E23" s="18" t="s">
        <v>228</v>
      </c>
      <c r="F23" s="14">
        <v>42816</v>
      </c>
      <c r="G23" s="12"/>
      <c r="H23" s="13" t="s">
        <v>2</v>
      </c>
      <c r="I23" s="13" t="s">
        <v>336</v>
      </c>
      <c r="J23" s="13"/>
      <c r="K23" s="13" t="s">
        <v>360</v>
      </c>
      <c r="L23" s="13"/>
      <c r="M23" s="12">
        <v>6</v>
      </c>
      <c r="N23" s="12" t="s">
        <v>361</v>
      </c>
      <c r="O23" s="17" t="s">
        <v>362</v>
      </c>
      <c r="P23" s="17"/>
      <c r="Q23" s="16">
        <v>314.40677966101697</v>
      </c>
      <c r="R23" s="102"/>
      <c r="S23" s="102">
        <v>56.593220338983052</v>
      </c>
      <c r="T23" s="16"/>
      <c r="U23" s="16"/>
      <c r="V23" s="16"/>
      <c r="W23" s="16"/>
      <c r="X23" s="16"/>
      <c r="Y23" s="16"/>
      <c r="Z23" s="15"/>
      <c r="AA23" s="16">
        <v>371</v>
      </c>
      <c r="AB23" s="12"/>
      <c r="AC23" s="12"/>
      <c r="AD23" s="12"/>
      <c r="AE23" s="12"/>
      <c r="AF23" s="12"/>
      <c r="AG23" s="12"/>
      <c r="AH23" s="12"/>
      <c r="AI23" s="12">
        <v>1</v>
      </c>
      <c r="AK23"/>
      <c r="AL23"/>
      <c r="AM23"/>
      <c r="AN23"/>
      <c r="AO23"/>
      <c r="AP23"/>
      <c r="AQ23"/>
      <c r="AR23"/>
      <c r="AS23" s="68">
        <v>12121</v>
      </c>
      <c r="AT23" s="68">
        <v>70111</v>
      </c>
      <c r="AU23" s="68">
        <v>40111</v>
      </c>
      <c r="AV23" s="68"/>
      <c r="AW23" s="68"/>
      <c r="AX23" s="68"/>
      <c r="AY23" s="71">
        <v>10100</v>
      </c>
    </row>
    <row r="24" spans="1:51">
      <c r="A24">
        <v>12</v>
      </c>
      <c r="B24" s="18">
        <v>1</v>
      </c>
      <c r="C24" s="18">
        <v>20170300</v>
      </c>
      <c r="D24" s="18" t="s">
        <v>396</v>
      </c>
      <c r="E24" s="18" t="s">
        <v>232</v>
      </c>
      <c r="F24" s="14">
        <v>42817</v>
      </c>
      <c r="G24" s="12"/>
      <c r="H24" s="13" t="s">
        <v>2</v>
      </c>
      <c r="I24" s="13" t="s">
        <v>345</v>
      </c>
      <c r="J24" s="13"/>
      <c r="K24" s="13" t="s">
        <v>363</v>
      </c>
      <c r="L24" s="13"/>
      <c r="M24" s="12">
        <v>6</v>
      </c>
      <c r="N24" s="12" t="s">
        <v>364</v>
      </c>
      <c r="O24" s="17" t="s">
        <v>365</v>
      </c>
      <c r="P24" s="17"/>
      <c r="Q24" s="16">
        <v>588.13559322033905</v>
      </c>
      <c r="R24" s="102"/>
      <c r="S24" s="102">
        <v>105.86440677966102</v>
      </c>
      <c r="T24" s="16"/>
      <c r="U24" s="16"/>
      <c r="V24" s="16"/>
      <c r="W24" s="16"/>
      <c r="X24" s="16"/>
      <c r="Y24" s="16"/>
      <c r="Z24" s="15"/>
      <c r="AA24" s="16">
        <v>694</v>
      </c>
      <c r="AB24" s="12"/>
      <c r="AC24" s="12"/>
      <c r="AD24" s="12"/>
      <c r="AE24" s="12"/>
      <c r="AF24" s="12"/>
      <c r="AG24" s="12"/>
      <c r="AH24" s="12"/>
      <c r="AI24" s="12">
        <v>1</v>
      </c>
      <c r="AK24"/>
      <c r="AL24"/>
      <c r="AM24"/>
      <c r="AN24"/>
      <c r="AO24"/>
      <c r="AP24"/>
      <c r="AQ24"/>
      <c r="AR24"/>
      <c r="AS24" s="68">
        <v>12121</v>
      </c>
      <c r="AT24" s="68">
        <v>70111</v>
      </c>
      <c r="AU24" s="68">
        <v>40111</v>
      </c>
      <c r="AV24" s="68"/>
      <c r="AW24" s="69"/>
      <c r="AX24" s="68"/>
      <c r="AY24" s="71">
        <v>10100</v>
      </c>
    </row>
    <row r="25" spans="1:51">
      <c r="A25">
        <v>13</v>
      </c>
      <c r="B25" s="18">
        <v>1</v>
      </c>
      <c r="C25" s="18">
        <v>20170300</v>
      </c>
      <c r="D25" s="18" t="s">
        <v>397</v>
      </c>
      <c r="E25" s="18" t="s">
        <v>235</v>
      </c>
      <c r="F25" s="14">
        <v>42817</v>
      </c>
      <c r="G25" s="12"/>
      <c r="H25" s="13" t="s">
        <v>2</v>
      </c>
      <c r="I25" s="13" t="s">
        <v>345</v>
      </c>
      <c r="J25" s="13"/>
      <c r="K25" s="13" t="s">
        <v>366</v>
      </c>
      <c r="L25" s="13"/>
      <c r="M25" s="12">
        <v>6</v>
      </c>
      <c r="N25" s="12" t="s">
        <v>367</v>
      </c>
      <c r="O25" s="17" t="s">
        <v>368</v>
      </c>
      <c r="P25" s="17"/>
      <c r="Q25" s="16">
        <v>447.4576271186441</v>
      </c>
      <c r="R25" s="102"/>
      <c r="S25" s="102">
        <v>80.542372881355931</v>
      </c>
      <c r="T25" s="16"/>
      <c r="U25" s="16"/>
      <c r="V25" s="16"/>
      <c r="W25" s="16"/>
      <c r="X25" s="16"/>
      <c r="Y25" s="16"/>
      <c r="Z25" s="15"/>
      <c r="AA25" s="16">
        <v>528</v>
      </c>
      <c r="AB25" s="12"/>
      <c r="AC25" s="12"/>
      <c r="AD25" s="12"/>
      <c r="AE25" s="12"/>
      <c r="AF25" s="12"/>
      <c r="AG25" s="12"/>
      <c r="AH25" s="12"/>
      <c r="AI25" s="12">
        <v>1</v>
      </c>
      <c r="AK25"/>
      <c r="AL25"/>
      <c r="AM25"/>
      <c r="AN25"/>
      <c r="AO25"/>
      <c r="AP25"/>
      <c r="AQ25"/>
      <c r="AR25"/>
      <c r="AS25" s="68">
        <v>12121</v>
      </c>
      <c r="AT25" s="68">
        <v>70111</v>
      </c>
      <c r="AU25" s="68">
        <v>40111</v>
      </c>
      <c r="AV25" s="68"/>
      <c r="AW25" s="69"/>
      <c r="AX25" s="68"/>
      <c r="AY25" s="71">
        <v>10100</v>
      </c>
    </row>
    <row r="26" spans="1:51">
      <c r="A26">
        <v>14</v>
      </c>
      <c r="B26" s="18">
        <v>1</v>
      </c>
      <c r="C26" s="18">
        <v>20170300</v>
      </c>
      <c r="D26" s="18" t="s">
        <v>398</v>
      </c>
      <c r="E26" s="18" t="s">
        <v>240</v>
      </c>
      <c r="F26" s="14">
        <v>42818</v>
      </c>
      <c r="G26" s="12"/>
      <c r="H26" s="13" t="s">
        <v>2</v>
      </c>
      <c r="I26" s="13" t="s">
        <v>336</v>
      </c>
      <c r="J26" s="13"/>
      <c r="K26" s="13" t="s">
        <v>369</v>
      </c>
      <c r="L26" s="13"/>
      <c r="M26" s="12">
        <v>6</v>
      </c>
      <c r="N26" s="12" t="s">
        <v>370</v>
      </c>
      <c r="O26" s="17" t="s">
        <v>371</v>
      </c>
      <c r="P26" s="17"/>
      <c r="Q26" s="16">
        <v>22.033898305084747</v>
      </c>
      <c r="R26" s="102"/>
      <c r="S26" s="102">
        <v>3.9661016949152543</v>
      </c>
      <c r="T26" s="16"/>
      <c r="U26" s="16"/>
      <c r="V26" s="16"/>
      <c r="W26" s="16"/>
      <c r="X26" s="16"/>
      <c r="Y26" s="16"/>
      <c r="Z26" s="15"/>
      <c r="AA26" s="16">
        <v>26</v>
      </c>
      <c r="AB26" s="12"/>
      <c r="AC26" s="12"/>
      <c r="AD26" s="12"/>
      <c r="AE26" s="12"/>
      <c r="AF26" s="12"/>
      <c r="AG26" s="12"/>
      <c r="AH26" s="12"/>
      <c r="AI26" s="12">
        <v>1</v>
      </c>
      <c r="AK26"/>
      <c r="AL26"/>
      <c r="AM26"/>
      <c r="AN26"/>
      <c r="AO26"/>
      <c r="AP26"/>
      <c r="AQ26"/>
      <c r="AR26"/>
      <c r="AS26" s="68">
        <v>12121</v>
      </c>
      <c r="AT26" s="68">
        <v>70111</v>
      </c>
      <c r="AU26" s="68">
        <v>40111</v>
      </c>
      <c r="AV26" s="68"/>
      <c r="AW26" s="69"/>
      <c r="AX26" s="69"/>
      <c r="AY26" s="71">
        <v>10100</v>
      </c>
    </row>
    <row r="27" spans="1:51">
      <c r="A27">
        <v>15</v>
      </c>
      <c r="B27" s="18">
        <v>1</v>
      </c>
      <c r="C27" s="18">
        <v>20170300</v>
      </c>
      <c r="D27" s="18" t="s">
        <v>399</v>
      </c>
      <c r="E27" s="18" t="s">
        <v>244</v>
      </c>
      <c r="F27" s="14">
        <v>42818</v>
      </c>
      <c r="G27" s="12"/>
      <c r="H27" s="13" t="s">
        <v>2</v>
      </c>
      <c r="I27" s="13" t="s">
        <v>336</v>
      </c>
      <c r="J27" s="13"/>
      <c r="K27" s="13" t="s">
        <v>372</v>
      </c>
      <c r="L27" s="13"/>
      <c r="M27" s="12">
        <v>6</v>
      </c>
      <c r="N27" s="12" t="s">
        <v>338</v>
      </c>
      <c r="O27" s="17" t="s">
        <v>339</v>
      </c>
      <c r="P27" s="17"/>
      <c r="Q27" s="16">
        <v>307.62711864406782</v>
      </c>
      <c r="R27" s="102"/>
      <c r="S27" s="102">
        <v>55.372881355932208</v>
      </c>
      <c r="T27" s="16"/>
      <c r="U27" s="16"/>
      <c r="V27" s="16"/>
      <c r="W27" s="16"/>
      <c r="X27" s="16"/>
      <c r="Y27" s="16"/>
      <c r="Z27" s="88">
        <v>6.1525423728813564</v>
      </c>
      <c r="AA27" s="16">
        <v>369.15254237288138</v>
      </c>
      <c r="AB27" s="12"/>
      <c r="AC27" s="12"/>
      <c r="AD27" s="12"/>
      <c r="AE27" s="12"/>
      <c r="AF27" s="12"/>
      <c r="AG27" s="12"/>
      <c r="AH27" s="12"/>
      <c r="AI27" s="12">
        <v>1</v>
      </c>
      <c r="AK27"/>
      <c r="AL27"/>
      <c r="AM27"/>
      <c r="AN27"/>
      <c r="AO27"/>
      <c r="AP27"/>
      <c r="AQ27"/>
      <c r="AR27"/>
      <c r="AS27" s="68">
        <v>12121</v>
      </c>
      <c r="AT27" s="68">
        <v>70111</v>
      </c>
      <c r="AU27" s="68">
        <v>40111</v>
      </c>
      <c r="AV27" s="68"/>
      <c r="AW27" s="68"/>
      <c r="AX27" s="68">
        <v>40113</v>
      </c>
      <c r="AY27" s="71">
        <v>10100</v>
      </c>
    </row>
    <row r="28" spans="1:51">
      <c r="A28">
        <v>16</v>
      </c>
      <c r="B28" s="18">
        <v>1</v>
      </c>
      <c r="C28" s="18">
        <v>20170300</v>
      </c>
      <c r="D28" s="18" t="s">
        <v>400</v>
      </c>
      <c r="E28" s="18" t="s">
        <v>249</v>
      </c>
      <c r="F28" s="14">
        <v>42818</v>
      </c>
      <c r="G28" s="12"/>
      <c r="H28" s="13" t="s">
        <v>2</v>
      </c>
      <c r="I28" s="13" t="s">
        <v>336</v>
      </c>
      <c r="J28" s="13"/>
      <c r="K28" s="13" t="s">
        <v>373</v>
      </c>
      <c r="L28" s="13"/>
      <c r="M28" s="12">
        <v>6</v>
      </c>
      <c r="N28" s="12" t="s">
        <v>338</v>
      </c>
      <c r="O28" s="17" t="s">
        <v>339</v>
      </c>
      <c r="P28" s="17"/>
      <c r="Q28" s="16">
        <v>54.237288135593225</v>
      </c>
      <c r="R28" s="102"/>
      <c r="S28" s="102">
        <v>9.7627118644067803</v>
      </c>
      <c r="T28" s="16"/>
      <c r="U28" s="16"/>
      <c r="V28" s="16"/>
      <c r="W28" s="16"/>
      <c r="X28" s="16"/>
      <c r="Y28" s="16"/>
      <c r="Z28" s="88"/>
      <c r="AA28" s="16">
        <v>64</v>
      </c>
      <c r="AB28" s="12"/>
      <c r="AC28" s="12"/>
      <c r="AD28" s="12"/>
      <c r="AE28" s="12"/>
      <c r="AF28" s="12"/>
      <c r="AG28" s="12"/>
      <c r="AH28" s="12"/>
      <c r="AI28" s="12">
        <v>1</v>
      </c>
      <c r="AK28"/>
      <c r="AL28"/>
      <c r="AM28"/>
      <c r="AN28"/>
      <c r="AO28"/>
      <c r="AP28"/>
      <c r="AQ28"/>
      <c r="AR28"/>
      <c r="AS28" s="68">
        <v>12121</v>
      </c>
      <c r="AT28" s="68">
        <v>70111</v>
      </c>
      <c r="AU28" s="68">
        <v>40111</v>
      </c>
      <c r="AV28" s="68"/>
      <c r="AW28" s="68"/>
      <c r="AX28" s="68"/>
      <c r="AY28" s="71">
        <v>10100</v>
      </c>
    </row>
    <row r="29" spans="1:51">
      <c r="A29">
        <v>17</v>
      </c>
      <c r="B29" s="18">
        <v>1</v>
      </c>
      <c r="C29" s="18">
        <v>20170300</v>
      </c>
      <c r="D29" s="18" t="s">
        <v>401</v>
      </c>
      <c r="E29" s="18" t="s">
        <v>253</v>
      </c>
      <c r="F29" s="14">
        <v>42821</v>
      </c>
      <c r="G29" s="12"/>
      <c r="H29" s="13" t="s">
        <v>2</v>
      </c>
      <c r="I29" s="13" t="s">
        <v>345</v>
      </c>
      <c r="J29" s="13"/>
      <c r="K29" s="13" t="s">
        <v>374</v>
      </c>
      <c r="L29" s="13"/>
      <c r="M29" s="12">
        <v>6</v>
      </c>
      <c r="N29" s="12" t="s">
        <v>375</v>
      </c>
      <c r="O29" s="17" t="s">
        <v>376</v>
      </c>
      <c r="P29" s="17"/>
      <c r="Q29" s="16">
        <v>11.016949152542374</v>
      </c>
      <c r="R29" s="102"/>
      <c r="S29" s="102">
        <v>1.9830508474576272</v>
      </c>
      <c r="T29" s="16"/>
      <c r="U29" s="16"/>
      <c r="V29" s="16"/>
      <c r="W29" s="16"/>
      <c r="X29" s="16"/>
      <c r="Y29" s="16"/>
      <c r="Z29" s="88"/>
      <c r="AA29" s="16">
        <v>13</v>
      </c>
      <c r="AB29" s="12"/>
      <c r="AC29" s="12"/>
      <c r="AD29" s="12"/>
      <c r="AE29" s="12"/>
      <c r="AF29" s="12"/>
      <c r="AG29" s="12"/>
      <c r="AH29" s="12"/>
      <c r="AI29" s="12">
        <v>1</v>
      </c>
      <c r="AK29"/>
      <c r="AL29"/>
      <c r="AM29"/>
      <c r="AN29"/>
      <c r="AO29"/>
      <c r="AP29"/>
      <c r="AQ29"/>
      <c r="AR29"/>
      <c r="AS29" s="68">
        <v>12121</v>
      </c>
      <c r="AT29" s="68">
        <v>70111</v>
      </c>
      <c r="AU29" s="68">
        <v>40111</v>
      </c>
      <c r="AV29" s="68"/>
      <c r="AW29" s="69"/>
      <c r="AX29" s="68"/>
      <c r="AY29" s="71">
        <v>10100</v>
      </c>
    </row>
    <row r="30" spans="1:51">
      <c r="A30">
        <v>18</v>
      </c>
      <c r="B30" s="18">
        <v>1</v>
      </c>
      <c r="C30" s="18">
        <v>20170300</v>
      </c>
      <c r="D30" s="18" t="s">
        <v>402</v>
      </c>
      <c r="E30" s="18" t="s">
        <v>256</v>
      </c>
      <c r="F30" s="14">
        <v>42823</v>
      </c>
      <c r="G30" s="12"/>
      <c r="H30" s="13" t="s">
        <v>2</v>
      </c>
      <c r="I30" s="13" t="s">
        <v>336</v>
      </c>
      <c r="J30" s="13"/>
      <c r="K30" s="13" t="s">
        <v>377</v>
      </c>
      <c r="L30" s="13"/>
      <c r="M30" s="12">
        <v>6</v>
      </c>
      <c r="N30" s="12" t="s">
        <v>378</v>
      </c>
      <c r="O30" s="17" t="s">
        <v>379</v>
      </c>
      <c r="P30" s="17"/>
      <c r="Q30" s="16">
        <v>25</v>
      </c>
      <c r="R30" s="102"/>
      <c r="S30" s="102">
        <v>4.5</v>
      </c>
      <c r="T30" s="16"/>
      <c r="U30" s="16"/>
      <c r="V30" s="16"/>
      <c r="W30" s="16"/>
      <c r="X30" s="16"/>
      <c r="Y30" s="16"/>
      <c r="Z30" s="88"/>
      <c r="AA30" s="16">
        <v>29.5</v>
      </c>
      <c r="AB30" s="12"/>
      <c r="AC30" s="12"/>
      <c r="AD30" s="12"/>
      <c r="AE30" s="12"/>
      <c r="AF30" s="12"/>
      <c r="AG30" s="12"/>
      <c r="AH30" s="12"/>
      <c r="AI30" s="12">
        <v>1</v>
      </c>
      <c r="AK30"/>
      <c r="AL30"/>
      <c r="AM30"/>
      <c r="AN30"/>
      <c r="AO30"/>
      <c r="AP30"/>
      <c r="AQ30"/>
      <c r="AR30"/>
      <c r="AS30" s="68">
        <v>12121</v>
      </c>
      <c r="AT30" s="68">
        <v>70111</v>
      </c>
      <c r="AU30" s="68">
        <v>40111</v>
      </c>
      <c r="AV30" s="68"/>
      <c r="AW30" s="69"/>
      <c r="AX30" s="68"/>
      <c r="AY30" s="71">
        <v>10100</v>
      </c>
    </row>
    <row r="31" spans="1:51">
      <c r="A31">
        <v>19</v>
      </c>
      <c r="B31" s="18">
        <v>1</v>
      </c>
      <c r="C31" s="18">
        <v>20170300</v>
      </c>
      <c r="D31" s="18" t="s">
        <v>403</v>
      </c>
      <c r="E31" s="18" t="s">
        <v>259</v>
      </c>
      <c r="F31" s="14">
        <v>42824</v>
      </c>
      <c r="G31" s="12"/>
      <c r="H31" s="13" t="s">
        <v>2</v>
      </c>
      <c r="I31" s="13" t="s">
        <v>345</v>
      </c>
      <c r="J31" s="13"/>
      <c r="K31" s="13" t="s">
        <v>380</v>
      </c>
      <c r="L31" s="13"/>
      <c r="M31" s="12">
        <v>6</v>
      </c>
      <c r="N31" s="12" t="s">
        <v>381</v>
      </c>
      <c r="O31" s="17" t="s">
        <v>382</v>
      </c>
      <c r="P31" s="17"/>
      <c r="Q31" s="16">
        <v>444.06779661016952</v>
      </c>
      <c r="R31" s="102"/>
      <c r="S31" s="102">
        <v>79.932203389830505</v>
      </c>
      <c r="T31" s="16"/>
      <c r="U31" s="16"/>
      <c r="V31" s="16"/>
      <c r="W31" s="16"/>
      <c r="X31" s="16"/>
      <c r="Y31" s="16"/>
      <c r="Z31" s="88">
        <v>8.881355932203391</v>
      </c>
      <c r="AA31" s="16">
        <v>532.88135593220341</v>
      </c>
      <c r="AB31" s="12"/>
      <c r="AC31" s="12"/>
      <c r="AD31" s="12"/>
      <c r="AE31" s="12"/>
      <c r="AF31" s="12"/>
      <c r="AG31" s="12"/>
      <c r="AH31" s="12"/>
      <c r="AI31" s="12">
        <v>1</v>
      </c>
      <c r="AK31"/>
      <c r="AL31"/>
      <c r="AM31"/>
      <c r="AN31"/>
      <c r="AO31"/>
      <c r="AP31"/>
      <c r="AQ31"/>
      <c r="AR31"/>
      <c r="AS31" s="68">
        <v>12121</v>
      </c>
      <c r="AT31" s="68">
        <v>70111</v>
      </c>
      <c r="AU31" s="68">
        <v>40111</v>
      </c>
      <c r="AV31" s="68"/>
      <c r="AW31" s="69"/>
      <c r="AX31" s="68">
        <v>40113</v>
      </c>
      <c r="AY31" s="71">
        <v>10100</v>
      </c>
    </row>
    <row r="32" spans="1:51">
      <c r="A32">
        <v>20</v>
      </c>
      <c r="B32" s="18">
        <v>1</v>
      </c>
      <c r="C32" s="18">
        <v>20170300</v>
      </c>
      <c r="D32" s="18" t="s">
        <v>404</v>
      </c>
      <c r="E32" s="18" t="s">
        <v>262</v>
      </c>
      <c r="F32" s="14">
        <v>42824</v>
      </c>
      <c r="G32" s="12"/>
      <c r="H32" s="13" t="s">
        <v>2</v>
      </c>
      <c r="I32" s="13" t="s">
        <v>345</v>
      </c>
      <c r="J32" s="13"/>
      <c r="K32" s="13" t="s">
        <v>383</v>
      </c>
      <c r="L32" s="13"/>
      <c r="M32" s="12">
        <v>6</v>
      </c>
      <c r="N32" s="12" t="s">
        <v>384</v>
      </c>
      <c r="O32" s="17" t="s">
        <v>385</v>
      </c>
      <c r="P32" s="17"/>
      <c r="Q32" s="16">
        <v>64.406779661016955</v>
      </c>
      <c r="R32" s="102"/>
      <c r="S32" s="102">
        <v>11.593220338983052</v>
      </c>
      <c r="T32" s="16"/>
      <c r="U32" s="16"/>
      <c r="V32" s="16"/>
      <c r="W32" s="16"/>
      <c r="X32" s="16"/>
      <c r="Y32" s="16"/>
      <c r="Z32" s="15"/>
      <c r="AA32" s="16">
        <v>76</v>
      </c>
      <c r="AB32" s="12"/>
      <c r="AC32" s="12"/>
      <c r="AD32" s="12"/>
      <c r="AE32" s="12"/>
      <c r="AF32" s="12"/>
      <c r="AG32" s="12"/>
      <c r="AH32" s="12"/>
      <c r="AI32" s="12">
        <v>1</v>
      </c>
      <c r="AK32"/>
      <c r="AL32"/>
      <c r="AM32"/>
      <c r="AN32"/>
      <c r="AO32"/>
      <c r="AP32"/>
      <c r="AQ32"/>
      <c r="AR32"/>
      <c r="AS32" s="68">
        <v>12121</v>
      </c>
      <c r="AT32" s="68">
        <v>70111</v>
      </c>
      <c r="AU32" s="68">
        <v>40111</v>
      </c>
      <c r="AV32" s="68"/>
      <c r="AW32" s="69"/>
      <c r="AX32" s="69"/>
      <c r="AY32" s="71">
        <v>10100</v>
      </c>
    </row>
    <row r="33" spans="2:51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 s="101"/>
      <c r="S33" s="101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K33"/>
      <c r="AL33"/>
      <c r="AM33"/>
      <c r="AN33"/>
      <c r="AO33"/>
      <c r="AP33"/>
      <c r="AQ33"/>
      <c r="AR33"/>
      <c r="AS33" s="68"/>
      <c r="AT33" s="68"/>
      <c r="AU33" s="68"/>
      <c r="AV33" s="68"/>
      <c r="AW33" s="69"/>
      <c r="AX33" s="68"/>
      <c r="AY33" s="71"/>
    </row>
    <row r="34" spans="2:51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 s="101"/>
      <c r="S34" s="101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K34"/>
      <c r="AL34"/>
      <c r="AM34"/>
      <c r="AN34"/>
      <c r="AO34"/>
      <c r="AP34"/>
      <c r="AQ34"/>
      <c r="AR34"/>
      <c r="AS34" s="68"/>
      <c r="AT34" s="68"/>
      <c r="AU34" s="68"/>
      <c r="AV34" s="68"/>
      <c r="AW34" s="69"/>
      <c r="AX34" s="69"/>
      <c r="AY34" s="71"/>
    </row>
    <row r="35" spans="2:51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 s="101"/>
      <c r="S35" s="101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K35"/>
      <c r="AL35"/>
      <c r="AM35"/>
      <c r="AN35"/>
      <c r="AO35"/>
      <c r="AP35"/>
      <c r="AQ35"/>
      <c r="AR35"/>
      <c r="AS35" s="68"/>
      <c r="AT35" s="68"/>
      <c r="AU35" s="68"/>
      <c r="AV35" s="68"/>
      <c r="AW35" s="68"/>
      <c r="AX35" s="68"/>
      <c r="AY35" s="71"/>
    </row>
    <row r="36" spans="2:51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 s="101"/>
      <c r="S36" s="101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K36"/>
      <c r="AL36"/>
      <c r="AM36"/>
      <c r="AN36"/>
      <c r="AO36"/>
      <c r="AP36"/>
      <c r="AQ36"/>
      <c r="AR36"/>
      <c r="AS36" s="68"/>
      <c r="AT36" s="68"/>
      <c r="AU36" s="68"/>
      <c r="AV36" s="68"/>
      <c r="AW36" s="69"/>
      <c r="AX36" s="68"/>
      <c r="AY36" s="71"/>
    </row>
    <row r="37" spans="2:51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 s="101"/>
      <c r="S37" s="101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K37"/>
      <c r="AL37"/>
      <c r="AM37"/>
      <c r="AN37"/>
      <c r="AO37"/>
      <c r="AP37"/>
      <c r="AQ37"/>
      <c r="AR37"/>
      <c r="AS37" s="68"/>
      <c r="AT37" s="68"/>
      <c r="AU37" s="68"/>
      <c r="AV37" s="68"/>
      <c r="AW37" s="69"/>
      <c r="AX37" s="68"/>
      <c r="AY37" s="71"/>
    </row>
    <row r="38" spans="2:51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 s="101"/>
      <c r="S38" s="101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K38"/>
      <c r="AL38"/>
      <c r="AM38"/>
      <c r="AN38"/>
      <c r="AO38"/>
      <c r="AP38"/>
      <c r="AQ38"/>
      <c r="AR38"/>
      <c r="AS38" s="68"/>
      <c r="AT38" s="68"/>
      <c r="AU38" s="68"/>
      <c r="AV38" s="68"/>
      <c r="AW38" s="69"/>
      <c r="AX38" s="68"/>
      <c r="AY38" s="71"/>
    </row>
    <row r="39" spans="2:51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 s="101"/>
      <c r="S39" s="101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K39"/>
      <c r="AL39"/>
      <c r="AM39"/>
      <c r="AN39"/>
      <c r="AO39"/>
      <c r="AP39"/>
      <c r="AQ39"/>
      <c r="AR39"/>
      <c r="AS39" s="68"/>
      <c r="AT39" s="68"/>
      <c r="AU39" s="68"/>
      <c r="AV39" s="68"/>
      <c r="AW39" s="68"/>
      <c r="AX39" s="68"/>
      <c r="AY39" s="71"/>
    </row>
    <row r="40" spans="2:51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 s="101"/>
      <c r="S40" s="101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K40"/>
      <c r="AL40"/>
      <c r="AM40"/>
      <c r="AN40"/>
      <c r="AO40"/>
      <c r="AP40"/>
      <c r="AQ40"/>
      <c r="AR40"/>
      <c r="AS40" s="68"/>
      <c r="AT40" s="68"/>
      <c r="AU40" s="68"/>
      <c r="AV40" s="68"/>
      <c r="AW40" s="69"/>
      <c r="AX40" s="68"/>
      <c r="AY40" s="71"/>
    </row>
    <row r="41" spans="2:51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 s="101"/>
      <c r="S41" s="10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K41"/>
      <c r="AL41"/>
      <c r="AM41"/>
      <c r="AN41"/>
      <c r="AO41"/>
      <c r="AP41"/>
      <c r="AQ41"/>
      <c r="AR41"/>
      <c r="AS41" s="68"/>
      <c r="AT41" s="68"/>
      <c r="AU41" s="68"/>
      <c r="AV41" s="68"/>
      <c r="AW41" s="69"/>
      <c r="AX41" s="68"/>
      <c r="AY41" s="71"/>
    </row>
    <row r="42" spans="2:51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 s="101"/>
      <c r="S42" s="101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K42"/>
      <c r="AL42"/>
      <c r="AM42"/>
      <c r="AN42"/>
      <c r="AO42"/>
      <c r="AP42"/>
      <c r="AQ42"/>
      <c r="AR42"/>
      <c r="AS42" s="68"/>
      <c r="AT42" s="68"/>
      <c r="AU42" s="68"/>
      <c r="AV42" s="68"/>
      <c r="AW42" s="69"/>
      <c r="AX42" s="68"/>
      <c r="AY42" s="71"/>
    </row>
    <row r="43" spans="2:51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 s="101"/>
      <c r="S43" s="101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K43"/>
      <c r="AL43"/>
      <c r="AM43"/>
      <c r="AN43"/>
      <c r="AO43"/>
      <c r="AP43"/>
      <c r="AQ43"/>
      <c r="AR43"/>
      <c r="AS43" s="68"/>
      <c r="AT43" s="68"/>
      <c r="AU43" s="68"/>
      <c r="AV43" s="68"/>
      <c r="AW43" s="69"/>
      <c r="AX43" s="68"/>
      <c r="AY43" s="71"/>
    </row>
    <row r="44" spans="2:51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 s="101"/>
      <c r="S44" s="101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K44"/>
      <c r="AL44"/>
      <c r="AM44"/>
      <c r="AN44"/>
      <c r="AO44"/>
      <c r="AP44"/>
      <c r="AQ44"/>
      <c r="AR44"/>
      <c r="AS44" s="68"/>
      <c r="AT44" s="68"/>
      <c r="AU44" s="68"/>
      <c r="AV44" s="68"/>
      <c r="AW44" s="68"/>
      <c r="AX44" s="68"/>
      <c r="AY44" s="71"/>
    </row>
    <row r="45" spans="2:51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 s="101"/>
      <c r="S45" s="101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K45"/>
      <c r="AL45"/>
      <c r="AM45"/>
      <c r="AN45"/>
      <c r="AO45"/>
      <c r="AP45"/>
      <c r="AQ45"/>
      <c r="AR45"/>
      <c r="AS45" s="68"/>
      <c r="AT45" s="68"/>
      <c r="AU45" s="68"/>
      <c r="AV45" s="68"/>
      <c r="AW45" s="69"/>
      <c r="AX45" s="68"/>
      <c r="AY45" s="71"/>
    </row>
    <row r="46" spans="2:51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 s="101"/>
      <c r="S46" s="101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K46"/>
      <c r="AL46"/>
      <c r="AM46"/>
      <c r="AN46"/>
      <c r="AO46"/>
      <c r="AP46"/>
      <c r="AQ46"/>
      <c r="AR46"/>
      <c r="AS46" s="68"/>
      <c r="AT46" s="68"/>
      <c r="AU46" s="68"/>
      <c r="AV46" s="68"/>
      <c r="AW46" s="69"/>
      <c r="AX46" s="69"/>
      <c r="AY46" s="71"/>
    </row>
    <row r="47" spans="2:51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 s="101"/>
      <c r="S47" s="101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K47"/>
      <c r="AL47"/>
      <c r="AM47"/>
      <c r="AN47"/>
      <c r="AO47"/>
      <c r="AP47"/>
      <c r="AQ47"/>
      <c r="AR47"/>
      <c r="AS47" s="68"/>
      <c r="AT47" s="68"/>
      <c r="AU47" s="68"/>
      <c r="AV47" s="68"/>
      <c r="AW47" s="69"/>
      <c r="AX47" s="69"/>
      <c r="AY47" s="71"/>
    </row>
    <row r="48" spans="2:51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 s="101"/>
      <c r="S48" s="101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K48"/>
      <c r="AL48"/>
      <c r="AM48"/>
      <c r="AN48"/>
      <c r="AO48"/>
      <c r="AP48"/>
      <c r="AQ48"/>
      <c r="AR48"/>
      <c r="AS48" s="68"/>
      <c r="AT48" s="68"/>
      <c r="AU48" s="68"/>
      <c r="AV48" s="68"/>
      <c r="AW48" s="68"/>
      <c r="AX48" s="69"/>
      <c r="AY48" s="71"/>
    </row>
    <row r="49" spans="2:51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 s="101"/>
      <c r="S49" s="101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K49"/>
      <c r="AL49"/>
      <c r="AM49"/>
      <c r="AN49"/>
      <c r="AO49"/>
      <c r="AP49"/>
      <c r="AQ49"/>
      <c r="AR49"/>
      <c r="AS49" s="68"/>
      <c r="AT49" s="68"/>
      <c r="AU49" s="68"/>
      <c r="AV49" s="68"/>
      <c r="AW49" s="68"/>
      <c r="AX49" s="69"/>
      <c r="AY49" s="71"/>
    </row>
    <row r="50" spans="2:51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 s="101"/>
      <c r="S50" s="101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K50"/>
      <c r="AL50"/>
      <c r="AM50"/>
      <c r="AN50"/>
      <c r="AO50"/>
      <c r="AP50"/>
      <c r="AQ50"/>
      <c r="AR50"/>
      <c r="AS50" s="68"/>
      <c r="AT50" s="68"/>
      <c r="AU50" s="68"/>
      <c r="AV50" s="68"/>
      <c r="AW50" s="69"/>
      <c r="AX50" s="69"/>
      <c r="AY50" s="71"/>
    </row>
    <row r="51" spans="2:51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 s="101"/>
      <c r="S51" s="10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K51"/>
      <c r="AL51"/>
      <c r="AM51"/>
      <c r="AN51"/>
      <c r="AO51"/>
      <c r="AP51"/>
      <c r="AQ51"/>
      <c r="AR51"/>
      <c r="AS51" s="68"/>
      <c r="AT51" s="68"/>
      <c r="AU51" s="68"/>
      <c r="AV51" s="68"/>
      <c r="AW51" s="69"/>
      <c r="AX51" s="69"/>
      <c r="AY51" s="71"/>
    </row>
    <row r="52" spans="2:51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 s="101"/>
      <c r="S52" s="101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K52"/>
      <c r="AL52"/>
      <c r="AM52"/>
      <c r="AN52"/>
      <c r="AO52"/>
      <c r="AP52"/>
      <c r="AQ52"/>
      <c r="AR52"/>
      <c r="AS52" s="68"/>
      <c r="AT52" s="68"/>
      <c r="AU52" s="68"/>
      <c r="AV52" s="68"/>
      <c r="AW52" s="69"/>
      <c r="AX52" s="69"/>
      <c r="AY52" s="71"/>
    </row>
    <row r="53" spans="2:51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 s="101"/>
      <c r="S53" s="101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K53"/>
      <c r="AL53"/>
      <c r="AM53"/>
      <c r="AN53"/>
      <c r="AO53"/>
      <c r="AP53"/>
      <c r="AQ53"/>
      <c r="AR53"/>
      <c r="AS53" s="68"/>
      <c r="AT53" s="68"/>
      <c r="AU53" s="68"/>
      <c r="AV53" s="68"/>
      <c r="AW53" s="69"/>
      <c r="AX53" s="69"/>
      <c r="AY53" s="71"/>
    </row>
    <row r="54" spans="2:51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 s="101"/>
      <c r="S54" s="101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K54"/>
      <c r="AL54"/>
      <c r="AM54"/>
      <c r="AN54"/>
      <c r="AO54"/>
      <c r="AP54"/>
      <c r="AQ54"/>
      <c r="AR54"/>
      <c r="AS54" s="68"/>
      <c r="AT54" s="68"/>
      <c r="AU54" s="68"/>
      <c r="AV54" s="68"/>
      <c r="AW54" s="69"/>
      <c r="AX54" s="69"/>
      <c r="AY54" s="71"/>
    </row>
    <row r="55" spans="2:51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 s="101"/>
      <c r="S55" s="101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K55"/>
      <c r="AL55"/>
      <c r="AM55"/>
      <c r="AN55"/>
      <c r="AO55"/>
      <c r="AP55"/>
      <c r="AQ55"/>
      <c r="AR55"/>
      <c r="AS55" s="68"/>
      <c r="AT55" s="68"/>
      <c r="AU55" s="68"/>
      <c r="AV55" s="68"/>
      <c r="AW55" s="68"/>
      <c r="AX55" s="69"/>
      <c r="AY55" s="71"/>
    </row>
    <row r="56" spans="2:51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 s="101"/>
      <c r="S56" s="101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K56"/>
      <c r="AL56"/>
      <c r="AM56"/>
      <c r="AN56"/>
      <c r="AO56"/>
      <c r="AP56"/>
      <c r="AQ56"/>
      <c r="AR56"/>
      <c r="AS56" s="68"/>
      <c r="AT56" s="68"/>
      <c r="AU56" s="68"/>
      <c r="AV56" s="68"/>
      <c r="AW56" s="69"/>
      <c r="AX56" s="69"/>
      <c r="AY56" s="71"/>
    </row>
    <row r="57" spans="2:51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 s="101"/>
      <c r="S57" s="101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K57"/>
      <c r="AL57"/>
      <c r="AM57"/>
      <c r="AN57"/>
      <c r="AO57"/>
      <c r="AP57"/>
      <c r="AQ57"/>
      <c r="AR57"/>
      <c r="AS57" s="68"/>
      <c r="AT57" s="68"/>
      <c r="AU57" s="68"/>
      <c r="AV57" s="68"/>
      <c r="AW57" s="69"/>
      <c r="AX57" s="69"/>
      <c r="AY57" s="71"/>
    </row>
    <row r="58" spans="2:51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 s="101"/>
      <c r="S58" s="101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K58"/>
      <c r="AL58"/>
      <c r="AM58"/>
      <c r="AN58"/>
      <c r="AO58"/>
      <c r="AP58"/>
      <c r="AQ58"/>
      <c r="AR58"/>
      <c r="AS58" s="68"/>
      <c r="AT58" s="68"/>
      <c r="AU58" s="68"/>
      <c r="AV58" s="68"/>
      <c r="AW58" s="69"/>
      <c r="AX58" s="69"/>
      <c r="AY58" s="71"/>
    </row>
    <row r="59" spans="2:51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 s="101"/>
      <c r="S59" s="101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K59"/>
      <c r="AL59"/>
      <c r="AM59"/>
      <c r="AN59"/>
      <c r="AO59"/>
      <c r="AP59"/>
      <c r="AQ59"/>
      <c r="AR59"/>
      <c r="AS59" s="68"/>
      <c r="AT59" s="68"/>
      <c r="AU59" s="68"/>
      <c r="AV59" s="68"/>
      <c r="AW59" s="68"/>
      <c r="AX59" s="69"/>
      <c r="AY59" s="71"/>
    </row>
    <row r="60" spans="2:51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 s="101"/>
      <c r="S60" s="101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K60"/>
      <c r="AL60"/>
      <c r="AM60"/>
      <c r="AN60"/>
      <c r="AO60"/>
      <c r="AP60"/>
      <c r="AQ60"/>
      <c r="AR60"/>
      <c r="AS60" s="68"/>
      <c r="AT60" s="68"/>
      <c r="AU60" s="68"/>
      <c r="AV60" s="68"/>
      <c r="AW60" s="69"/>
      <c r="AX60" s="69"/>
      <c r="AY60" s="71"/>
    </row>
    <row r="61" spans="2:51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 s="101"/>
      <c r="S61" s="10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K61"/>
      <c r="AL61"/>
      <c r="AM61"/>
      <c r="AN61"/>
      <c r="AO61"/>
      <c r="AP61"/>
      <c r="AQ61"/>
      <c r="AR61"/>
      <c r="AS61" s="68"/>
      <c r="AT61" s="68"/>
      <c r="AU61" s="68"/>
      <c r="AV61" s="68"/>
      <c r="AW61" s="69"/>
      <c r="AX61" s="69"/>
      <c r="AY61" s="71"/>
    </row>
    <row r="62" spans="2:51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 s="101"/>
      <c r="S62" s="101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K62"/>
      <c r="AL62"/>
      <c r="AM62"/>
      <c r="AN62"/>
      <c r="AO62"/>
      <c r="AP62"/>
      <c r="AQ62"/>
      <c r="AR62"/>
      <c r="AS62" s="68"/>
      <c r="AT62" s="68"/>
      <c r="AU62" s="68"/>
      <c r="AV62" s="68"/>
      <c r="AW62" s="69"/>
      <c r="AX62" s="69"/>
      <c r="AY62" s="71"/>
    </row>
    <row r="63" spans="2:51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 s="101"/>
      <c r="S63" s="101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K63"/>
      <c r="AL63"/>
      <c r="AM63"/>
      <c r="AN63"/>
      <c r="AO63"/>
      <c r="AP63"/>
      <c r="AQ63"/>
      <c r="AR63"/>
      <c r="AS63" s="68"/>
      <c r="AT63" s="68"/>
      <c r="AU63" s="68"/>
      <c r="AV63" s="68"/>
      <c r="AW63" s="69"/>
      <c r="AX63" s="69"/>
      <c r="AY63" s="71"/>
    </row>
    <row r="64" spans="2:51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 s="101"/>
      <c r="S64" s="101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K64"/>
      <c r="AL64"/>
      <c r="AM64"/>
      <c r="AN64"/>
      <c r="AO64"/>
      <c r="AP64"/>
      <c r="AQ64"/>
      <c r="AR64"/>
      <c r="AS64" s="68"/>
      <c r="AT64" s="68"/>
      <c r="AU64" s="68"/>
      <c r="AV64" s="68"/>
      <c r="AW64" s="68"/>
      <c r="AX64" s="69"/>
      <c r="AY64" s="71"/>
    </row>
    <row r="65" spans="2:51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 s="101"/>
      <c r="S65" s="101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K65"/>
      <c r="AL65"/>
      <c r="AM65"/>
      <c r="AN65"/>
      <c r="AO65"/>
      <c r="AP65"/>
      <c r="AQ65"/>
      <c r="AR65"/>
      <c r="AS65" s="68"/>
      <c r="AT65" s="68"/>
      <c r="AU65" s="68"/>
      <c r="AV65" s="68"/>
      <c r="AW65" s="69"/>
      <c r="AX65" s="69"/>
      <c r="AY65" s="71"/>
    </row>
    <row r="66" spans="2:51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 s="101"/>
      <c r="S66" s="101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K66"/>
      <c r="AL66"/>
      <c r="AM66"/>
      <c r="AN66"/>
      <c r="AO66"/>
      <c r="AP66"/>
      <c r="AQ66"/>
      <c r="AR66"/>
      <c r="AS66" s="68"/>
      <c r="AT66" s="68"/>
      <c r="AU66" s="68"/>
      <c r="AV66" s="68"/>
      <c r="AW66" s="69"/>
      <c r="AX66" s="69"/>
      <c r="AY66" s="71"/>
    </row>
    <row r="67" spans="2:51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 s="101"/>
      <c r="S67" s="101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K67"/>
      <c r="AL67"/>
      <c r="AM67"/>
      <c r="AN67"/>
      <c r="AO67"/>
      <c r="AP67"/>
      <c r="AQ67"/>
      <c r="AR67"/>
      <c r="AS67" s="68"/>
      <c r="AT67" s="68"/>
      <c r="AU67" s="68"/>
      <c r="AV67" s="68"/>
      <c r="AW67" s="69"/>
      <c r="AX67" s="69"/>
      <c r="AY67" s="71"/>
    </row>
    <row r="68" spans="2:51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 s="101"/>
      <c r="S68" s="101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K68"/>
      <c r="AL68"/>
      <c r="AM68"/>
      <c r="AN68"/>
      <c r="AO68"/>
      <c r="AP68"/>
      <c r="AQ68"/>
      <c r="AR68"/>
      <c r="AS68" s="68"/>
      <c r="AT68" s="68"/>
      <c r="AU68" s="68"/>
      <c r="AV68" s="68"/>
      <c r="AW68" s="68"/>
      <c r="AX68" s="69"/>
      <c r="AY68" s="71"/>
    </row>
    <row r="69" spans="2:51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 s="101"/>
      <c r="S69" s="101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K69"/>
      <c r="AL69"/>
      <c r="AM69"/>
      <c r="AN69"/>
      <c r="AO69"/>
      <c r="AP69"/>
      <c r="AQ69"/>
      <c r="AR69"/>
      <c r="AS69" s="68"/>
      <c r="AT69" s="68"/>
      <c r="AU69" s="68"/>
      <c r="AV69" s="68"/>
      <c r="AW69" s="68"/>
      <c r="AX69" s="69"/>
      <c r="AY69" s="71"/>
    </row>
    <row r="70" spans="2:51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 s="101"/>
      <c r="S70" s="101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K70"/>
      <c r="AL70"/>
      <c r="AM70"/>
      <c r="AN70"/>
      <c r="AO70"/>
      <c r="AP70"/>
      <c r="AQ70"/>
      <c r="AR70"/>
      <c r="AS70" s="68"/>
      <c r="AT70" s="68"/>
      <c r="AU70" s="68"/>
      <c r="AV70" s="68"/>
      <c r="AW70" s="69"/>
      <c r="AX70" s="69"/>
      <c r="AY70" s="71"/>
    </row>
    <row r="71" spans="2:5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101"/>
      <c r="S71" s="10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K71"/>
      <c r="AL71"/>
      <c r="AM71"/>
      <c r="AN71"/>
      <c r="AO71"/>
      <c r="AP71"/>
      <c r="AQ71"/>
      <c r="AR71"/>
      <c r="AS71" s="68"/>
      <c r="AT71" s="68"/>
      <c r="AU71" s="68"/>
      <c r="AV71" s="68"/>
      <c r="AW71" s="69"/>
      <c r="AX71" s="69"/>
      <c r="AY71" s="71"/>
    </row>
    <row r="72" spans="2:51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101"/>
      <c r="S72" s="101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K72"/>
      <c r="AL72"/>
      <c r="AM72"/>
      <c r="AN72"/>
      <c r="AO72"/>
      <c r="AP72"/>
      <c r="AQ72"/>
      <c r="AR72"/>
      <c r="AS72" s="68"/>
      <c r="AT72" s="68"/>
      <c r="AU72" s="68"/>
      <c r="AV72" s="68"/>
      <c r="AW72" s="69"/>
      <c r="AX72" s="69"/>
      <c r="AY72" s="71"/>
    </row>
    <row r="73" spans="2:51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101"/>
      <c r="S73" s="101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K73"/>
      <c r="AL73"/>
      <c r="AM73"/>
      <c r="AN73"/>
      <c r="AO73"/>
      <c r="AP73"/>
      <c r="AQ73"/>
      <c r="AR73"/>
      <c r="AS73" s="68"/>
      <c r="AT73" s="68"/>
      <c r="AU73" s="68"/>
      <c r="AV73" s="68"/>
      <c r="AW73" s="69"/>
      <c r="AX73" s="69"/>
      <c r="AY73" s="71"/>
    </row>
    <row r="74" spans="2:51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101"/>
      <c r="S74" s="101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K74"/>
      <c r="AL74"/>
      <c r="AM74"/>
      <c r="AN74"/>
      <c r="AO74"/>
      <c r="AP74"/>
      <c r="AQ74"/>
      <c r="AR74"/>
      <c r="AS74" s="68"/>
      <c r="AT74" s="68"/>
      <c r="AU74" s="68"/>
      <c r="AV74" s="68"/>
      <c r="AW74" s="69"/>
      <c r="AX74" s="69"/>
      <c r="AY74" s="71"/>
    </row>
    <row r="75" spans="2:51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101"/>
      <c r="S75" s="101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K75"/>
      <c r="AL75"/>
      <c r="AM75"/>
      <c r="AN75"/>
      <c r="AO75"/>
      <c r="AP75"/>
      <c r="AQ75"/>
      <c r="AR75"/>
      <c r="AS75" s="68"/>
      <c r="AT75" s="68"/>
      <c r="AU75" s="68"/>
      <c r="AV75" s="68"/>
      <c r="AW75" s="69"/>
      <c r="AX75" s="69"/>
      <c r="AY75" s="71"/>
    </row>
    <row r="76" spans="2:51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101"/>
      <c r="S76" s="101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K76"/>
      <c r="AL76"/>
      <c r="AM76"/>
      <c r="AN76"/>
      <c r="AO76"/>
      <c r="AP76"/>
      <c r="AQ76"/>
      <c r="AR76"/>
      <c r="AS76" s="68"/>
      <c r="AT76" s="68"/>
      <c r="AU76" s="68"/>
      <c r="AV76" s="68"/>
      <c r="AW76" s="68"/>
      <c r="AX76" s="69"/>
      <c r="AY76" s="71"/>
    </row>
    <row r="77" spans="2:51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101"/>
      <c r="S77" s="101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K77"/>
      <c r="AL77"/>
      <c r="AM77"/>
      <c r="AN77"/>
      <c r="AO77"/>
      <c r="AP77"/>
      <c r="AQ77"/>
      <c r="AR77"/>
      <c r="AS77" s="68"/>
      <c r="AT77" s="68"/>
      <c r="AU77" s="68"/>
      <c r="AV77" s="68"/>
      <c r="AW77" s="69"/>
      <c r="AX77" s="69"/>
      <c r="AY77" s="71"/>
    </row>
    <row r="78" spans="2:51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101"/>
      <c r="S78" s="101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K78"/>
      <c r="AL78"/>
      <c r="AM78"/>
      <c r="AN78"/>
      <c r="AO78"/>
      <c r="AP78"/>
      <c r="AQ78"/>
      <c r="AR78"/>
      <c r="AS78" s="68"/>
      <c r="AT78" s="68"/>
      <c r="AU78" s="68"/>
      <c r="AV78" s="68"/>
      <c r="AW78" s="69"/>
      <c r="AX78" s="69"/>
      <c r="AY78" s="71"/>
    </row>
    <row r="79" spans="2:51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101"/>
      <c r="S79" s="101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K79"/>
      <c r="AL79"/>
      <c r="AM79"/>
      <c r="AN79"/>
      <c r="AO79"/>
      <c r="AP79"/>
      <c r="AQ79"/>
      <c r="AR79"/>
      <c r="AS79" s="68"/>
      <c r="AT79" s="68"/>
      <c r="AU79" s="68"/>
      <c r="AV79" s="68"/>
      <c r="AW79" s="69"/>
      <c r="AX79" s="69"/>
      <c r="AY79" s="71"/>
    </row>
    <row r="80" spans="2:51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101"/>
      <c r="S80" s="101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K80"/>
      <c r="AL80"/>
      <c r="AM80"/>
      <c r="AN80"/>
      <c r="AO80"/>
      <c r="AP80"/>
      <c r="AQ80"/>
      <c r="AR80"/>
      <c r="AS80" s="68"/>
      <c r="AT80" s="68"/>
      <c r="AU80" s="68"/>
      <c r="AV80" s="68"/>
      <c r="AW80" s="68"/>
      <c r="AX80" s="69"/>
      <c r="AY80" s="71"/>
    </row>
    <row r="81" spans="2:51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101"/>
      <c r="S81" s="10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K81"/>
      <c r="AL81"/>
      <c r="AM81"/>
      <c r="AN81"/>
      <c r="AO81"/>
      <c r="AP81"/>
      <c r="AQ81"/>
      <c r="AR81"/>
      <c r="AS81" s="68"/>
      <c r="AT81" s="68"/>
      <c r="AU81" s="68"/>
      <c r="AV81" s="68"/>
      <c r="AW81" s="69"/>
      <c r="AX81" s="69"/>
      <c r="AY81" s="71"/>
    </row>
    <row r="82" spans="2:51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101"/>
      <c r="S82" s="101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K82"/>
      <c r="AL82"/>
      <c r="AM82"/>
      <c r="AN82"/>
      <c r="AO82"/>
      <c r="AP82"/>
      <c r="AQ82"/>
      <c r="AR82"/>
      <c r="AS82" s="68"/>
      <c r="AT82" s="68"/>
      <c r="AU82" s="68"/>
      <c r="AV82" s="68"/>
      <c r="AW82" s="69"/>
      <c r="AX82" s="69"/>
      <c r="AY82" s="71"/>
    </row>
    <row r="83" spans="2:51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101"/>
      <c r="S83" s="101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K83"/>
      <c r="AL83"/>
      <c r="AM83"/>
      <c r="AN83"/>
      <c r="AO83"/>
      <c r="AP83"/>
      <c r="AQ83"/>
      <c r="AR83"/>
      <c r="AS83" s="68"/>
      <c r="AT83" s="68"/>
      <c r="AU83" s="68"/>
      <c r="AV83" s="68"/>
      <c r="AW83" s="69"/>
      <c r="AX83" s="69"/>
      <c r="AY83" s="71"/>
    </row>
    <row r="84" spans="2:51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101"/>
      <c r="S84" s="101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K84"/>
      <c r="AL84"/>
      <c r="AM84"/>
      <c r="AN84"/>
      <c r="AO84"/>
      <c r="AP84"/>
      <c r="AQ84"/>
      <c r="AR84"/>
      <c r="AS84" s="68"/>
      <c r="AT84" s="68"/>
      <c r="AU84" s="68"/>
      <c r="AV84" s="68"/>
      <c r="AW84" s="69"/>
      <c r="AX84" s="69"/>
      <c r="AY84" s="71"/>
    </row>
    <row r="85" spans="2:51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101"/>
      <c r="S85" s="101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K85"/>
      <c r="AL85"/>
      <c r="AM85"/>
      <c r="AN85"/>
      <c r="AO85"/>
      <c r="AP85"/>
      <c r="AQ85"/>
      <c r="AR85"/>
      <c r="AS85" s="68"/>
      <c r="AT85" s="68"/>
      <c r="AU85" s="68"/>
      <c r="AV85" s="68"/>
      <c r="AW85" s="68"/>
      <c r="AX85" s="69"/>
      <c r="AY85" s="71"/>
    </row>
    <row r="86" spans="2:5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101"/>
      <c r="S86" s="101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K86"/>
      <c r="AL86"/>
      <c r="AM86"/>
      <c r="AN86"/>
      <c r="AO86"/>
      <c r="AP86"/>
      <c r="AQ86"/>
      <c r="AR86"/>
      <c r="AS86" s="68"/>
      <c r="AT86" s="68"/>
      <c r="AU86" s="68"/>
      <c r="AV86" s="68"/>
      <c r="AW86" s="69"/>
      <c r="AX86" s="69"/>
      <c r="AY86" s="71"/>
    </row>
    <row r="87" spans="2:51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101"/>
      <c r="S87" s="101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K87"/>
      <c r="AL87"/>
      <c r="AM87"/>
      <c r="AN87"/>
      <c r="AO87"/>
      <c r="AP87"/>
      <c r="AQ87"/>
      <c r="AR87"/>
      <c r="AS87" s="68"/>
      <c r="AT87" s="68"/>
      <c r="AU87" s="68"/>
      <c r="AV87" s="68"/>
      <c r="AW87" s="69"/>
      <c r="AX87" s="69"/>
      <c r="AY87" s="71"/>
    </row>
    <row r="88" spans="2:51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101"/>
      <c r="S88" s="101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K88"/>
      <c r="AL88"/>
      <c r="AM88"/>
      <c r="AN88"/>
      <c r="AO88"/>
      <c r="AP88"/>
      <c r="AQ88"/>
      <c r="AR88"/>
      <c r="AS88" s="68"/>
      <c r="AT88" s="68"/>
      <c r="AU88" s="68"/>
      <c r="AV88" s="68"/>
      <c r="AW88" s="69"/>
      <c r="AX88" s="69"/>
      <c r="AY88" s="71"/>
    </row>
    <row r="89" spans="2:51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101"/>
      <c r="S89" s="101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K89"/>
      <c r="AL89"/>
      <c r="AM89"/>
      <c r="AN89"/>
      <c r="AO89"/>
      <c r="AP89"/>
      <c r="AQ89"/>
      <c r="AR89"/>
      <c r="AS89" s="68"/>
      <c r="AT89" s="68"/>
      <c r="AU89" s="68"/>
      <c r="AV89" s="68"/>
      <c r="AW89" s="68"/>
      <c r="AX89" s="69"/>
      <c r="AY89" s="71"/>
    </row>
    <row r="90" spans="2:51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101"/>
      <c r="S90" s="101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K90"/>
      <c r="AL90"/>
      <c r="AM90"/>
      <c r="AN90"/>
      <c r="AO90"/>
      <c r="AP90"/>
      <c r="AQ90"/>
      <c r="AR90"/>
      <c r="AS90" s="68"/>
      <c r="AT90" s="68"/>
      <c r="AU90" s="68"/>
      <c r="AV90" s="68"/>
      <c r="AW90" s="68"/>
      <c r="AX90" s="69"/>
      <c r="AY90" s="71"/>
    </row>
    <row r="91" spans="2:51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101"/>
      <c r="S91" s="10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K91"/>
      <c r="AL91"/>
      <c r="AM91"/>
      <c r="AN91"/>
      <c r="AO91"/>
      <c r="AP91"/>
      <c r="AQ91"/>
      <c r="AR91"/>
      <c r="AS91" s="68"/>
      <c r="AT91" s="68"/>
      <c r="AU91" s="68"/>
      <c r="AV91" s="68"/>
      <c r="AW91" s="69"/>
      <c r="AX91" s="69"/>
      <c r="AY91" s="71"/>
    </row>
    <row r="92" spans="2:51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101"/>
      <c r="S92" s="101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K92"/>
      <c r="AL92"/>
      <c r="AM92"/>
      <c r="AN92"/>
      <c r="AO92"/>
      <c r="AP92"/>
      <c r="AQ92"/>
      <c r="AR92"/>
      <c r="AS92" s="68"/>
      <c r="AT92" s="68"/>
      <c r="AU92" s="68"/>
      <c r="AV92" s="68"/>
      <c r="AW92" s="69"/>
      <c r="AX92" s="69"/>
      <c r="AY92" s="71"/>
    </row>
    <row r="93" spans="2:51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101"/>
      <c r="S93" s="101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K93"/>
      <c r="AL93"/>
      <c r="AM93"/>
      <c r="AN93"/>
      <c r="AO93"/>
      <c r="AP93"/>
      <c r="AQ93"/>
      <c r="AR93"/>
      <c r="AS93" s="68"/>
      <c r="AT93" s="68"/>
      <c r="AU93" s="68"/>
      <c r="AV93" s="68"/>
      <c r="AW93" s="69"/>
      <c r="AX93" s="69"/>
      <c r="AY93" s="71"/>
    </row>
    <row r="94" spans="2:51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101"/>
      <c r="S94" s="101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K94"/>
      <c r="AL94"/>
      <c r="AM94"/>
      <c r="AN94"/>
      <c r="AO94"/>
      <c r="AP94"/>
      <c r="AQ94"/>
      <c r="AR94"/>
      <c r="AS94" s="68"/>
      <c r="AT94" s="68"/>
      <c r="AU94" s="68"/>
      <c r="AV94" s="68"/>
      <c r="AW94" s="69"/>
      <c r="AX94" s="69"/>
      <c r="AY94" s="71"/>
    </row>
    <row r="95" spans="2:51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101"/>
      <c r="S95" s="101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K95"/>
      <c r="AL95"/>
      <c r="AM95"/>
      <c r="AN95"/>
      <c r="AO95"/>
      <c r="AP95"/>
      <c r="AQ95"/>
      <c r="AR95"/>
      <c r="AS95" s="68"/>
      <c r="AT95" s="68"/>
      <c r="AU95" s="68"/>
      <c r="AV95" s="68"/>
      <c r="AW95" s="69"/>
      <c r="AX95" s="69"/>
      <c r="AY95" s="71"/>
    </row>
    <row r="96" spans="2:51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101"/>
      <c r="S96" s="101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K96"/>
      <c r="AL96"/>
      <c r="AM96"/>
      <c r="AN96"/>
      <c r="AO96"/>
      <c r="AP96"/>
      <c r="AQ96"/>
      <c r="AR96"/>
      <c r="AS96" s="68"/>
      <c r="AT96" s="68"/>
      <c r="AU96" s="68"/>
      <c r="AV96" s="68"/>
      <c r="AW96" s="68"/>
      <c r="AX96" s="69"/>
      <c r="AY96" s="71"/>
    </row>
    <row r="97" spans="2:51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101"/>
      <c r="S97" s="101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K97"/>
      <c r="AL97"/>
      <c r="AM97"/>
      <c r="AN97"/>
      <c r="AO97"/>
      <c r="AP97"/>
      <c r="AQ97"/>
      <c r="AR97"/>
      <c r="AS97" s="68"/>
      <c r="AT97" s="68"/>
      <c r="AU97" s="68"/>
      <c r="AV97" s="68"/>
      <c r="AW97" s="69"/>
      <c r="AX97" s="69"/>
      <c r="AY97" s="71"/>
    </row>
    <row r="98" spans="2:51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101"/>
      <c r="S98" s="101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K98"/>
      <c r="AL98"/>
      <c r="AM98"/>
      <c r="AN98"/>
      <c r="AO98"/>
      <c r="AP98"/>
      <c r="AQ98"/>
      <c r="AR98"/>
      <c r="AS98" s="68"/>
      <c r="AT98" s="68"/>
      <c r="AU98" s="68"/>
      <c r="AV98" s="68"/>
      <c r="AW98" s="69"/>
      <c r="AX98" s="69"/>
      <c r="AY98" s="71"/>
    </row>
    <row r="99" spans="2:51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101"/>
      <c r="S99" s="101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K99"/>
      <c r="AL99"/>
      <c r="AM99"/>
      <c r="AN99"/>
      <c r="AO99"/>
      <c r="AP99"/>
      <c r="AQ99"/>
      <c r="AR99"/>
      <c r="AS99" s="68"/>
      <c r="AT99" s="68"/>
      <c r="AU99" s="68"/>
      <c r="AV99" s="68"/>
      <c r="AW99" s="69"/>
      <c r="AX99" s="69"/>
      <c r="AY99" s="71"/>
    </row>
    <row r="100" spans="2:51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101"/>
      <c r="S100" s="101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K100"/>
      <c r="AL100"/>
      <c r="AM100"/>
      <c r="AN100"/>
      <c r="AO100"/>
      <c r="AP100"/>
      <c r="AQ100"/>
      <c r="AR100"/>
      <c r="AS100" s="68"/>
      <c r="AT100" s="68"/>
      <c r="AU100" s="68"/>
      <c r="AV100" s="68"/>
      <c r="AW100" s="68"/>
      <c r="AX100" s="69"/>
      <c r="AY100" s="71"/>
    </row>
    <row r="101" spans="2:5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101"/>
      <c r="S101" s="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K101"/>
      <c r="AL101"/>
      <c r="AM101"/>
      <c r="AN101"/>
      <c r="AO101"/>
      <c r="AP101"/>
      <c r="AQ101"/>
      <c r="AR101"/>
      <c r="AS101" s="68"/>
      <c r="AT101" s="68"/>
      <c r="AU101" s="68"/>
      <c r="AV101" s="68"/>
      <c r="AW101" s="69"/>
      <c r="AX101" s="69"/>
      <c r="AY101" s="71"/>
    </row>
    <row r="102" spans="2:51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101"/>
      <c r="S102" s="101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K102"/>
      <c r="AL102"/>
      <c r="AM102"/>
      <c r="AN102"/>
      <c r="AO102"/>
      <c r="AP102"/>
      <c r="AQ102"/>
      <c r="AR102"/>
      <c r="AS102" s="68"/>
      <c r="AT102" s="68"/>
      <c r="AU102" s="68"/>
      <c r="AV102" s="68"/>
      <c r="AW102" s="69"/>
      <c r="AX102" s="69"/>
      <c r="AY102" s="71"/>
    </row>
    <row r="103" spans="2:51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101"/>
      <c r="S103" s="101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K103"/>
      <c r="AL103"/>
      <c r="AM103"/>
      <c r="AN103"/>
      <c r="AO103"/>
      <c r="AP103"/>
      <c r="AQ103"/>
      <c r="AR103"/>
      <c r="AS103" s="68"/>
      <c r="AT103" s="68"/>
      <c r="AU103" s="68"/>
      <c r="AV103" s="68"/>
      <c r="AW103" s="69"/>
      <c r="AX103" s="69"/>
      <c r="AY103" s="71"/>
    </row>
    <row r="104" spans="2:51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101"/>
      <c r="S104" s="101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K104"/>
      <c r="AL104"/>
      <c r="AM104"/>
      <c r="AN104"/>
      <c r="AO104"/>
      <c r="AP104"/>
      <c r="AQ104"/>
      <c r="AR104"/>
      <c r="AS104" s="68"/>
      <c r="AT104" s="68"/>
      <c r="AU104" s="68"/>
      <c r="AV104" s="68"/>
      <c r="AW104" s="69"/>
      <c r="AX104" s="69"/>
      <c r="AY104" s="71"/>
    </row>
    <row r="105" spans="2:51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101"/>
      <c r="S105" s="101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K105"/>
      <c r="AL105"/>
      <c r="AM105"/>
      <c r="AN105"/>
      <c r="AO105"/>
      <c r="AP105"/>
      <c r="AQ105"/>
      <c r="AR105"/>
      <c r="AS105" s="68"/>
      <c r="AT105" s="68"/>
      <c r="AU105" s="68"/>
      <c r="AV105" s="68"/>
      <c r="AW105" s="68"/>
      <c r="AX105" s="69"/>
      <c r="AY105" s="71"/>
    </row>
    <row r="106" spans="2:51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101"/>
      <c r="S106" s="101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K106"/>
      <c r="AL106"/>
      <c r="AM106"/>
      <c r="AN106"/>
      <c r="AO106"/>
      <c r="AP106"/>
      <c r="AQ106"/>
      <c r="AR106"/>
      <c r="AS106" s="68"/>
      <c r="AT106" s="68"/>
      <c r="AU106" s="68"/>
      <c r="AV106" s="68"/>
      <c r="AW106" s="69"/>
      <c r="AX106" s="69"/>
      <c r="AY106" s="71"/>
    </row>
    <row r="107" spans="2:51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101"/>
      <c r="S107" s="101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K107"/>
      <c r="AL107"/>
      <c r="AM107"/>
      <c r="AN107"/>
      <c r="AO107"/>
      <c r="AP107"/>
      <c r="AQ107"/>
      <c r="AR107"/>
      <c r="AS107" s="68"/>
      <c r="AT107" s="68"/>
      <c r="AU107" s="68"/>
      <c r="AV107" s="68"/>
      <c r="AW107" s="69"/>
      <c r="AX107" s="69"/>
      <c r="AY107" s="71"/>
    </row>
    <row r="108" spans="2:51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101"/>
      <c r="S108" s="101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K108"/>
      <c r="AL108"/>
      <c r="AM108"/>
      <c r="AN108"/>
      <c r="AO108"/>
      <c r="AP108"/>
      <c r="AQ108"/>
      <c r="AR108"/>
      <c r="AS108" s="68"/>
      <c r="AT108" s="68"/>
      <c r="AU108" s="68"/>
      <c r="AV108" s="68"/>
      <c r="AW108" s="69"/>
      <c r="AX108" s="69"/>
      <c r="AY108" s="71"/>
    </row>
    <row r="109" spans="2:51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101"/>
      <c r="S109" s="101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K109"/>
      <c r="AL109"/>
      <c r="AM109"/>
      <c r="AN109"/>
      <c r="AO109"/>
      <c r="AP109"/>
      <c r="AQ109"/>
      <c r="AR109"/>
      <c r="AS109" s="68"/>
      <c r="AT109" s="68"/>
      <c r="AU109" s="68"/>
      <c r="AV109" s="68"/>
      <c r="AW109" s="68"/>
      <c r="AX109" s="69"/>
      <c r="AY109" s="71"/>
    </row>
    <row r="110" spans="2:51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K110"/>
      <c r="AL110"/>
      <c r="AM110"/>
      <c r="AN110"/>
      <c r="AO110"/>
      <c r="AP110"/>
      <c r="AQ110"/>
      <c r="AR110"/>
      <c r="AS110" s="68"/>
      <c r="AT110" s="68"/>
      <c r="AU110" s="68"/>
      <c r="AV110" s="68"/>
      <c r="AW110" s="68"/>
      <c r="AX110" s="69"/>
      <c r="AY110" s="71"/>
    </row>
    <row r="111" spans="2:51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K111"/>
      <c r="AL111"/>
      <c r="AM111"/>
      <c r="AN111"/>
      <c r="AO111"/>
      <c r="AP111"/>
      <c r="AQ111"/>
      <c r="AR111"/>
      <c r="AS111" s="68"/>
      <c r="AT111" s="68"/>
      <c r="AU111" s="68"/>
      <c r="AV111" s="68"/>
      <c r="AW111" s="69"/>
      <c r="AX111" s="69"/>
      <c r="AY111" s="71"/>
    </row>
    <row r="112" spans="2:51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K112"/>
      <c r="AL112"/>
      <c r="AM112"/>
      <c r="AN112"/>
      <c r="AO112"/>
      <c r="AP112"/>
      <c r="AQ112"/>
      <c r="AR112"/>
      <c r="AS112" s="68"/>
      <c r="AT112" s="68"/>
      <c r="AU112" s="68"/>
      <c r="AV112" s="68"/>
      <c r="AW112" s="69"/>
      <c r="AX112" s="69"/>
      <c r="AY112" s="71"/>
    </row>
    <row r="113" spans="2:51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K113"/>
      <c r="AL113"/>
      <c r="AM113"/>
      <c r="AN113"/>
      <c r="AO113"/>
      <c r="AP113"/>
      <c r="AQ113"/>
      <c r="AR113"/>
      <c r="AS113" s="68"/>
      <c r="AT113" s="68"/>
      <c r="AU113" s="68"/>
      <c r="AV113" s="68"/>
      <c r="AW113" s="69"/>
      <c r="AX113" s="69"/>
      <c r="AY113" s="71"/>
    </row>
    <row r="114" spans="2:51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K114"/>
      <c r="AL114"/>
      <c r="AM114"/>
      <c r="AN114"/>
      <c r="AO114"/>
      <c r="AP114"/>
      <c r="AQ114"/>
      <c r="AR114"/>
      <c r="AS114" s="68"/>
      <c r="AT114" s="68"/>
      <c r="AU114" s="68"/>
      <c r="AV114" s="68"/>
      <c r="AW114" s="69"/>
      <c r="AX114" s="69"/>
      <c r="AY114" s="71"/>
    </row>
    <row r="115" spans="2:51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K115"/>
      <c r="AL115"/>
      <c r="AM115"/>
      <c r="AN115"/>
      <c r="AO115"/>
      <c r="AP115"/>
      <c r="AQ115"/>
      <c r="AR115"/>
      <c r="AS115" s="68"/>
      <c r="AT115" s="68"/>
      <c r="AU115" s="68"/>
      <c r="AV115" s="68"/>
      <c r="AW115" s="69"/>
      <c r="AX115" s="69"/>
      <c r="AY115" s="71"/>
    </row>
    <row r="116" spans="2:51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K116"/>
      <c r="AL116"/>
      <c r="AM116"/>
      <c r="AN116"/>
      <c r="AO116"/>
      <c r="AP116"/>
      <c r="AQ116"/>
      <c r="AR116"/>
      <c r="AS116" s="68"/>
      <c r="AT116" s="68"/>
      <c r="AU116" s="68"/>
      <c r="AV116" s="68"/>
      <c r="AW116" s="69"/>
      <c r="AX116" s="69"/>
      <c r="AY116" s="71"/>
    </row>
    <row r="117" spans="2:51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K117"/>
      <c r="AL117"/>
      <c r="AM117"/>
      <c r="AN117"/>
      <c r="AO117"/>
      <c r="AP117"/>
      <c r="AQ117"/>
      <c r="AR117"/>
      <c r="AS117" s="68"/>
      <c r="AT117" s="68"/>
      <c r="AU117" s="68"/>
      <c r="AV117" s="68"/>
      <c r="AW117" s="68"/>
      <c r="AX117" s="69"/>
      <c r="AY117" s="71"/>
    </row>
    <row r="118" spans="2:51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K118"/>
      <c r="AL118"/>
      <c r="AM118"/>
      <c r="AN118"/>
      <c r="AO118"/>
      <c r="AP118"/>
      <c r="AQ118"/>
      <c r="AR118"/>
      <c r="AS118" s="68"/>
      <c r="AT118" s="68"/>
      <c r="AU118" s="68"/>
      <c r="AV118" s="68"/>
      <c r="AW118" s="69"/>
      <c r="AX118" s="69"/>
      <c r="AY118" s="71"/>
    </row>
    <row r="119" spans="2:51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K119"/>
      <c r="AL119"/>
      <c r="AM119"/>
      <c r="AN119"/>
      <c r="AO119"/>
      <c r="AP119"/>
      <c r="AQ119"/>
      <c r="AR119"/>
      <c r="AS119" s="68"/>
      <c r="AT119" s="68"/>
      <c r="AU119" s="68"/>
      <c r="AV119" s="68"/>
      <c r="AW119" s="69"/>
      <c r="AX119" s="69"/>
      <c r="AY119" s="71"/>
    </row>
    <row r="120" spans="2:51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K120"/>
      <c r="AL120"/>
      <c r="AM120"/>
      <c r="AN120"/>
      <c r="AO120"/>
      <c r="AP120"/>
      <c r="AQ120"/>
      <c r="AR120"/>
      <c r="AS120" s="68"/>
      <c r="AT120" s="68"/>
      <c r="AU120" s="68"/>
      <c r="AV120" s="68"/>
      <c r="AW120" s="69"/>
      <c r="AX120" s="69"/>
      <c r="AY120" s="71"/>
    </row>
    <row r="121" spans="2:51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K121"/>
      <c r="AL121"/>
      <c r="AM121"/>
      <c r="AN121"/>
      <c r="AO121"/>
      <c r="AP121"/>
      <c r="AQ121"/>
      <c r="AR121"/>
      <c r="AS121" s="68"/>
      <c r="AT121" s="68"/>
      <c r="AU121" s="68"/>
      <c r="AV121" s="68"/>
      <c r="AW121" s="68"/>
      <c r="AX121" s="69"/>
      <c r="AY121" s="71"/>
    </row>
    <row r="122" spans="2:51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K122"/>
      <c r="AL122"/>
      <c r="AM122"/>
      <c r="AN122"/>
      <c r="AO122"/>
      <c r="AP122"/>
      <c r="AQ122"/>
      <c r="AR122"/>
      <c r="AS122" s="68"/>
      <c r="AT122" s="68"/>
      <c r="AU122" s="68"/>
      <c r="AV122" s="68"/>
      <c r="AW122" s="69"/>
      <c r="AX122" s="69"/>
      <c r="AY122" s="71"/>
    </row>
    <row r="123" spans="2:51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K123"/>
      <c r="AL123"/>
      <c r="AM123"/>
      <c r="AN123"/>
      <c r="AO123"/>
      <c r="AP123"/>
      <c r="AQ123"/>
      <c r="AR123"/>
      <c r="AS123" s="68"/>
      <c r="AT123" s="68"/>
      <c r="AU123" s="68"/>
      <c r="AV123" s="68"/>
      <c r="AW123" s="69"/>
      <c r="AX123" s="69"/>
      <c r="AY123" s="71"/>
    </row>
    <row r="124" spans="2:51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K124"/>
      <c r="AL124"/>
      <c r="AM124"/>
      <c r="AN124"/>
      <c r="AO124"/>
      <c r="AP124"/>
      <c r="AQ124"/>
      <c r="AR124"/>
      <c r="AS124" s="68"/>
      <c r="AT124" s="68"/>
      <c r="AU124" s="68"/>
      <c r="AV124" s="68"/>
      <c r="AW124" s="69"/>
      <c r="AX124" s="69"/>
      <c r="AY124" s="71"/>
    </row>
    <row r="125" spans="2:51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K125"/>
      <c r="AL125"/>
      <c r="AM125"/>
      <c r="AN125"/>
      <c r="AO125"/>
      <c r="AP125"/>
      <c r="AQ125"/>
      <c r="AR125"/>
      <c r="AS125" s="68"/>
      <c r="AT125" s="68"/>
      <c r="AU125" s="68"/>
      <c r="AV125" s="68"/>
      <c r="AW125" s="69"/>
      <c r="AX125" s="69"/>
      <c r="AY125" s="71"/>
    </row>
    <row r="126" spans="2:51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K126"/>
      <c r="AL126"/>
      <c r="AM126"/>
      <c r="AN126"/>
      <c r="AO126"/>
      <c r="AP126"/>
      <c r="AQ126"/>
      <c r="AR126"/>
      <c r="AS126" s="68"/>
      <c r="AT126" s="68"/>
      <c r="AU126" s="68"/>
      <c r="AV126" s="68"/>
      <c r="AW126" s="68"/>
      <c r="AX126" s="69"/>
      <c r="AY126" s="71"/>
    </row>
    <row r="127" spans="2:51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K127"/>
      <c r="AL127"/>
      <c r="AM127"/>
      <c r="AN127"/>
      <c r="AO127"/>
      <c r="AP127"/>
      <c r="AQ127"/>
      <c r="AR127"/>
      <c r="AS127" s="68"/>
      <c r="AT127" s="68"/>
      <c r="AU127" s="68"/>
      <c r="AV127" s="68"/>
      <c r="AW127" s="69"/>
      <c r="AX127" s="69"/>
      <c r="AY127" s="71"/>
    </row>
    <row r="128" spans="2:51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K128"/>
      <c r="AL128"/>
      <c r="AM128"/>
      <c r="AN128"/>
      <c r="AO128"/>
      <c r="AP128"/>
      <c r="AQ128"/>
      <c r="AR128"/>
      <c r="AS128" s="68"/>
      <c r="AT128" s="68"/>
      <c r="AU128" s="68"/>
      <c r="AV128" s="68"/>
      <c r="AW128" s="69"/>
      <c r="AX128" s="69"/>
      <c r="AY128" s="71"/>
    </row>
    <row r="129" spans="2:51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K129"/>
      <c r="AL129"/>
      <c r="AM129"/>
      <c r="AN129"/>
      <c r="AO129"/>
      <c r="AP129"/>
      <c r="AQ129"/>
      <c r="AR129"/>
      <c r="AS129" s="68"/>
      <c r="AT129" s="68"/>
      <c r="AU129" s="68"/>
      <c r="AV129" s="68"/>
      <c r="AW129" s="69"/>
      <c r="AX129" s="69"/>
      <c r="AY129" s="71"/>
    </row>
    <row r="130" spans="2:51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K130"/>
      <c r="AL130"/>
      <c r="AM130"/>
      <c r="AN130"/>
      <c r="AO130"/>
      <c r="AP130"/>
      <c r="AQ130"/>
      <c r="AR130"/>
      <c r="AS130" s="68"/>
      <c r="AT130" s="68"/>
      <c r="AU130" s="68"/>
      <c r="AV130" s="68"/>
      <c r="AW130" s="68"/>
      <c r="AX130" s="69"/>
      <c r="AY130" s="71"/>
    </row>
    <row r="131" spans="2:51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K131"/>
      <c r="AL131"/>
      <c r="AM131"/>
      <c r="AN131"/>
      <c r="AO131"/>
      <c r="AP131"/>
      <c r="AQ131"/>
      <c r="AR131"/>
      <c r="AS131" s="68"/>
      <c r="AT131" s="68"/>
      <c r="AU131" s="68"/>
      <c r="AV131" s="68"/>
      <c r="AW131" s="68"/>
      <c r="AX131" s="69"/>
      <c r="AY131" s="71"/>
    </row>
    <row r="132" spans="2:51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K132"/>
      <c r="AL132"/>
      <c r="AM132"/>
      <c r="AN132"/>
      <c r="AO132"/>
      <c r="AP132"/>
      <c r="AQ132"/>
      <c r="AR132"/>
      <c r="AS132" s="68"/>
      <c r="AT132" s="68"/>
      <c r="AU132" s="68"/>
      <c r="AV132" s="68"/>
      <c r="AW132" s="69"/>
      <c r="AX132" s="69"/>
      <c r="AY132" s="71"/>
    </row>
    <row r="133" spans="2:51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K133"/>
      <c r="AL133"/>
      <c r="AM133"/>
      <c r="AN133"/>
      <c r="AO133"/>
      <c r="AP133"/>
      <c r="AQ133"/>
      <c r="AR133"/>
      <c r="AS133" s="68"/>
      <c r="AT133" s="68"/>
      <c r="AU133" s="68"/>
      <c r="AV133" s="68"/>
      <c r="AW133" s="68"/>
      <c r="AX133" s="69"/>
      <c r="AY133" s="71"/>
    </row>
    <row r="134" spans="2:51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K134"/>
      <c r="AL134"/>
      <c r="AM134"/>
      <c r="AN134"/>
      <c r="AO134"/>
      <c r="AP134"/>
      <c r="AQ134"/>
      <c r="AR134"/>
      <c r="AS134" s="68"/>
      <c r="AT134" s="68"/>
      <c r="AU134" s="68"/>
      <c r="AV134" s="68"/>
      <c r="AW134" s="69"/>
      <c r="AX134" s="69"/>
      <c r="AY134" s="71"/>
    </row>
    <row r="135" spans="2:51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K135"/>
      <c r="AL135"/>
      <c r="AM135"/>
      <c r="AN135"/>
      <c r="AO135"/>
      <c r="AP135"/>
      <c r="AQ135"/>
      <c r="AR135"/>
      <c r="AS135" s="68"/>
      <c r="AT135" s="68"/>
      <c r="AU135" s="68"/>
      <c r="AV135" s="68"/>
      <c r="AW135" s="69"/>
      <c r="AX135" s="69"/>
      <c r="AY135" s="71"/>
    </row>
    <row r="136" spans="2:51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K136"/>
      <c r="AL136"/>
      <c r="AM136"/>
      <c r="AN136"/>
      <c r="AO136"/>
      <c r="AP136"/>
      <c r="AQ136"/>
      <c r="AR136"/>
      <c r="AS136" s="68"/>
      <c r="AT136" s="68"/>
      <c r="AU136" s="68"/>
      <c r="AV136" s="68"/>
      <c r="AW136" s="69"/>
      <c r="AX136" s="69"/>
      <c r="AY136" s="71"/>
    </row>
    <row r="137" spans="2:51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K137"/>
      <c r="AL137"/>
      <c r="AM137"/>
      <c r="AN137"/>
      <c r="AO137"/>
      <c r="AP137"/>
      <c r="AQ137"/>
      <c r="AR137"/>
      <c r="AS137" s="68"/>
      <c r="AT137" s="68"/>
      <c r="AU137" s="68"/>
      <c r="AV137" s="68"/>
      <c r="AW137" s="68"/>
      <c r="AX137" s="69"/>
      <c r="AY137" s="71"/>
    </row>
    <row r="138" spans="2:51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K138"/>
      <c r="AL138"/>
      <c r="AM138"/>
      <c r="AN138"/>
      <c r="AO138"/>
      <c r="AP138"/>
      <c r="AQ138"/>
      <c r="AR138"/>
      <c r="AS138" s="68"/>
      <c r="AT138" s="68"/>
      <c r="AU138" s="68"/>
      <c r="AV138" s="68"/>
      <c r="AW138" s="69"/>
      <c r="AX138" s="69"/>
      <c r="AY138" s="71"/>
    </row>
    <row r="139" spans="2:51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K139"/>
      <c r="AL139"/>
      <c r="AM139"/>
      <c r="AN139"/>
      <c r="AO139"/>
      <c r="AP139"/>
      <c r="AQ139"/>
      <c r="AR139"/>
      <c r="AS139" s="68"/>
      <c r="AT139" s="68"/>
      <c r="AU139" s="68"/>
      <c r="AV139" s="68"/>
      <c r="AW139" s="69"/>
      <c r="AX139" s="69"/>
      <c r="AY139" s="71"/>
    </row>
    <row r="140" spans="2:51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K140"/>
      <c r="AL140"/>
      <c r="AM140"/>
      <c r="AN140"/>
      <c r="AO140"/>
      <c r="AP140"/>
      <c r="AQ140"/>
      <c r="AR140"/>
      <c r="AS140" s="68"/>
      <c r="AT140" s="68"/>
      <c r="AU140" s="68"/>
      <c r="AV140" s="68"/>
      <c r="AW140" s="69"/>
      <c r="AX140" s="69"/>
      <c r="AY140" s="71"/>
    </row>
    <row r="141" spans="2:51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K141"/>
      <c r="AL141"/>
      <c r="AM141"/>
      <c r="AN141"/>
      <c r="AO141"/>
      <c r="AP141"/>
      <c r="AQ141"/>
      <c r="AR141"/>
      <c r="AS141" s="68"/>
      <c r="AT141" s="68"/>
      <c r="AU141" s="68"/>
      <c r="AV141" s="68"/>
      <c r="AW141" s="69"/>
      <c r="AX141" s="69"/>
      <c r="AY141" s="71"/>
    </row>
    <row r="142" spans="2:51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K142"/>
      <c r="AL142"/>
      <c r="AM142"/>
      <c r="AN142"/>
      <c r="AO142"/>
      <c r="AP142"/>
      <c r="AQ142"/>
      <c r="AR142"/>
      <c r="AS142" s="68"/>
      <c r="AT142" s="68"/>
      <c r="AU142" s="68"/>
      <c r="AV142" s="68"/>
      <c r="AW142" s="68"/>
      <c r="AX142" s="69"/>
      <c r="AY142" s="71"/>
    </row>
    <row r="143" spans="2:51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K143"/>
      <c r="AL143"/>
      <c r="AM143"/>
      <c r="AN143"/>
      <c r="AO143"/>
      <c r="AP143"/>
      <c r="AQ143"/>
      <c r="AR143"/>
      <c r="AS143" s="68"/>
      <c r="AT143" s="68"/>
      <c r="AU143" s="68"/>
      <c r="AV143" s="68"/>
      <c r="AW143" s="69"/>
      <c r="AX143" s="69"/>
      <c r="AY143" s="71"/>
    </row>
    <row r="144" spans="2:51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K144"/>
      <c r="AL144"/>
      <c r="AM144"/>
      <c r="AN144"/>
      <c r="AO144"/>
      <c r="AP144"/>
      <c r="AQ144"/>
      <c r="AR144"/>
      <c r="AS144" s="68"/>
      <c r="AT144" s="68"/>
      <c r="AU144" s="68"/>
      <c r="AV144" s="68"/>
      <c r="AW144" s="69"/>
      <c r="AX144" s="69"/>
      <c r="AY144" s="71"/>
    </row>
    <row r="145" spans="2:51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K145"/>
      <c r="AL145"/>
      <c r="AM145"/>
      <c r="AN145"/>
      <c r="AO145"/>
      <c r="AP145"/>
      <c r="AQ145"/>
      <c r="AR145"/>
      <c r="AS145" s="68"/>
      <c r="AT145" s="68"/>
      <c r="AU145" s="68"/>
      <c r="AV145" s="68"/>
      <c r="AW145" s="69"/>
      <c r="AX145" s="69"/>
      <c r="AY145" s="71"/>
    </row>
    <row r="146" spans="2:51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K146"/>
      <c r="AL146"/>
      <c r="AM146"/>
      <c r="AN146"/>
      <c r="AO146"/>
      <c r="AP146"/>
      <c r="AQ146"/>
      <c r="AR146"/>
      <c r="AS146" s="68"/>
      <c r="AT146" s="68"/>
      <c r="AU146" s="68"/>
      <c r="AV146" s="68"/>
      <c r="AW146" s="68"/>
      <c r="AX146" s="69"/>
      <c r="AY146" s="71"/>
    </row>
    <row r="147" spans="2:51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K147"/>
      <c r="AL147"/>
      <c r="AM147"/>
      <c r="AN147"/>
      <c r="AO147"/>
      <c r="AP147"/>
      <c r="AQ147"/>
      <c r="AR147"/>
      <c r="AS147" s="68"/>
      <c r="AT147" s="68"/>
      <c r="AU147" s="68"/>
      <c r="AV147" s="68"/>
      <c r="AW147" s="68"/>
      <c r="AX147" s="69"/>
      <c r="AY147" s="71"/>
    </row>
    <row r="148" spans="2:51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K148"/>
      <c r="AL148"/>
      <c r="AM148"/>
      <c r="AN148"/>
      <c r="AO148"/>
      <c r="AP148"/>
      <c r="AQ148"/>
      <c r="AR148"/>
      <c r="AS148" s="68"/>
      <c r="AT148" s="68"/>
      <c r="AU148" s="68"/>
      <c r="AV148" s="68"/>
      <c r="AW148" s="69"/>
      <c r="AX148" s="69"/>
      <c r="AY148" s="71"/>
    </row>
    <row r="149" spans="2:51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K149"/>
      <c r="AL149"/>
      <c r="AM149"/>
      <c r="AN149"/>
      <c r="AO149"/>
      <c r="AP149"/>
      <c r="AQ149"/>
      <c r="AR149"/>
      <c r="AS149" s="68"/>
      <c r="AT149" s="68"/>
      <c r="AU149" s="68"/>
      <c r="AV149" s="68"/>
      <c r="AW149" s="69"/>
      <c r="AX149" s="69"/>
      <c r="AY149" s="71"/>
    </row>
    <row r="150" spans="2:51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K150"/>
      <c r="AL150"/>
      <c r="AM150"/>
      <c r="AN150"/>
      <c r="AO150"/>
      <c r="AP150"/>
      <c r="AQ150"/>
      <c r="AR150"/>
      <c r="AS150" s="68"/>
      <c r="AT150" s="68"/>
      <c r="AU150" s="68"/>
      <c r="AV150" s="68"/>
      <c r="AW150" s="69"/>
      <c r="AX150" s="69"/>
      <c r="AY150" s="71"/>
    </row>
    <row r="151" spans="2:51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K151"/>
      <c r="AL151"/>
      <c r="AM151"/>
      <c r="AN151"/>
      <c r="AO151"/>
      <c r="AP151"/>
      <c r="AQ151"/>
      <c r="AR151"/>
      <c r="AS151" s="68"/>
      <c r="AT151" s="68"/>
      <c r="AU151" s="68"/>
      <c r="AV151" s="68"/>
      <c r="AW151" s="69"/>
      <c r="AX151" s="69"/>
      <c r="AY151" s="71"/>
    </row>
    <row r="152" spans="2:51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K152"/>
      <c r="AL152"/>
      <c r="AM152"/>
      <c r="AN152"/>
      <c r="AO152"/>
      <c r="AP152"/>
      <c r="AQ152"/>
      <c r="AR152"/>
      <c r="AS152" s="68"/>
      <c r="AT152" s="68"/>
      <c r="AU152" s="68"/>
      <c r="AV152" s="68"/>
      <c r="AW152" s="69"/>
      <c r="AX152" s="69"/>
      <c r="AY152" s="71"/>
    </row>
    <row r="153" spans="2:51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K153"/>
      <c r="AL153"/>
      <c r="AM153"/>
      <c r="AN153"/>
      <c r="AO153"/>
      <c r="AP153"/>
      <c r="AQ153"/>
      <c r="AR153"/>
      <c r="AS153" s="68"/>
      <c r="AT153" s="68"/>
      <c r="AU153" s="68"/>
      <c r="AV153" s="68"/>
      <c r="AW153" s="69"/>
      <c r="AX153" s="69"/>
      <c r="AY153" s="71"/>
    </row>
    <row r="154" spans="2:51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K154"/>
      <c r="AL154"/>
      <c r="AM154"/>
      <c r="AN154"/>
      <c r="AO154"/>
      <c r="AP154"/>
      <c r="AQ154"/>
      <c r="AR154"/>
      <c r="AS154" s="68"/>
      <c r="AT154" s="68"/>
      <c r="AU154" s="68"/>
      <c r="AV154" s="68"/>
      <c r="AW154" s="68"/>
      <c r="AX154" s="69"/>
      <c r="AY154" s="71"/>
    </row>
    <row r="155" spans="2:51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K155"/>
      <c r="AL155"/>
      <c r="AM155"/>
      <c r="AN155"/>
      <c r="AO155"/>
      <c r="AP155"/>
      <c r="AQ155"/>
      <c r="AR155"/>
      <c r="AS155" s="68"/>
      <c r="AT155" s="68"/>
      <c r="AU155" s="68"/>
      <c r="AV155" s="68"/>
      <c r="AW155" s="69"/>
      <c r="AX155" s="69"/>
      <c r="AY155" s="71"/>
    </row>
    <row r="156" spans="2:51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K156"/>
      <c r="AL156"/>
      <c r="AM156"/>
      <c r="AN156"/>
      <c r="AO156"/>
      <c r="AP156"/>
      <c r="AQ156"/>
      <c r="AR156"/>
      <c r="AS156" s="68"/>
      <c r="AT156" s="68"/>
      <c r="AU156" s="68"/>
      <c r="AV156" s="68"/>
      <c r="AW156" s="69"/>
      <c r="AX156" s="69"/>
      <c r="AY156" s="71"/>
    </row>
    <row r="157" spans="2:51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K157"/>
      <c r="AL157"/>
      <c r="AM157"/>
      <c r="AN157"/>
      <c r="AO157"/>
      <c r="AP157"/>
      <c r="AQ157"/>
      <c r="AR157"/>
      <c r="AS157" s="68"/>
      <c r="AT157" s="68"/>
      <c r="AU157" s="68"/>
      <c r="AV157" s="68"/>
      <c r="AW157" s="69"/>
      <c r="AX157" s="69"/>
      <c r="AY157" s="71"/>
    </row>
    <row r="158" spans="2:51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K158"/>
      <c r="AL158"/>
      <c r="AM158"/>
      <c r="AN158"/>
      <c r="AO158"/>
      <c r="AP158"/>
      <c r="AQ158"/>
      <c r="AR158"/>
      <c r="AS158" s="68"/>
      <c r="AT158" s="68"/>
      <c r="AU158" s="68"/>
      <c r="AV158" s="68"/>
      <c r="AW158" s="68"/>
      <c r="AX158" s="69"/>
      <c r="AY158" s="71"/>
    </row>
    <row r="159" spans="2:51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K159"/>
      <c r="AL159"/>
      <c r="AM159"/>
      <c r="AN159"/>
      <c r="AO159"/>
      <c r="AP159"/>
      <c r="AQ159"/>
      <c r="AR159"/>
      <c r="AS159" s="68"/>
      <c r="AT159" s="68"/>
      <c r="AU159" s="68"/>
      <c r="AV159" s="68"/>
      <c r="AW159" s="69"/>
      <c r="AX159" s="69"/>
      <c r="AY159" s="71"/>
    </row>
    <row r="160" spans="2:51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K160"/>
      <c r="AL160"/>
      <c r="AM160"/>
      <c r="AN160"/>
      <c r="AO160"/>
      <c r="AP160"/>
      <c r="AQ160"/>
      <c r="AR160"/>
      <c r="AS160" s="68"/>
      <c r="AT160" s="68"/>
      <c r="AU160" s="68"/>
      <c r="AV160" s="68"/>
      <c r="AW160" s="69"/>
      <c r="AX160" s="69"/>
      <c r="AY160" s="71"/>
    </row>
    <row r="161" spans="2:51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K161"/>
      <c r="AL161"/>
      <c r="AM161"/>
      <c r="AN161"/>
      <c r="AO161"/>
      <c r="AP161"/>
      <c r="AQ161"/>
      <c r="AR161"/>
      <c r="AS161" s="68"/>
      <c r="AT161" s="68"/>
      <c r="AU161" s="68"/>
      <c r="AV161" s="68"/>
      <c r="AW161" s="69"/>
      <c r="AX161" s="69"/>
      <c r="AY161" s="71"/>
    </row>
    <row r="162" spans="2:51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K162"/>
      <c r="AL162"/>
      <c r="AM162"/>
      <c r="AN162"/>
      <c r="AO162"/>
      <c r="AP162"/>
      <c r="AQ162"/>
      <c r="AR162"/>
      <c r="AS162" s="68"/>
      <c r="AT162" s="68"/>
      <c r="AU162" s="68"/>
      <c r="AV162" s="68"/>
      <c r="AW162" s="69"/>
      <c r="AX162" s="69"/>
      <c r="AY162" s="71"/>
    </row>
    <row r="163" spans="2:51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K163"/>
      <c r="AL163"/>
      <c r="AM163"/>
      <c r="AN163"/>
      <c r="AO163"/>
      <c r="AP163"/>
      <c r="AQ163"/>
      <c r="AR163"/>
      <c r="AS163" s="68"/>
      <c r="AT163" s="68"/>
      <c r="AU163" s="68"/>
      <c r="AV163" s="68"/>
      <c r="AW163" s="68"/>
      <c r="AX163" s="69"/>
      <c r="AY163" s="71"/>
    </row>
    <row r="164" spans="2:51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K164"/>
      <c r="AL164"/>
      <c r="AM164"/>
      <c r="AN164"/>
      <c r="AO164"/>
      <c r="AP164"/>
      <c r="AQ164"/>
      <c r="AR164"/>
      <c r="AS164" s="68"/>
      <c r="AT164" s="68"/>
      <c r="AU164" s="68"/>
      <c r="AV164" s="68"/>
      <c r="AW164" s="69"/>
      <c r="AX164" s="69"/>
      <c r="AY164" s="71"/>
    </row>
    <row r="165" spans="2:51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K165"/>
      <c r="AL165"/>
      <c r="AM165"/>
      <c r="AN165"/>
      <c r="AO165"/>
      <c r="AP165"/>
      <c r="AQ165"/>
      <c r="AR165"/>
      <c r="AS165" s="68"/>
      <c r="AT165" s="68"/>
      <c r="AU165" s="68"/>
      <c r="AV165" s="68"/>
      <c r="AW165" s="69"/>
      <c r="AX165" s="69"/>
      <c r="AY165" s="71"/>
    </row>
    <row r="166" spans="2:51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K166"/>
      <c r="AL166"/>
      <c r="AM166"/>
      <c r="AN166"/>
      <c r="AO166"/>
      <c r="AP166"/>
      <c r="AQ166"/>
      <c r="AR166"/>
      <c r="AS166" s="68"/>
      <c r="AT166" s="68"/>
      <c r="AU166" s="68"/>
      <c r="AV166" s="68"/>
      <c r="AW166" s="69"/>
      <c r="AX166" s="69"/>
      <c r="AY166" s="71"/>
    </row>
    <row r="167" spans="2:51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K167"/>
      <c r="AL167"/>
      <c r="AM167"/>
      <c r="AN167"/>
      <c r="AO167"/>
      <c r="AP167"/>
      <c r="AQ167"/>
      <c r="AR167"/>
      <c r="AS167" s="68"/>
      <c r="AT167" s="68"/>
      <c r="AU167" s="68"/>
      <c r="AV167" s="68"/>
      <c r="AW167" s="68"/>
      <c r="AX167" s="69"/>
      <c r="AY167" s="71"/>
    </row>
    <row r="168" spans="2:51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K168"/>
      <c r="AL168"/>
      <c r="AM168"/>
      <c r="AN168"/>
      <c r="AO168"/>
      <c r="AP168"/>
      <c r="AQ168"/>
      <c r="AR168"/>
      <c r="AS168" s="68"/>
      <c r="AT168" s="68"/>
      <c r="AU168" s="68"/>
      <c r="AV168" s="68"/>
      <c r="AW168" s="68"/>
      <c r="AX168" s="69"/>
      <c r="AY168" s="71"/>
    </row>
    <row r="169" spans="2:51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K169"/>
      <c r="AL169"/>
      <c r="AM169"/>
      <c r="AN169"/>
      <c r="AO169"/>
      <c r="AP169"/>
      <c r="AQ169"/>
      <c r="AR169"/>
      <c r="AS169" s="68"/>
      <c r="AT169" s="68"/>
      <c r="AU169" s="68"/>
      <c r="AV169" s="68"/>
      <c r="AW169" s="69"/>
      <c r="AX169" s="69"/>
      <c r="AY169" s="71"/>
    </row>
    <row r="170" spans="2:51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K170"/>
      <c r="AL170"/>
      <c r="AM170"/>
      <c r="AN170"/>
      <c r="AO170"/>
      <c r="AP170"/>
      <c r="AQ170"/>
      <c r="AR170"/>
      <c r="AS170" s="68"/>
      <c r="AT170" s="68"/>
      <c r="AU170" s="68"/>
      <c r="AV170" s="68"/>
      <c r="AW170" s="69"/>
      <c r="AX170" s="69"/>
      <c r="AY170" s="71"/>
    </row>
    <row r="171" spans="2:51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K171"/>
      <c r="AL171"/>
      <c r="AM171"/>
      <c r="AN171"/>
      <c r="AO171"/>
      <c r="AP171"/>
      <c r="AQ171"/>
      <c r="AR171"/>
      <c r="AS171" s="68"/>
      <c r="AT171" s="68"/>
      <c r="AU171" s="68"/>
      <c r="AV171" s="68"/>
      <c r="AW171" s="69"/>
      <c r="AX171" s="69"/>
      <c r="AY171" s="71"/>
    </row>
    <row r="172" spans="2:51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K172"/>
      <c r="AL172"/>
      <c r="AM172"/>
      <c r="AN172"/>
      <c r="AO172"/>
      <c r="AP172"/>
      <c r="AQ172"/>
      <c r="AR172"/>
      <c r="AS172" s="68"/>
      <c r="AT172" s="68"/>
      <c r="AU172" s="68"/>
      <c r="AV172" s="68"/>
      <c r="AW172" s="69"/>
      <c r="AX172" s="69"/>
      <c r="AY172" s="71"/>
    </row>
    <row r="173" spans="2:51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K173"/>
      <c r="AL173"/>
      <c r="AM173"/>
      <c r="AN173"/>
      <c r="AO173"/>
      <c r="AP173"/>
      <c r="AQ173"/>
      <c r="AR173"/>
      <c r="AS173" s="68"/>
      <c r="AT173" s="68"/>
      <c r="AU173" s="68"/>
      <c r="AV173" s="68"/>
      <c r="AW173" s="69"/>
      <c r="AX173" s="69"/>
      <c r="AY173" s="71"/>
    </row>
    <row r="174" spans="2:51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K174"/>
      <c r="AL174"/>
      <c r="AM174"/>
      <c r="AN174"/>
      <c r="AO174"/>
      <c r="AP174"/>
      <c r="AQ174"/>
      <c r="AR174"/>
      <c r="AS174" s="68"/>
      <c r="AT174" s="68"/>
      <c r="AU174" s="68"/>
      <c r="AV174" s="68"/>
      <c r="AW174" s="68"/>
      <c r="AX174" s="69"/>
      <c r="AY174" s="71"/>
    </row>
    <row r="175" spans="2:51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K175"/>
      <c r="AL175"/>
      <c r="AM175"/>
      <c r="AN175"/>
      <c r="AO175"/>
      <c r="AP175"/>
      <c r="AQ175"/>
      <c r="AR175"/>
      <c r="AS175" s="68"/>
      <c r="AT175" s="68"/>
      <c r="AU175" s="68"/>
      <c r="AV175" s="68"/>
      <c r="AW175" s="69"/>
      <c r="AX175" s="69"/>
      <c r="AY175" s="71"/>
    </row>
    <row r="176" spans="2:51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K176"/>
      <c r="AL176"/>
      <c r="AM176"/>
      <c r="AN176"/>
      <c r="AO176"/>
      <c r="AP176"/>
      <c r="AQ176"/>
      <c r="AR176"/>
      <c r="AS176" s="68"/>
      <c r="AT176" s="68"/>
      <c r="AU176" s="68"/>
      <c r="AV176" s="68"/>
      <c r="AW176" s="69"/>
      <c r="AX176" s="69"/>
      <c r="AY176" s="71"/>
    </row>
    <row r="177" spans="2:51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K177"/>
      <c r="AL177"/>
      <c r="AM177"/>
      <c r="AN177"/>
      <c r="AO177"/>
      <c r="AP177"/>
      <c r="AQ177"/>
      <c r="AR177"/>
      <c r="AS177" s="68"/>
      <c r="AT177" s="68"/>
      <c r="AU177" s="68"/>
      <c r="AV177" s="68"/>
      <c r="AW177" s="69"/>
      <c r="AX177" s="69"/>
      <c r="AY177" s="71"/>
    </row>
    <row r="178" spans="2:51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K178"/>
      <c r="AL178"/>
      <c r="AM178"/>
      <c r="AN178"/>
      <c r="AO178"/>
      <c r="AP178"/>
      <c r="AQ178"/>
      <c r="AR178"/>
      <c r="AS178" s="68"/>
      <c r="AT178" s="68"/>
      <c r="AU178" s="68"/>
      <c r="AV178" s="68"/>
      <c r="AW178" s="68"/>
      <c r="AX178" s="69"/>
      <c r="AY178" s="71"/>
    </row>
    <row r="179" spans="2:51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K179"/>
      <c r="AL179"/>
      <c r="AM179"/>
      <c r="AN179"/>
      <c r="AO179"/>
      <c r="AP179"/>
      <c r="AQ179"/>
      <c r="AR179"/>
      <c r="AS179" s="68"/>
      <c r="AT179" s="68"/>
      <c r="AU179" s="68"/>
      <c r="AV179" s="68"/>
      <c r="AW179" s="69"/>
      <c r="AX179" s="69"/>
      <c r="AY179" s="71"/>
    </row>
    <row r="180" spans="2:51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K180"/>
      <c r="AL180"/>
      <c r="AM180"/>
      <c r="AN180"/>
      <c r="AO180"/>
      <c r="AP180"/>
      <c r="AQ180"/>
      <c r="AR180"/>
      <c r="AS180" s="68"/>
      <c r="AT180" s="68"/>
      <c r="AU180" s="68"/>
      <c r="AV180" s="68"/>
      <c r="AW180" s="69"/>
      <c r="AX180" s="69"/>
      <c r="AY180" s="71"/>
    </row>
    <row r="181" spans="2:51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K181"/>
      <c r="AL181"/>
      <c r="AM181"/>
      <c r="AN181"/>
      <c r="AO181"/>
      <c r="AP181"/>
      <c r="AQ181"/>
      <c r="AR181"/>
      <c r="AS181" s="68"/>
      <c r="AT181" s="68"/>
      <c r="AU181" s="68"/>
      <c r="AV181" s="68"/>
      <c r="AW181" s="69"/>
      <c r="AX181" s="69"/>
      <c r="AY181" s="71"/>
    </row>
    <row r="182" spans="2:51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K182"/>
      <c r="AL182"/>
      <c r="AM182"/>
      <c r="AN182"/>
      <c r="AO182"/>
      <c r="AP182"/>
      <c r="AQ182"/>
      <c r="AR182"/>
      <c r="AS182" s="68"/>
      <c r="AT182" s="68"/>
      <c r="AU182" s="68"/>
      <c r="AV182" s="68"/>
      <c r="AW182" s="69"/>
      <c r="AX182" s="69"/>
      <c r="AY182" s="71"/>
    </row>
    <row r="183" spans="2:51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K183"/>
      <c r="AL183"/>
      <c r="AM183"/>
      <c r="AN183"/>
      <c r="AO183"/>
      <c r="AP183"/>
      <c r="AQ183"/>
      <c r="AR183"/>
      <c r="AS183" s="68"/>
      <c r="AT183" s="68"/>
      <c r="AU183" s="68"/>
      <c r="AV183" s="68"/>
      <c r="AW183" s="68"/>
      <c r="AX183" s="69"/>
      <c r="AY183" s="71"/>
    </row>
    <row r="184" spans="2:51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K184"/>
      <c r="AL184"/>
      <c r="AM184"/>
      <c r="AN184"/>
      <c r="AO184"/>
      <c r="AP184"/>
      <c r="AQ184"/>
      <c r="AR184"/>
      <c r="AS184" s="68"/>
      <c r="AT184" s="68"/>
      <c r="AU184" s="68"/>
      <c r="AV184" s="68"/>
      <c r="AW184" s="69"/>
      <c r="AX184" s="69"/>
      <c r="AY184" s="71"/>
    </row>
    <row r="185" spans="2:51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K185"/>
      <c r="AL185"/>
      <c r="AM185"/>
      <c r="AN185"/>
      <c r="AO185"/>
      <c r="AP185"/>
      <c r="AQ185"/>
      <c r="AR185"/>
      <c r="AS185" s="68"/>
      <c r="AT185" s="68"/>
      <c r="AU185" s="68"/>
      <c r="AV185" s="68"/>
      <c r="AW185" s="69"/>
      <c r="AX185" s="69"/>
      <c r="AY185" s="71"/>
    </row>
    <row r="186" spans="2:51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K186"/>
      <c r="AL186"/>
      <c r="AM186"/>
      <c r="AN186"/>
      <c r="AO186"/>
      <c r="AP186"/>
      <c r="AQ186"/>
      <c r="AR186"/>
      <c r="AS186" s="68"/>
      <c r="AT186" s="68"/>
      <c r="AU186" s="68"/>
      <c r="AV186" s="68"/>
      <c r="AW186" s="69"/>
      <c r="AX186" s="69"/>
      <c r="AY186" s="71"/>
    </row>
    <row r="187" spans="2:51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K187"/>
      <c r="AL187"/>
      <c r="AM187"/>
      <c r="AN187"/>
      <c r="AO187"/>
      <c r="AP187"/>
      <c r="AQ187"/>
      <c r="AR187"/>
      <c r="AS187" s="68"/>
      <c r="AT187" s="68"/>
      <c r="AU187" s="68"/>
      <c r="AV187" s="68"/>
      <c r="AW187" s="68"/>
      <c r="AX187" s="69"/>
      <c r="AY187" s="71"/>
    </row>
    <row r="188" spans="2:51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K188"/>
      <c r="AL188"/>
      <c r="AM188"/>
      <c r="AN188"/>
      <c r="AO188"/>
      <c r="AP188"/>
      <c r="AQ188"/>
      <c r="AR188"/>
      <c r="AS188" s="68"/>
      <c r="AT188" s="68"/>
      <c r="AU188" s="68"/>
      <c r="AV188" s="68"/>
      <c r="AW188" s="68"/>
      <c r="AX188" s="69"/>
      <c r="AY188" s="71"/>
    </row>
    <row r="189" spans="2:51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K189"/>
      <c r="AL189"/>
      <c r="AM189"/>
      <c r="AN189"/>
      <c r="AO189"/>
      <c r="AP189"/>
      <c r="AQ189"/>
      <c r="AR189"/>
      <c r="AS189" s="68"/>
      <c r="AT189" s="68"/>
      <c r="AU189" s="68"/>
      <c r="AV189" s="68"/>
      <c r="AW189" s="69"/>
      <c r="AX189" s="69"/>
      <c r="AY189" s="71"/>
    </row>
    <row r="190" spans="2:51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K190"/>
      <c r="AL190"/>
      <c r="AM190"/>
      <c r="AN190"/>
      <c r="AO190"/>
      <c r="AP190"/>
      <c r="AQ190"/>
      <c r="AR190"/>
      <c r="AS190" s="68"/>
      <c r="AT190" s="68"/>
      <c r="AU190" s="68"/>
      <c r="AV190" s="68"/>
      <c r="AW190" s="69"/>
      <c r="AX190" s="69"/>
      <c r="AY190" s="71"/>
    </row>
    <row r="191" spans="2:51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K191"/>
      <c r="AL191"/>
      <c r="AM191"/>
      <c r="AN191"/>
      <c r="AO191"/>
      <c r="AP191"/>
      <c r="AQ191"/>
      <c r="AR191"/>
      <c r="AS191" s="68"/>
      <c r="AT191" s="68"/>
      <c r="AU191" s="68"/>
      <c r="AV191" s="68"/>
      <c r="AW191" s="69"/>
      <c r="AX191" s="69"/>
      <c r="AY191" s="71"/>
    </row>
    <row r="192" spans="2:51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K192"/>
      <c r="AL192"/>
      <c r="AM192"/>
      <c r="AN192"/>
      <c r="AO192"/>
      <c r="AP192"/>
      <c r="AQ192"/>
      <c r="AR192"/>
      <c r="AS192" s="68"/>
      <c r="AT192" s="68"/>
      <c r="AU192" s="68"/>
      <c r="AV192" s="68"/>
      <c r="AW192" s="69"/>
      <c r="AX192" s="69"/>
      <c r="AY192" s="71"/>
    </row>
    <row r="193" spans="2:51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K193"/>
      <c r="AL193"/>
      <c r="AM193"/>
      <c r="AN193"/>
      <c r="AO193"/>
      <c r="AP193"/>
      <c r="AQ193"/>
      <c r="AR193"/>
      <c r="AS193" s="68"/>
      <c r="AT193" s="68"/>
      <c r="AU193" s="68"/>
      <c r="AV193" s="68"/>
      <c r="AW193" s="69"/>
      <c r="AX193" s="69"/>
      <c r="AY193" s="71"/>
    </row>
    <row r="194" spans="2:51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K194"/>
      <c r="AL194"/>
      <c r="AM194"/>
      <c r="AN194"/>
      <c r="AO194"/>
      <c r="AP194"/>
      <c r="AQ194"/>
      <c r="AR194"/>
      <c r="AS194" s="68"/>
      <c r="AT194" s="68"/>
      <c r="AU194" s="68"/>
      <c r="AV194" s="68"/>
      <c r="AW194" s="69"/>
      <c r="AX194" s="69"/>
      <c r="AY194" s="71"/>
    </row>
    <row r="195" spans="2:51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K195"/>
      <c r="AL195"/>
      <c r="AM195"/>
      <c r="AN195"/>
      <c r="AO195"/>
      <c r="AP195"/>
      <c r="AQ195"/>
      <c r="AR195"/>
      <c r="AS195" s="68"/>
      <c r="AT195" s="68"/>
      <c r="AU195" s="68"/>
      <c r="AV195" s="68"/>
      <c r="AW195" s="68"/>
      <c r="AX195" s="69"/>
      <c r="AY195" s="71"/>
    </row>
    <row r="196" spans="2:51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K196"/>
      <c r="AL196"/>
      <c r="AM196"/>
      <c r="AN196"/>
      <c r="AO196"/>
      <c r="AP196"/>
      <c r="AQ196"/>
      <c r="AR196"/>
      <c r="AS196" s="68"/>
      <c r="AT196" s="68"/>
      <c r="AU196" s="68"/>
      <c r="AV196" s="68"/>
      <c r="AW196" s="69"/>
      <c r="AX196" s="69"/>
      <c r="AY196" s="71"/>
    </row>
    <row r="197" spans="2:51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K197"/>
      <c r="AL197"/>
      <c r="AM197"/>
      <c r="AN197"/>
      <c r="AO197"/>
      <c r="AP197"/>
      <c r="AQ197"/>
      <c r="AR197"/>
      <c r="AS197" s="68"/>
      <c r="AT197" s="68"/>
      <c r="AU197" s="68"/>
      <c r="AV197" s="68"/>
      <c r="AW197" s="69"/>
      <c r="AX197" s="69"/>
      <c r="AY197" s="71"/>
    </row>
    <row r="198" spans="2:51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K198"/>
      <c r="AL198"/>
      <c r="AM198"/>
      <c r="AN198"/>
      <c r="AO198"/>
      <c r="AP198"/>
      <c r="AQ198"/>
      <c r="AR198"/>
      <c r="AS198" s="68"/>
      <c r="AT198" s="68"/>
      <c r="AU198" s="68"/>
      <c r="AV198" s="68"/>
      <c r="AW198" s="69"/>
      <c r="AX198" s="69"/>
      <c r="AY198" s="71"/>
    </row>
    <row r="199" spans="2:51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K199"/>
      <c r="AL199"/>
      <c r="AM199"/>
      <c r="AN199"/>
      <c r="AO199"/>
      <c r="AP199"/>
      <c r="AQ199"/>
      <c r="AR199"/>
      <c r="AS199" s="68"/>
      <c r="AT199" s="68"/>
      <c r="AU199" s="68"/>
      <c r="AV199" s="68"/>
      <c r="AW199" s="68"/>
      <c r="AX199" s="69"/>
      <c r="AY199" s="71"/>
    </row>
    <row r="200" spans="2:51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K200"/>
      <c r="AL200"/>
      <c r="AM200"/>
      <c r="AN200"/>
      <c r="AO200"/>
      <c r="AP200"/>
      <c r="AQ200"/>
      <c r="AR200"/>
      <c r="AS200" s="68"/>
      <c r="AT200" s="68"/>
      <c r="AU200" s="68"/>
      <c r="AV200" s="68"/>
      <c r="AW200" s="69"/>
      <c r="AX200" s="69"/>
      <c r="AY200" s="71"/>
    </row>
    <row r="201" spans="2:51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K201"/>
      <c r="AL201"/>
      <c r="AM201"/>
      <c r="AN201"/>
      <c r="AO201"/>
      <c r="AP201"/>
      <c r="AQ201"/>
      <c r="AR201"/>
      <c r="AS201" s="68"/>
      <c r="AT201" s="68"/>
      <c r="AU201" s="68"/>
      <c r="AV201" s="68"/>
      <c r="AW201" s="69"/>
      <c r="AX201" s="69"/>
      <c r="AY201" s="71"/>
    </row>
    <row r="202" spans="2:51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K202"/>
      <c r="AL202"/>
      <c r="AM202"/>
      <c r="AN202"/>
      <c r="AO202"/>
      <c r="AP202"/>
      <c r="AQ202"/>
      <c r="AR202"/>
      <c r="AS202" s="68"/>
      <c r="AT202" s="68"/>
      <c r="AU202" s="68"/>
      <c r="AV202" s="68"/>
      <c r="AW202" s="69"/>
      <c r="AX202" s="69"/>
      <c r="AY202" s="71"/>
    </row>
    <row r="203" spans="2:51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K203"/>
      <c r="AL203"/>
      <c r="AM203"/>
      <c r="AN203"/>
      <c r="AO203"/>
      <c r="AP203"/>
      <c r="AQ203"/>
      <c r="AR203"/>
      <c r="AS203" s="68"/>
      <c r="AT203" s="68"/>
      <c r="AU203" s="68"/>
      <c r="AV203" s="68"/>
      <c r="AW203" s="69"/>
      <c r="AX203" s="69"/>
      <c r="AY203" s="71"/>
    </row>
    <row r="204" spans="2:51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K204"/>
      <c r="AL204"/>
      <c r="AM204"/>
      <c r="AN204"/>
      <c r="AO204"/>
      <c r="AP204"/>
      <c r="AQ204"/>
      <c r="AR204"/>
      <c r="AS204" s="68"/>
      <c r="AT204" s="68"/>
      <c r="AU204" s="68"/>
      <c r="AV204" s="68"/>
      <c r="AW204" s="68"/>
      <c r="AX204" s="69"/>
      <c r="AY204" s="71"/>
    </row>
    <row r="205" spans="2:51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K205"/>
      <c r="AL205"/>
      <c r="AM205"/>
      <c r="AN205"/>
      <c r="AO205"/>
      <c r="AP205"/>
      <c r="AQ205"/>
      <c r="AR205"/>
      <c r="AS205" s="68"/>
      <c r="AT205" s="68"/>
      <c r="AU205" s="68"/>
      <c r="AV205" s="68"/>
      <c r="AW205" s="69"/>
      <c r="AX205" s="69"/>
      <c r="AY205" s="71"/>
    </row>
    <row r="206" spans="2:51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K206"/>
      <c r="AL206"/>
      <c r="AM206"/>
      <c r="AN206"/>
      <c r="AO206"/>
      <c r="AP206"/>
      <c r="AQ206"/>
      <c r="AR206"/>
      <c r="AS206" s="68"/>
      <c r="AT206" s="68"/>
      <c r="AU206" s="68"/>
      <c r="AV206" s="68"/>
      <c r="AW206" s="69"/>
      <c r="AX206" s="69"/>
      <c r="AY206" s="71"/>
    </row>
    <row r="207" spans="2:51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K207"/>
      <c r="AL207"/>
      <c r="AM207"/>
      <c r="AN207"/>
      <c r="AO207"/>
      <c r="AP207"/>
      <c r="AQ207"/>
      <c r="AR207"/>
      <c r="AS207" s="68"/>
      <c r="AT207" s="68"/>
      <c r="AU207" s="68"/>
      <c r="AV207" s="68"/>
      <c r="AW207" s="69"/>
      <c r="AX207" s="69"/>
      <c r="AY207" s="71"/>
    </row>
    <row r="208" spans="2:51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K208"/>
      <c r="AL208"/>
      <c r="AM208"/>
      <c r="AN208"/>
      <c r="AO208"/>
      <c r="AP208"/>
      <c r="AQ208"/>
      <c r="AR208"/>
      <c r="AS208" s="68"/>
      <c r="AT208" s="68"/>
      <c r="AU208" s="68"/>
      <c r="AV208" s="68"/>
      <c r="AW208" s="68"/>
      <c r="AX208" s="69"/>
      <c r="AY208" s="71"/>
    </row>
    <row r="209" spans="2:51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K209"/>
      <c r="AL209"/>
      <c r="AM209"/>
      <c r="AN209"/>
      <c r="AO209"/>
      <c r="AP209"/>
      <c r="AQ209"/>
      <c r="AR209"/>
      <c r="AS209" s="68"/>
      <c r="AT209" s="68"/>
      <c r="AU209" s="68"/>
      <c r="AV209" s="68"/>
      <c r="AW209" s="68"/>
      <c r="AX209" s="69"/>
      <c r="AY209" s="71"/>
    </row>
    <row r="210" spans="2:51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K210"/>
      <c r="AL210"/>
      <c r="AM210"/>
      <c r="AN210"/>
      <c r="AO210"/>
      <c r="AP210"/>
      <c r="AQ210"/>
      <c r="AR210"/>
      <c r="AS210" s="68"/>
      <c r="AT210" s="68"/>
      <c r="AU210" s="68"/>
      <c r="AV210" s="68"/>
      <c r="AW210" s="69"/>
      <c r="AX210" s="69"/>
      <c r="AY210" s="71"/>
    </row>
    <row r="211" spans="2:51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K211"/>
      <c r="AL211"/>
      <c r="AM211"/>
      <c r="AN211"/>
      <c r="AO211"/>
      <c r="AP211"/>
      <c r="AQ211"/>
      <c r="AR211"/>
      <c r="AS211" s="68"/>
      <c r="AT211" s="68"/>
      <c r="AU211" s="68"/>
      <c r="AV211" s="68"/>
      <c r="AW211" s="69"/>
      <c r="AX211" s="69"/>
      <c r="AY211" s="71"/>
    </row>
    <row r="212" spans="2:51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K212"/>
      <c r="AL212"/>
      <c r="AM212"/>
      <c r="AN212"/>
      <c r="AO212"/>
      <c r="AP212"/>
      <c r="AQ212"/>
      <c r="AR212"/>
      <c r="AS212" s="68"/>
      <c r="AT212" s="68"/>
      <c r="AU212" s="68"/>
      <c r="AV212" s="68"/>
      <c r="AW212" s="69"/>
      <c r="AX212" s="69"/>
      <c r="AY212" s="71"/>
    </row>
    <row r="213" spans="2:51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K213"/>
      <c r="AL213"/>
      <c r="AM213"/>
      <c r="AN213"/>
      <c r="AO213"/>
      <c r="AP213"/>
      <c r="AQ213"/>
      <c r="AR213"/>
      <c r="AS213" s="68"/>
      <c r="AT213" s="68"/>
      <c r="AU213" s="68"/>
      <c r="AV213" s="68"/>
      <c r="AW213" s="69"/>
      <c r="AX213" s="69"/>
      <c r="AY213" s="71"/>
    </row>
    <row r="214" spans="2:51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K214"/>
      <c r="AL214"/>
      <c r="AM214"/>
      <c r="AN214"/>
      <c r="AO214"/>
      <c r="AP214"/>
      <c r="AQ214"/>
      <c r="AR214"/>
      <c r="AS214" s="68"/>
      <c r="AT214" s="68"/>
      <c r="AU214" s="68"/>
      <c r="AV214" s="68"/>
      <c r="AW214" s="69"/>
      <c r="AX214" s="69"/>
      <c r="AY214" s="71"/>
    </row>
    <row r="215" spans="2:51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K215"/>
      <c r="AL215"/>
      <c r="AM215"/>
      <c r="AN215"/>
      <c r="AO215"/>
      <c r="AP215"/>
      <c r="AQ215"/>
      <c r="AR215"/>
      <c r="AS215" s="68"/>
      <c r="AT215" s="68"/>
      <c r="AU215" s="68"/>
      <c r="AV215" s="68"/>
      <c r="AW215" s="68"/>
      <c r="AX215" s="69"/>
      <c r="AY215" s="71"/>
    </row>
    <row r="216" spans="2:51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K216"/>
      <c r="AL216"/>
      <c r="AM216"/>
      <c r="AN216"/>
      <c r="AO216"/>
      <c r="AP216"/>
      <c r="AQ216"/>
      <c r="AR216"/>
      <c r="AS216" s="68"/>
      <c r="AT216" s="68"/>
      <c r="AU216" s="68"/>
      <c r="AV216" s="68"/>
      <c r="AW216" s="69"/>
      <c r="AX216" s="69"/>
      <c r="AY216" s="71"/>
    </row>
    <row r="217" spans="2:51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K217"/>
      <c r="AL217"/>
      <c r="AM217"/>
      <c r="AN217"/>
      <c r="AO217"/>
      <c r="AP217"/>
      <c r="AQ217"/>
      <c r="AR217"/>
      <c r="AS217" s="68"/>
      <c r="AT217" s="68"/>
      <c r="AU217" s="68"/>
      <c r="AV217" s="68"/>
      <c r="AW217" s="69"/>
      <c r="AX217" s="69"/>
      <c r="AY217" s="71"/>
    </row>
    <row r="218" spans="2:51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K218"/>
      <c r="AL218"/>
      <c r="AM218"/>
      <c r="AN218"/>
      <c r="AO218"/>
      <c r="AP218"/>
      <c r="AQ218"/>
      <c r="AR218"/>
      <c r="AS218" s="68"/>
      <c r="AT218" s="68"/>
      <c r="AU218" s="68"/>
      <c r="AV218" s="68"/>
      <c r="AW218" s="69"/>
      <c r="AX218" s="69"/>
      <c r="AY218" s="71"/>
    </row>
    <row r="219" spans="2:51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K219"/>
      <c r="AL219"/>
      <c r="AM219"/>
      <c r="AN219"/>
      <c r="AO219"/>
      <c r="AP219"/>
      <c r="AQ219"/>
      <c r="AR219"/>
      <c r="AS219" s="68"/>
      <c r="AT219" s="68"/>
      <c r="AU219" s="68"/>
      <c r="AV219" s="68"/>
      <c r="AW219" s="68"/>
      <c r="AX219" s="69"/>
      <c r="AY219" s="71"/>
    </row>
    <row r="220" spans="2:51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K220"/>
      <c r="AL220"/>
      <c r="AM220"/>
      <c r="AN220"/>
      <c r="AO220"/>
      <c r="AP220"/>
      <c r="AQ220"/>
      <c r="AR220"/>
      <c r="AS220" s="68"/>
      <c r="AT220" s="68"/>
      <c r="AU220" s="68"/>
      <c r="AV220" s="68"/>
      <c r="AW220" s="69"/>
      <c r="AX220" s="69"/>
      <c r="AY220" s="71"/>
    </row>
    <row r="221" spans="2:51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K221"/>
      <c r="AL221"/>
      <c r="AM221"/>
      <c r="AN221"/>
      <c r="AO221"/>
      <c r="AP221"/>
      <c r="AQ221"/>
      <c r="AR221"/>
      <c r="AS221" s="68"/>
      <c r="AT221" s="68"/>
      <c r="AU221" s="68"/>
      <c r="AV221" s="68"/>
      <c r="AW221" s="69"/>
      <c r="AX221" s="69"/>
      <c r="AY221" s="71"/>
    </row>
    <row r="222" spans="2:51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K222"/>
      <c r="AL222"/>
      <c r="AM222"/>
      <c r="AN222"/>
      <c r="AO222"/>
      <c r="AP222"/>
      <c r="AQ222"/>
      <c r="AR222"/>
      <c r="AS222" s="68"/>
      <c r="AT222" s="68"/>
      <c r="AU222" s="68"/>
      <c r="AV222" s="68"/>
      <c r="AW222" s="69"/>
      <c r="AX222" s="69"/>
      <c r="AY222" s="71"/>
    </row>
    <row r="223" spans="2:51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K223"/>
      <c r="AL223"/>
      <c r="AM223"/>
      <c r="AN223"/>
      <c r="AO223"/>
      <c r="AP223"/>
      <c r="AQ223"/>
      <c r="AR223"/>
      <c r="AS223" s="68"/>
      <c r="AT223" s="68"/>
      <c r="AU223" s="68"/>
      <c r="AV223" s="68"/>
      <c r="AW223" s="69"/>
      <c r="AX223" s="69"/>
      <c r="AY223" s="71"/>
    </row>
    <row r="224" spans="2:51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K224"/>
      <c r="AL224"/>
      <c r="AM224"/>
      <c r="AN224"/>
      <c r="AO224"/>
      <c r="AP224"/>
      <c r="AQ224"/>
      <c r="AR224"/>
      <c r="AS224" s="68"/>
      <c r="AT224" s="68"/>
      <c r="AU224" s="68"/>
      <c r="AV224" s="68"/>
      <c r="AW224" s="68"/>
      <c r="AX224" s="69"/>
      <c r="AY224" s="71"/>
    </row>
    <row r="225" spans="2:51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K225"/>
      <c r="AL225"/>
      <c r="AM225"/>
      <c r="AN225"/>
      <c r="AO225"/>
      <c r="AP225"/>
      <c r="AQ225"/>
      <c r="AR225"/>
      <c r="AS225" s="68"/>
      <c r="AT225" s="68"/>
      <c r="AU225" s="68"/>
      <c r="AV225" s="68"/>
      <c r="AW225" s="69"/>
      <c r="AX225" s="69"/>
      <c r="AY225" s="71"/>
    </row>
    <row r="226" spans="2:51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K226"/>
      <c r="AL226"/>
      <c r="AM226"/>
      <c r="AN226"/>
      <c r="AO226"/>
      <c r="AP226"/>
      <c r="AQ226"/>
      <c r="AR226"/>
      <c r="AS226" s="68"/>
      <c r="AT226" s="68"/>
      <c r="AU226" s="68"/>
      <c r="AV226" s="68"/>
      <c r="AW226" s="69"/>
      <c r="AX226" s="69"/>
      <c r="AY226" s="71"/>
    </row>
    <row r="227" spans="2:51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K227"/>
      <c r="AL227"/>
      <c r="AM227"/>
      <c r="AN227"/>
      <c r="AO227"/>
      <c r="AP227"/>
      <c r="AQ227"/>
      <c r="AR227"/>
      <c r="AS227" s="68"/>
      <c r="AT227" s="68"/>
      <c r="AU227" s="68"/>
      <c r="AV227" s="68"/>
      <c r="AW227" s="69"/>
      <c r="AX227" s="69"/>
      <c r="AY227" s="71"/>
    </row>
    <row r="228" spans="2:51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K228"/>
      <c r="AL228"/>
      <c r="AM228"/>
      <c r="AN228"/>
      <c r="AO228"/>
      <c r="AP228"/>
      <c r="AQ228"/>
      <c r="AR228"/>
      <c r="AS228" s="68"/>
      <c r="AT228" s="68"/>
      <c r="AU228" s="68"/>
      <c r="AV228" s="68"/>
      <c r="AW228" s="68"/>
      <c r="AX228" s="69"/>
      <c r="AY228" s="71"/>
    </row>
    <row r="229" spans="2:51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K229"/>
      <c r="AL229"/>
      <c r="AM229"/>
      <c r="AN229"/>
      <c r="AO229"/>
      <c r="AP229"/>
      <c r="AQ229"/>
      <c r="AR229"/>
      <c r="AS229" s="68"/>
      <c r="AT229" s="68"/>
      <c r="AU229" s="68"/>
      <c r="AV229" s="68"/>
      <c r="AW229" s="68"/>
      <c r="AX229" s="69"/>
      <c r="AY229" s="71"/>
    </row>
    <row r="230" spans="2:51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K230"/>
      <c r="AL230"/>
      <c r="AM230"/>
      <c r="AN230"/>
      <c r="AO230"/>
      <c r="AP230"/>
      <c r="AQ230"/>
      <c r="AR230"/>
      <c r="AS230" s="68"/>
      <c r="AT230" s="68"/>
      <c r="AU230" s="68"/>
      <c r="AV230" s="68"/>
      <c r="AW230" s="69"/>
      <c r="AX230" s="69"/>
      <c r="AY230" s="71"/>
    </row>
    <row r="231" spans="2:51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K231"/>
      <c r="AL231"/>
      <c r="AM231"/>
      <c r="AN231"/>
      <c r="AO231"/>
      <c r="AP231"/>
      <c r="AQ231"/>
      <c r="AR231"/>
      <c r="AS231" s="68"/>
      <c r="AT231" s="68"/>
      <c r="AU231" s="68"/>
      <c r="AV231" s="68"/>
      <c r="AW231" s="69"/>
      <c r="AX231" s="69"/>
      <c r="AY231" s="71"/>
    </row>
    <row r="232" spans="2:51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K232"/>
      <c r="AL232"/>
      <c r="AM232"/>
      <c r="AN232"/>
      <c r="AO232"/>
      <c r="AP232"/>
      <c r="AQ232"/>
      <c r="AR232"/>
      <c r="AS232" s="68"/>
      <c r="AT232" s="68"/>
      <c r="AU232" s="68"/>
      <c r="AV232" s="68"/>
      <c r="AW232" s="69"/>
      <c r="AX232" s="69"/>
      <c r="AY232" s="71"/>
    </row>
    <row r="233" spans="2:51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K233"/>
      <c r="AL233"/>
      <c r="AM233"/>
      <c r="AN233"/>
      <c r="AO233"/>
      <c r="AP233"/>
      <c r="AQ233"/>
      <c r="AR233"/>
      <c r="AS233" s="68"/>
      <c r="AT233" s="68"/>
      <c r="AU233" s="68"/>
      <c r="AV233" s="68"/>
      <c r="AW233" s="69"/>
      <c r="AX233" s="69"/>
      <c r="AY233" s="71"/>
    </row>
    <row r="234" spans="2:51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K234"/>
      <c r="AL234"/>
      <c r="AM234"/>
      <c r="AN234"/>
      <c r="AO234"/>
      <c r="AP234"/>
      <c r="AQ234"/>
      <c r="AR234"/>
      <c r="AS234" s="68"/>
      <c r="AT234" s="68"/>
      <c r="AU234" s="68"/>
      <c r="AV234" s="68"/>
      <c r="AW234" s="69"/>
      <c r="AX234" s="69"/>
      <c r="AY234" s="71"/>
    </row>
    <row r="235" spans="2:51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K235"/>
      <c r="AL235"/>
      <c r="AM235"/>
      <c r="AN235"/>
      <c r="AO235"/>
      <c r="AP235"/>
      <c r="AQ235"/>
      <c r="AR235"/>
      <c r="AS235" s="68"/>
      <c r="AT235" s="68"/>
      <c r="AU235" s="68"/>
      <c r="AV235" s="68"/>
      <c r="AW235" s="69"/>
      <c r="AX235" s="69"/>
      <c r="AY235" s="71"/>
    </row>
    <row r="236" spans="2:51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K236"/>
      <c r="AL236"/>
      <c r="AM236"/>
      <c r="AN236"/>
      <c r="AO236"/>
      <c r="AP236"/>
      <c r="AQ236"/>
      <c r="AR236"/>
      <c r="AS236" s="68"/>
      <c r="AT236" s="68"/>
      <c r="AU236" s="68"/>
      <c r="AV236" s="68"/>
      <c r="AW236" s="68"/>
      <c r="AX236" s="69"/>
      <c r="AY236" s="71"/>
    </row>
    <row r="237" spans="2:51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K237"/>
      <c r="AL237"/>
      <c r="AM237"/>
      <c r="AN237"/>
      <c r="AO237"/>
      <c r="AP237"/>
      <c r="AQ237"/>
      <c r="AR237"/>
      <c r="AS237" s="68"/>
      <c r="AT237" s="68"/>
      <c r="AU237" s="68"/>
      <c r="AV237" s="68"/>
      <c r="AW237" s="69"/>
      <c r="AX237" s="69"/>
      <c r="AY237" s="71"/>
    </row>
    <row r="238" spans="2:51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K238"/>
      <c r="AL238"/>
      <c r="AM238"/>
      <c r="AN238"/>
      <c r="AO238"/>
      <c r="AP238"/>
      <c r="AQ238"/>
      <c r="AR238"/>
      <c r="AS238" s="68"/>
      <c r="AT238" s="68"/>
      <c r="AU238" s="68"/>
      <c r="AV238" s="68"/>
      <c r="AW238" s="69"/>
      <c r="AX238" s="69"/>
      <c r="AY238" s="71"/>
    </row>
    <row r="239" spans="2:51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K239"/>
      <c r="AL239"/>
      <c r="AM239"/>
      <c r="AN239"/>
      <c r="AO239"/>
      <c r="AP239"/>
      <c r="AQ239"/>
      <c r="AR239"/>
      <c r="AS239" s="68"/>
      <c r="AT239" s="68"/>
      <c r="AU239" s="68"/>
      <c r="AV239" s="68"/>
      <c r="AW239" s="69"/>
      <c r="AX239" s="69"/>
      <c r="AY239" s="71"/>
    </row>
    <row r="240" spans="2:51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K240"/>
      <c r="AL240"/>
      <c r="AM240"/>
      <c r="AN240"/>
      <c r="AO240"/>
      <c r="AP240"/>
      <c r="AQ240"/>
      <c r="AR240"/>
      <c r="AS240" s="68"/>
      <c r="AT240" s="68"/>
      <c r="AU240" s="68"/>
      <c r="AV240" s="68"/>
      <c r="AW240" s="68"/>
      <c r="AX240" s="69"/>
      <c r="AY240" s="71"/>
    </row>
    <row r="241" spans="2:51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K241"/>
      <c r="AL241"/>
      <c r="AM241"/>
      <c r="AN241"/>
      <c r="AO241"/>
      <c r="AP241"/>
      <c r="AQ241"/>
      <c r="AR241"/>
      <c r="AS241" s="68"/>
      <c r="AT241" s="68"/>
      <c r="AU241" s="68"/>
      <c r="AV241" s="68"/>
      <c r="AW241" s="69"/>
      <c r="AX241" s="69"/>
      <c r="AY241" s="71"/>
    </row>
    <row r="242" spans="2:51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K242"/>
      <c r="AL242"/>
      <c r="AM242"/>
      <c r="AN242"/>
      <c r="AO242"/>
      <c r="AP242"/>
      <c r="AQ242"/>
      <c r="AR242"/>
      <c r="AS242" s="68"/>
      <c r="AT242" s="68"/>
      <c r="AU242" s="68"/>
      <c r="AV242" s="68"/>
      <c r="AW242" s="69"/>
      <c r="AX242" s="69"/>
      <c r="AY242" s="71"/>
    </row>
    <row r="243" spans="2:51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K243"/>
      <c r="AL243"/>
      <c r="AM243"/>
      <c r="AN243"/>
      <c r="AO243"/>
      <c r="AP243"/>
      <c r="AQ243"/>
      <c r="AR243"/>
      <c r="AS243" s="68"/>
      <c r="AT243" s="68"/>
      <c r="AU243" s="68"/>
      <c r="AV243" s="68"/>
      <c r="AW243" s="69"/>
      <c r="AX243" s="69"/>
      <c r="AY243" s="71"/>
    </row>
    <row r="244" spans="2:51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K244"/>
      <c r="AL244"/>
      <c r="AM244"/>
      <c r="AN244"/>
      <c r="AO244"/>
      <c r="AP244"/>
      <c r="AQ244"/>
      <c r="AR244"/>
      <c r="AS244" s="68"/>
      <c r="AT244" s="68"/>
      <c r="AU244" s="68"/>
      <c r="AV244" s="68"/>
      <c r="AW244" s="69"/>
      <c r="AX244" s="69"/>
      <c r="AY244" s="71"/>
    </row>
    <row r="245" spans="2:51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K245"/>
      <c r="AL245"/>
      <c r="AM245"/>
      <c r="AN245"/>
      <c r="AO245"/>
      <c r="AP245"/>
      <c r="AQ245"/>
      <c r="AR245"/>
      <c r="AS245" s="68"/>
      <c r="AT245" s="68"/>
      <c r="AU245" s="68"/>
      <c r="AV245" s="68"/>
      <c r="AW245" s="68"/>
      <c r="AX245" s="69"/>
      <c r="AY245" s="71"/>
    </row>
    <row r="246" spans="2:51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K246"/>
      <c r="AL246"/>
      <c r="AM246"/>
      <c r="AN246"/>
      <c r="AO246"/>
      <c r="AP246"/>
      <c r="AQ246"/>
      <c r="AR246"/>
      <c r="AS246" s="68"/>
      <c r="AT246" s="68"/>
      <c r="AU246" s="68"/>
      <c r="AV246" s="68"/>
      <c r="AW246" s="69"/>
      <c r="AX246" s="69"/>
      <c r="AY246" s="71"/>
    </row>
    <row r="247" spans="2:51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K247"/>
      <c r="AL247"/>
      <c r="AM247"/>
      <c r="AN247"/>
      <c r="AO247"/>
      <c r="AP247"/>
      <c r="AQ247"/>
      <c r="AR247"/>
      <c r="AS247" s="68"/>
      <c r="AT247" s="68"/>
      <c r="AU247" s="68"/>
      <c r="AV247" s="68"/>
      <c r="AW247" s="69"/>
      <c r="AX247" s="69"/>
      <c r="AY247" s="71"/>
    </row>
    <row r="248" spans="2:51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K248"/>
      <c r="AL248"/>
      <c r="AM248"/>
      <c r="AN248"/>
      <c r="AO248"/>
      <c r="AP248"/>
      <c r="AQ248"/>
      <c r="AR248"/>
      <c r="AS248" s="68"/>
      <c r="AT248" s="68"/>
      <c r="AU248" s="68"/>
      <c r="AV248" s="68"/>
      <c r="AW248" s="69"/>
      <c r="AX248" s="69"/>
      <c r="AY248" s="71"/>
    </row>
    <row r="249" spans="2:51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K249"/>
      <c r="AL249"/>
      <c r="AM249"/>
      <c r="AN249"/>
      <c r="AO249"/>
      <c r="AP249"/>
      <c r="AQ249"/>
      <c r="AR249"/>
      <c r="AS249" s="68"/>
      <c r="AT249" s="68"/>
      <c r="AU249" s="68"/>
      <c r="AV249" s="68"/>
      <c r="AW249" s="68"/>
      <c r="AX249" s="69"/>
      <c r="AY249" s="71"/>
    </row>
    <row r="250" spans="2:51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K250"/>
      <c r="AL250"/>
      <c r="AM250"/>
      <c r="AN250"/>
      <c r="AO250"/>
      <c r="AP250"/>
      <c r="AQ250"/>
      <c r="AR250"/>
      <c r="AS250" s="68"/>
      <c r="AT250" s="68"/>
      <c r="AU250" s="68"/>
      <c r="AV250" s="68"/>
      <c r="AW250" s="68"/>
      <c r="AX250" s="69"/>
      <c r="AY250" s="71"/>
    </row>
    <row r="251" spans="2:51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K251"/>
      <c r="AL251"/>
      <c r="AM251"/>
      <c r="AN251"/>
      <c r="AO251"/>
      <c r="AP251"/>
      <c r="AQ251"/>
      <c r="AR251"/>
      <c r="AS251" s="68"/>
      <c r="AT251" s="68"/>
      <c r="AU251" s="68"/>
      <c r="AV251" s="68"/>
      <c r="AW251" s="69"/>
      <c r="AX251" s="69"/>
      <c r="AY251" s="71"/>
    </row>
    <row r="252" spans="2:51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K252"/>
      <c r="AL252"/>
      <c r="AM252"/>
      <c r="AN252"/>
      <c r="AO252"/>
      <c r="AP252"/>
      <c r="AQ252"/>
      <c r="AR252"/>
      <c r="AS252" s="68"/>
      <c r="AT252" s="68"/>
      <c r="AU252" s="68"/>
      <c r="AV252" s="68"/>
      <c r="AW252" s="69"/>
      <c r="AX252" s="69"/>
      <c r="AY252" s="71"/>
    </row>
    <row r="253" spans="2:51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K253"/>
      <c r="AL253"/>
      <c r="AM253"/>
      <c r="AN253"/>
      <c r="AO253"/>
      <c r="AP253"/>
      <c r="AQ253"/>
      <c r="AR253"/>
      <c r="AS253" s="68"/>
      <c r="AT253" s="68"/>
      <c r="AU253" s="68"/>
      <c r="AV253" s="68"/>
      <c r="AW253" s="68"/>
      <c r="AX253" s="69"/>
      <c r="AY253" s="71"/>
    </row>
    <row r="254" spans="2:51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K254"/>
      <c r="AL254"/>
      <c r="AM254"/>
      <c r="AN254"/>
      <c r="AO254"/>
      <c r="AP254"/>
      <c r="AQ254"/>
      <c r="AR254"/>
      <c r="AS254" s="68"/>
      <c r="AT254" s="68"/>
      <c r="AU254" s="68"/>
      <c r="AV254" s="68"/>
      <c r="AW254" s="69"/>
      <c r="AX254" s="69"/>
      <c r="AY254" s="71"/>
    </row>
    <row r="255" spans="2:51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K255"/>
      <c r="AL255"/>
      <c r="AM255"/>
      <c r="AN255"/>
      <c r="AO255"/>
      <c r="AP255"/>
      <c r="AQ255"/>
      <c r="AR255"/>
      <c r="AS255" s="68"/>
      <c r="AT255" s="68"/>
      <c r="AU255" s="68"/>
      <c r="AV255" s="68"/>
      <c r="AW255" s="69"/>
      <c r="AX255" s="69"/>
      <c r="AY255" s="71"/>
    </row>
    <row r="256" spans="2:51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K256"/>
      <c r="AL256"/>
      <c r="AM256"/>
      <c r="AN256"/>
      <c r="AO256"/>
      <c r="AP256"/>
      <c r="AQ256"/>
      <c r="AR256"/>
      <c r="AS256" s="68"/>
      <c r="AT256" s="68"/>
      <c r="AU256" s="68"/>
      <c r="AV256" s="68"/>
      <c r="AW256" s="69"/>
      <c r="AX256" s="69"/>
      <c r="AY256" s="71"/>
    </row>
    <row r="257" spans="2:51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K257"/>
      <c r="AL257"/>
      <c r="AM257"/>
      <c r="AN257"/>
      <c r="AO257"/>
      <c r="AP257"/>
      <c r="AQ257"/>
      <c r="AR257"/>
      <c r="AS257" s="68"/>
      <c r="AT257" s="68"/>
      <c r="AU257" s="68"/>
      <c r="AV257" s="68"/>
      <c r="AW257" s="68"/>
      <c r="AX257" s="69"/>
      <c r="AY257" s="71"/>
    </row>
    <row r="258" spans="2:51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K258"/>
      <c r="AL258"/>
      <c r="AM258"/>
      <c r="AN258"/>
      <c r="AO258"/>
      <c r="AP258"/>
      <c r="AQ258"/>
      <c r="AR258"/>
      <c r="AS258" s="68"/>
      <c r="AT258" s="68"/>
      <c r="AU258" s="68"/>
      <c r="AV258" s="68"/>
      <c r="AW258" s="69"/>
      <c r="AX258" s="69"/>
      <c r="AY258" s="71"/>
    </row>
    <row r="259" spans="2:51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K259"/>
      <c r="AL259"/>
      <c r="AM259"/>
      <c r="AN259"/>
      <c r="AO259"/>
      <c r="AP259"/>
      <c r="AQ259"/>
      <c r="AR259"/>
      <c r="AS259" s="68"/>
      <c r="AT259" s="68"/>
      <c r="AU259" s="68"/>
      <c r="AV259" s="68"/>
      <c r="AW259" s="69"/>
      <c r="AX259" s="69"/>
      <c r="AY259" s="71"/>
    </row>
    <row r="260" spans="2:51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K260"/>
      <c r="AL260"/>
      <c r="AM260"/>
      <c r="AN260"/>
      <c r="AO260"/>
      <c r="AP260"/>
      <c r="AQ260"/>
      <c r="AR260"/>
      <c r="AS260" s="68"/>
      <c r="AT260" s="68"/>
      <c r="AU260" s="68"/>
      <c r="AV260" s="68"/>
      <c r="AW260" s="69"/>
      <c r="AX260" s="69"/>
      <c r="AY260" s="71"/>
    </row>
    <row r="261" spans="2:51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K261"/>
      <c r="AL261"/>
      <c r="AM261"/>
      <c r="AN261"/>
      <c r="AO261"/>
      <c r="AP261"/>
      <c r="AQ261"/>
      <c r="AR261"/>
      <c r="AS261" s="68"/>
      <c r="AT261" s="68"/>
      <c r="AU261" s="68"/>
      <c r="AV261" s="68"/>
      <c r="AW261" s="69"/>
      <c r="AX261" s="69"/>
      <c r="AY261" s="71"/>
    </row>
    <row r="262" spans="2:51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K262"/>
      <c r="AL262"/>
      <c r="AM262"/>
      <c r="AN262"/>
      <c r="AO262"/>
      <c r="AP262"/>
      <c r="AQ262"/>
      <c r="AR262"/>
      <c r="AS262" s="68"/>
      <c r="AT262" s="68"/>
      <c r="AU262" s="68"/>
      <c r="AV262" s="68"/>
      <c r="AW262" s="68"/>
      <c r="AX262" s="69"/>
      <c r="AY262" s="71"/>
    </row>
    <row r="263" spans="2:51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K263"/>
      <c r="AL263"/>
      <c r="AM263"/>
      <c r="AN263"/>
      <c r="AO263"/>
      <c r="AP263"/>
      <c r="AQ263"/>
      <c r="AR263"/>
      <c r="AS263" s="68"/>
      <c r="AT263" s="68"/>
      <c r="AU263" s="68"/>
      <c r="AV263" s="68"/>
      <c r="AW263" s="69"/>
      <c r="AX263" s="69"/>
      <c r="AY263" s="71"/>
    </row>
    <row r="264" spans="2:51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K264"/>
      <c r="AL264"/>
      <c r="AM264"/>
      <c r="AN264"/>
      <c r="AO264"/>
      <c r="AP264"/>
      <c r="AQ264"/>
      <c r="AR264"/>
      <c r="AS264" s="68"/>
      <c r="AT264" s="68"/>
      <c r="AU264" s="68"/>
      <c r="AV264" s="68"/>
      <c r="AW264" s="69"/>
      <c r="AX264" s="69"/>
      <c r="AY264" s="71"/>
    </row>
    <row r="265" spans="2:51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K265"/>
      <c r="AL265"/>
      <c r="AM265"/>
      <c r="AN265"/>
      <c r="AO265"/>
      <c r="AP265"/>
      <c r="AQ265"/>
      <c r="AR265"/>
      <c r="AS265" s="68"/>
      <c r="AT265" s="68"/>
      <c r="AU265" s="68"/>
      <c r="AV265" s="68"/>
      <c r="AW265" s="69"/>
      <c r="AX265" s="69"/>
      <c r="AY265" s="71"/>
    </row>
    <row r="266" spans="2:51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K266"/>
      <c r="AL266"/>
      <c r="AM266"/>
      <c r="AN266"/>
      <c r="AO266"/>
      <c r="AP266"/>
      <c r="AQ266"/>
      <c r="AR266"/>
      <c r="AS266" s="68"/>
      <c r="AT266" s="68"/>
      <c r="AU266" s="68"/>
      <c r="AV266" s="68"/>
      <c r="AW266" s="68"/>
      <c r="AX266" s="69"/>
      <c r="AY266" s="71"/>
    </row>
    <row r="267" spans="2:51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K267"/>
      <c r="AL267"/>
      <c r="AM267"/>
      <c r="AN267"/>
      <c r="AO267"/>
      <c r="AP267"/>
      <c r="AQ267"/>
      <c r="AR267"/>
      <c r="AS267" s="68"/>
      <c r="AT267" s="68"/>
      <c r="AU267" s="68"/>
      <c r="AV267" s="68"/>
      <c r="AW267" s="68"/>
      <c r="AX267" s="69"/>
      <c r="AY267" s="71"/>
    </row>
    <row r="268" spans="2:51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K268"/>
      <c r="AL268"/>
      <c r="AM268"/>
      <c r="AN268"/>
      <c r="AO268"/>
      <c r="AP268"/>
      <c r="AQ268"/>
      <c r="AR268"/>
      <c r="AS268" s="68"/>
      <c r="AT268" s="68"/>
      <c r="AU268" s="68"/>
      <c r="AV268" s="68"/>
      <c r="AW268" s="69"/>
      <c r="AX268" s="69"/>
      <c r="AY268" s="71"/>
    </row>
    <row r="269" spans="2:51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K269"/>
      <c r="AL269"/>
      <c r="AM269"/>
      <c r="AN269"/>
      <c r="AO269"/>
      <c r="AP269"/>
      <c r="AQ269"/>
      <c r="AR269"/>
      <c r="AS269" s="68"/>
      <c r="AT269" s="68"/>
      <c r="AU269" s="68"/>
      <c r="AV269" s="68"/>
      <c r="AW269" s="69"/>
      <c r="AX269" s="69"/>
      <c r="AY269" s="71"/>
    </row>
    <row r="270" spans="2:51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K270"/>
      <c r="AL270"/>
      <c r="AM270"/>
      <c r="AN270"/>
      <c r="AO270"/>
      <c r="AP270"/>
      <c r="AQ270"/>
      <c r="AR270"/>
      <c r="AS270" s="68"/>
      <c r="AT270" s="68"/>
      <c r="AU270" s="68"/>
      <c r="AV270" s="68"/>
      <c r="AW270" s="69"/>
      <c r="AX270" s="69"/>
      <c r="AY270" s="71"/>
    </row>
    <row r="271" spans="2:51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K271"/>
      <c r="AL271"/>
      <c r="AM271"/>
      <c r="AN271"/>
      <c r="AO271"/>
      <c r="AP271"/>
      <c r="AQ271"/>
      <c r="AR271"/>
      <c r="AS271" s="68"/>
      <c r="AT271" s="68"/>
      <c r="AU271" s="68"/>
      <c r="AV271" s="68"/>
      <c r="AW271" s="69"/>
      <c r="AX271" s="69"/>
      <c r="AY271" s="71"/>
    </row>
    <row r="272" spans="2:51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K272"/>
      <c r="AL272"/>
      <c r="AM272"/>
      <c r="AN272"/>
      <c r="AO272"/>
      <c r="AP272"/>
      <c r="AQ272"/>
      <c r="AR272"/>
      <c r="AS272" s="68"/>
      <c r="AT272" s="68"/>
      <c r="AU272" s="68"/>
      <c r="AV272" s="68"/>
      <c r="AW272" s="69"/>
      <c r="AX272" s="69"/>
      <c r="AY272" s="71"/>
    </row>
    <row r="273" spans="2:51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K273"/>
      <c r="AL273"/>
      <c r="AM273"/>
      <c r="AN273"/>
      <c r="AO273"/>
      <c r="AP273"/>
      <c r="AQ273"/>
      <c r="AR273"/>
      <c r="AS273" s="68"/>
      <c r="AT273" s="68"/>
      <c r="AU273" s="68"/>
      <c r="AV273" s="68"/>
      <c r="AW273" s="69"/>
      <c r="AX273" s="69"/>
      <c r="AY273" s="71"/>
    </row>
    <row r="274" spans="2:51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K274"/>
      <c r="AL274"/>
      <c r="AM274"/>
      <c r="AN274"/>
      <c r="AO274"/>
      <c r="AP274"/>
      <c r="AQ274"/>
      <c r="AR274"/>
      <c r="AS274" s="68"/>
      <c r="AT274" s="68"/>
      <c r="AU274" s="68"/>
      <c r="AV274" s="68"/>
      <c r="AW274" s="68"/>
      <c r="AX274" s="69"/>
      <c r="AY274" s="71"/>
    </row>
    <row r="275" spans="2:51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K275"/>
      <c r="AL275"/>
      <c r="AM275"/>
      <c r="AN275"/>
      <c r="AO275"/>
      <c r="AP275"/>
      <c r="AQ275"/>
      <c r="AR275"/>
      <c r="AS275" s="68"/>
      <c r="AT275" s="68"/>
      <c r="AU275" s="68"/>
      <c r="AV275" s="68"/>
      <c r="AW275" s="69"/>
      <c r="AX275" s="69"/>
      <c r="AY275" s="71"/>
    </row>
    <row r="276" spans="2:51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K276"/>
      <c r="AL276"/>
      <c r="AM276"/>
      <c r="AN276"/>
      <c r="AO276"/>
      <c r="AP276"/>
      <c r="AQ276"/>
      <c r="AR276"/>
      <c r="AS276" s="68"/>
      <c r="AT276" s="68"/>
      <c r="AU276" s="68"/>
      <c r="AV276" s="68"/>
      <c r="AW276" s="69"/>
      <c r="AX276" s="69"/>
      <c r="AY276" s="71"/>
    </row>
    <row r="277" spans="2:51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K277"/>
      <c r="AL277"/>
      <c r="AM277"/>
      <c r="AN277"/>
      <c r="AO277"/>
      <c r="AP277"/>
      <c r="AQ277"/>
      <c r="AR277"/>
      <c r="AS277" s="68"/>
      <c r="AT277" s="68"/>
      <c r="AU277" s="68"/>
      <c r="AV277" s="68"/>
      <c r="AW277" s="69"/>
      <c r="AX277" s="69"/>
      <c r="AY277" s="71"/>
    </row>
    <row r="278" spans="2:51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K278"/>
      <c r="AL278"/>
      <c r="AM278"/>
      <c r="AN278"/>
      <c r="AO278"/>
      <c r="AP278"/>
      <c r="AQ278"/>
      <c r="AR278"/>
      <c r="AS278" s="68"/>
      <c r="AT278" s="68"/>
      <c r="AU278" s="68"/>
      <c r="AV278" s="68"/>
      <c r="AW278" s="68"/>
      <c r="AX278" s="69"/>
      <c r="AY278" s="71"/>
    </row>
    <row r="279" spans="2:51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K279"/>
      <c r="AL279"/>
      <c r="AM279"/>
      <c r="AN279"/>
      <c r="AO279"/>
      <c r="AP279"/>
      <c r="AQ279"/>
      <c r="AR279"/>
      <c r="AS279" s="68"/>
      <c r="AT279" s="68"/>
      <c r="AU279" s="68"/>
      <c r="AV279" s="68"/>
      <c r="AW279" s="69"/>
      <c r="AX279" s="69"/>
      <c r="AY279" s="71"/>
    </row>
    <row r="280" spans="2:51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K280"/>
      <c r="AL280"/>
      <c r="AM280"/>
      <c r="AN280"/>
      <c r="AO280"/>
      <c r="AP280"/>
      <c r="AQ280"/>
      <c r="AR280"/>
      <c r="AS280" s="68"/>
      <c r="AT280" s="68"/>
      <c r="AU280" s="68"/>
      <c r="AV280" s="68"/>
      <c r="AW280" s="69"/>
      <c r="AX280" s="69"/>
      <c r="AY280" s="71"/>
    </row>
    <row r="281" spans="2:51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K281"/>
      <c r="AL281"/>
      <c r="AM281"/>
      <c r="AN281"/>
      <c r="AO281"/>
      <c r="AP281"/>
      <c r="AQ281"/>
      <c r="AR281"/>
      <c r="AS281" s="68"/>
      <c r="AT281" s="68"/>
      <c r="AU281" s="68"/>
      <c r="AV281" s="68"/>
      <c r="AW281" s="69"/>
      <c r="AX281" s="69"/>
      <c r="AY281" s="71"/>
    </row>
    <row r="282" spans="2:51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K282"/>
      <c r="AL282"/>
      <c r="AM282"/>
      <c r="AN282"/>
      <c r="AO282"/>
      <c r="AP282"/>
      <c r="AQ282"/>
      <c r="AR282"/>
      <c r="AS282" s="68"/>
      <c r="AT282" s="68"/>
      <c r="AU282" s="68"/>
      <c r="AV282" s="68"/>
      <c r="AW282" s="69"/>
      <c r="AX282" s="69"/>
      <c r="AY282" s="71"/>
    </row>
    <row r="283" spans="2:51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K283"/>
      <c r="AL283"/>
      <c r="AM283"/>
      <c r="AN283"/>
      <c r="AO283"/>
      <c r="AP283"/>
      <c r="AQ283"/>
      <c r="AR283"/>
      <c r="AS283" s="68"/>
      <c r="AT283" s="68"/>
      <c r="AU283" s="68"/>
      <c r="AV283" s="68"/>
      <c r="AW283" s="68"/>
      <c r="AX283" s="69"/>
      <c r="AY283" s="71"/>
    </row>
    <row r="284" spans="2:51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K284"/>
      <c r="AL284"/>
      <c r="AM284"/>
      <c r="AN284"/>
      <c r="AO284"/>
      <c r="AP284"/>
      <c r="AQ284"/>
      <c r="AR284"/>
      <c r="AS284" s="68"/>
      <c r="AT284" s="68"/>
      <c r="AU284" s="68"/>
      <c r="AV284" s="68"/>
      <c r="AW284" s="69"/>
      <c r="AX284" s="69"/>
      <c r="AY284" s="71"/>
    </row>
    <row r="285" spans="2:51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K285"/>
      <c r="AL285"/>
      <c r="AM285"/>
      <c r="AN285"/>
      <c r="AO285"/>
      <c r="AP285"/>
      <c r="AQ285"/>
      <c r="AR285"/>
      <c r="AS285" s="68"/>
      <c r="AT285" s="68"/>
      <c r="AU285" s="68"/>
      <c r="AV285" s="68"/>
      <c r="AW285" s="69"/>
      <c r="AX285" s="69"/>
      <c r="AY285" s="71"/>
    </row>
    <row r="286" spans="2:51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K286"/>
      <c r="AL286"/>
      <c r="AM286"/>
      <c r="AN286"/>
      <c r="AO286"/>
      <c r="AP286"/>
      <c r="AQ286"/>
      <c r="AR286"/>
      <c r="AS286" s="68"/>
      <c r="AT286" s="68"/>
      <c r="AU286" s="68"/>
      <c r="AV286" s="68"/>
      <c r="AW286" s="69"/>
      <c r="AX286" s="69"/>
      <c r="AY286" s="71"/>
    </row>
    <row r="287" spans="2:51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K287"/>
      <c r="AL287"/>
      <c r="AM287"/>
      <c r="AN287"/>
      <c r="AO287"/>
      <c r="AP287"/>
      <c r="AQ287"/>
      <c r="AR287"/>
      <c r="AS287" s="68"/>
      <c r="AT287" s="68"/>
      <c r="AU287" s="68"/>
      <c r="AV287" s="68"/>
      <c r="AW287" s="68"/>
      <c r="AX287" s="69"/>
      <c r="AY287" s="71"/>
    </row>
    <row r="288" spans="2:51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K288"/>
      <c r="AL288"/>
      <c r="AM288"/>
      <c r="AN288"/>
      <c r="AO288"/>
      <c r="AP288"/>
      <c r="AQ288"/>
      <c r="AR288"/>
      <c r="AS288" s="68"/>
      <c r="AT288" s="68"/>
      <c r="AU288" s="68"/>
      <c r="AV288" s="68"/>
      <c r="AW288" s="68"/>
      <c r="AX288" s="69"/>
      <c r="AY288" s="71"/>
    </row>
    <row r="289" spans="2:51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K289"/>
      <c r="AL289"/>
      <c r="AM289"/>
      <c r="AN289"/>
      <c r="AO289"/>
      <c r="AP289"/>
      <c r="AQ289"/>
      <c r="AR289"/>
      <c r="AS289" s="68"/>
      <c r="AT289" s="68"/>
      <c r="AU289" s="68"/>
      <c r="AV289" s="68"/>
      <c r="AW289" s="69"/>
      <c r="AX289" s="69"/>
      <c r="AY289" s="71"/>
    </row>
    <row r="290" spans="2:51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K290"/>
      <c r="AL290"/>
      <c r="AM290"/>
      <c r="AN290"/>
      <c r="AO290"/>
      <c r="AP290"/>
      <c r="AQ290"/>
      <c r="AR290"/>
      <c r="AS290" s="68"/>
      <c r="AT290" s="68"/>
      <c r="AU290" s="68"/>
      <c r="AV290" s="68"/>
      <c r="AW290" s="69"/>
      <c r="AX290" s="69"/>
      <c r="AY290" s="71"/>
    </row>
    <row r="291" spans="2:51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K291"/>
      <c r="AL291"/>
      <c r="AM291"/>
      <c r="AN291"/>
      <c r="AO291"/>
      <c r="AP291"/>
      <c r="AQ291"/>
      <c r="AR291"/>
      <c r="AS291" s="68"/>
      <c r="AT291" s="68"/>
      <c r="AU291" s="68"/>
      <c r="AV291" s="68"/>
      <c r="AW291" s="69"/>
      <c r="AX291" s="69"/>
      <c r="AY291" s="71"/>
    </row>
    <row r="292" spans="2:51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K292"/>
      <c r="AL292"/>
      <c r="AM292"/>
      <c r="AN292"/>
      <c r="AO292"/>
      <c r="AP292"/>
      <c r="AQ292"/>
      <c r="AR292"/>
      <c r="AS292" s="68"/>
      <c r="AT292" s="68"/>
      <c r="AU292" s="68"/>
      <c r="AV292" s="68"/>
      <c r="AW292" s="69"/>
      <c r="AX292" s="69"/>
      <c r="AY292" s="71"/>
    </row>
    <row r="293" spans="2:51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K293"/>
      <c r="AL293"/>
      <c r="AM293"/>
      <c r="AN293"/>
      <c r="AO293"/>
      <c r="AP293"/>
      <c r="AQ293"/>
      <c r="AR293"/>
      <c r="AS293" s="68"/>
      <c r="AT293" s="68"/>
      <c r="AU293" s="68"/>
      <c r="AV293" s="68"/>
      <c r="AW293" s="69"/>
      <c r="AX293" s="69"/>
      <c r="AY293" s="71"/>
    </row>
    <row r="294" spans="2:51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K294"/>
      <c r="AL294"/>
      <c r="AM294"/>
      <c r="AN294"/>
      <c r="AO294"/>
      <c r="AP294"/>
      <c r="AQ294"/>
      <c r="AR294"/>
      <c r="AS294" s="68"/>
      <c r="AT294" s="68"/>
      <c r="AU294" s="68"/>
      <c r="AV294" s="68"/>
      <c r="AW294" s="68"/>
      <c r="AX294" s="69"/>
      <c r="AY294" s="71"/>
    </row>
    <row r="295" spans="2:51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K295"/>
      <c r="AL295"/>
      <c r="AM295"/>
      <c r="AN295"/>
      <c r="AO295"/>
      <c r="AP295"/>
      <c r="AQ295"/>
      <c r="AR295"/>
      <c r="AS295" s="68"/>
      <c r="AT295" s="68"/>
      <c r="AU295" s="68"/>
      <c r="AV295" s="68"/>
      <c r="AW295" s="69"/>
      <c r="AX295" s="69"/>
      <c r="AY295" s="71"/>
    </row>
    <row r="296" spans="2:51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K296"/>
      <c r="AL296"/>
      <c r="AM296"/>
      <c r="AN296"/>
      <c r="AO296"/>
      <c r="AP296"/>
      <c r="AQ296"/>
      <c r="AR296"/>
      <c r="AS296" s="68"/>
      <c r="AT296" s="68"/>
      <c r="AU296" s="68"/>
      <c r="AV296" s="68"/>
      <c r="AW296" s="69"/>
      <c r="AX296" s="69"/>
      <c r="AY296" s="71"/>
    </row>
    <row r="297" spans="2:51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K297"/>
      <c r="AL297"/>
      <c r="AM297"/>
      <c r="AN297"/>
      <c r="AO297"/>
      <c r="AP297"/>
      <c r="AQ297"/>
      <c r="AR297"/>
      <c r="AS297" s="68"/>
      <c r="AT297" s="68"/>
      <c r="AU297" s="68"/>
      <c r="AV297" s="68"/>
      <c r="AW297" s="69"/>
      <c r="AX297" s="69"/>
      <c r="AY297" s="71"/>
    </row>
    <row r="298" spans="2:51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K298"/>
      <c r="AL298"/>
      <c r="AM298"/>
      <c r="AN298"/>
      <c r="AO298"/>
      <c r="AP298"/>
      <c r="AQ298"/>
      <c r="AR298"/>
      <c r="AS298" s="68"/>
      <c r="AT298" s="68"/>
      <c r="AU298" s="68"/>
      <c r="AV298" s="68"/>
      <c r="AW298" s="68"/>
      <c r="AX298" s="69"/>
      <c r="AY298" s="71"/>
    </row>
    <row r="299" spans="2:51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K299"/>
      <c r="AL299"/>
      <c r="AM299"/>
      <c r="AN299"/>
      <c r="AO299"/>
      <c r="AP299"/>
      <c r="AQ299"/>
      <c r="AR299"/>
      <c r="AS299" s="68"/>
      <c r="AT299" s="68"/>
      <c r="AU299" s="68"/>
      <c r="AV299" s="68"/>
      <c r="AW299" s="69"/>
      <c r="AX299" s="69"/>
      <c r="AY299" s="71"/>
    </row>
    <row r="300" spans="2:51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K300"/>
      <c r="AL300"/>
      <c r="AM300"/>
      <c r="AN300"/>
      <c r="AO300"/>
      <c r="AP300"/>
      <c r="AQ300"/>
      <c r="AR300"/>
      <c r="AS300" s="68"/>
      <c r="AT300" s="68"/>
      <c r="AU300" s="68"/>
      <c r="AV300" s="68"/>
      <c r="AW300" s="69"/>
      <c r="AX300" s="69"/>
      <c r="AY300" s="71"/>
    </row>
    <row r="301" spans="2:51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K301"/>
      <c r="AL301"/>
      <c r="AM301"/>
      <c r="AN301"/>
      <c r="AO301"/>
      <c r="AP301"/>
      <c r="AQ301"/>
      <c r="AR301"/>
      <c r="AS301" s="68"/>
      <c r="AT301" s="68"/>
      <c r="AU301" s="68"/>
      <c r="AV301" s="68"/>
      <c r="AW301" s="69"/>
      <c r="AX301" s="69"/>
      <c r="AY301" s="71"/>
    </row>
    <row r="302" spans="2:51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K302"/>
      <c r="AL302"/>
      <c r="AM302"/>
      <c r="AN302"/>
      <c r="AO302"/>
      <c r="AP302"/>
      <c r="AQ302"/>
      <c r="AR302"/>
      <c r="AS302" s="68"/>
      <c r="AT302" s="68"/>
      <c r="AU302" s="68"/>
      <c r="AV302" s="68"/>
      <c r="AW302" s="69"/>
      <c r="AX302" s="69"/>
      <c r="AY302" s="71"/>
    </row>
    <row r="303" spans="2:51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K303"/>
      <c r="AL303"/>
      <c r="AM303"/>
      <c r="AN303"/>
      <c r="AO303"/>
      <c r="AP303"/>
      <c r="AQ303"/>
      <c r="AR303"/>
      <c r="AS303" s="68"/>
      <c r="AT303" s="68"/>
      <c r="AU303" s="68"/>
      <c r="AV303" s="68"/>
      <c r="AW303" s="68"/>
      <c r="AX303" s="69"/>
      <c r="AY303" s="71"/>
    </row>
    <row r="304" spans="2:51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K304"/>
      <c r="AL304"/>
      <c r="AM304"/>
      <c r="AN304"/>
      <c r="AO304"/>
      <c r="AP304"/>
      <c r="AQ304"/>
      <c r="AR304"/>
      <c r="AS304" s="68"/>
      <c r="AT304" s="68"/>
      <c r="AU304" s="68"/>
      <c r="AV304" s="68"/>
      <c r="AW304" s="69"/>
      <c r="AX304" s="69"/>
      <c r="AY304" s="71"/>
    </row>
    <row r="305" spans="2:51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K305"/>
      <c r="AL305"/>
      <c r="AM305"/>
      <c r="AN305"/>
      <c r="AO305"/>
      <c r="AP305"/>
      <c r="AQ305"/>
      <c r="AR305"/>
      <c r="AS305" s="68"/>
      <c r="AT305" s="68"/>
      <c r="AU305" s="68"/>
      <c r="AV305" s="68"/>
      <c r="AW305" s="69"/>
      <c r="AX305" s="69"/>
      <c r="AY305" s="71"/>
    </row>
    <row r="306" spans="2:51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K306"/>
      <c r="AL306"/>
      <c r="AM306"/>
      <c r="AN306"/>
      <c r="AO306"/>
      <c r="AP306"/>
      <c r="AQ306"/>
      <c r="AR306"/>
      <c r="AS306" s="68"/>
      <c r="AT306" s="68"/>
      <c r="AU306" s="68"/>
      <c r="AV306" s="68"/>
      <c r="AW306" s="69"/>
      <c r="AX306" s="69"/>
      <c r="AY306" s="71"/>
    </row>
    <row r="307" spans="2:51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K307"/>
      <c r="AL307"/>
      <c r="AM307"/>
      <c r="AN307"/>
      <c r="AO307"/>
      <c r="AP307"/>
      <c r="AQ307"/>
      <c r="AR307"/>
      <c r="AS307" s="68"/>
      <c r="AT307" s="68"/>
      <c r="AU307" s="68"/>
      <c r="AV307" s="68"/>
      <c r="AW307" s="68"/>
      <c r="AX307" s="69"/>
      <c r="AY307" s="71"/>
    </row>
    <row r="308" spans="2:51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K308"/>
      <c r="AL308"/>
      <c r="AM308"/>
      <c r="AN308"/>
      <c r="AO308"/>
      <c r="AP308"/>
      <c r="AQ308"/>
      <c r="AR308"/>
      <c r="AS308" s="68"/>
      <c r="AT308" s="68"/>
      <c r="AU308" s="68"/>
      <c r="AV308" s="68"/>
      <c r="AW308" s="68"/>
      <c r="AX308" s="69"/>
      <c r="AY308" s="71"/>
    </row>
    <row r="309" spans="2:51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K309"/>
      <c r="AL309"/>
      <c r="AM309"/>
      <c r="AN309"/>
      <c r="AO309"/>
      <c r="AP309"/>
      <c r="AQ309"/>
      <c r="AR309"/>
      <c r="AS309" s="68"/>
      <c r="AT309" s="68"/>
      <c r="AU309" s="68"/>
      <c r="AV309" s="68"/>
      <c r="AW309" s="69"/>
      <c r="AX309" s="69"/>
      <c r="AY309" s="71"/>
    </row>
    <row r="310" spans="2:51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K310"/>
      <c r="AL310"/>
      <c r="AM310"/>
      <c r="AN310"/>
      <c r="AO310"/>
      <c r="AP310"/>
      <c r="AQ310"/>
      <c r="AR310"/>
      <c r="AS310" s="68"/>
      <c r="AT310" s="68"/>
      <c r="AU310" s="68"/>
      <c r="AV310" s="68"/>
      <c r="AW310" s="69"/>
      <c r="AX310" s="69"/>
      <c r="AY310" s="71"/>
    </row>
    <row r="311" spans="2:51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K311"/>
      <c r="AL311"/>
      <c r="AM311"/>
      <c r="AN311"/>
      <c r="AO311"/>
      <c r="AP311"/>
      <c r="AQ311"/>
      <c r="AR311"/>
      <c r="AS311" s="68"/>
      <c r="AT311" s="68"/>
      <c r="AU311" s="68"/>
      <c r="AV311" s="68"/>
      <c r="AW311" s="69"/>
      <c r="AX311" s="69"/>
      <c r="AY311" s="71"/>
    </row>
    <row r="312" spans="2:51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K312"/>
      <c r="AL312"/>
      <c r="AM312"/>
      <c r="AN312"/>
      <c r="AO312"/>
      <c r="AP312"/>
      <c r="AQ312"/>
      <c r="AR312"/>
      <c r="AS312" s="68"/>
      <c r="AT312" s="68"/>
      <c r="AU312" s="68"/>
      <c r="AV312" s="68"/>
      <c r="AW312" s="69"/>
      <c r="AX312" s="69"/>
      <c r="AY312" s="71"/>
    </row>
    <row r="313" spans="2:51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K313"/>
      <c r="AL313"/>
      <c r="AM313"/>
      <c r="AN313"/>
      <c r="AO313"/>
      <c r="AP313"/>
      <c r="AQ313"/>
      <c r="AR313"/>
      <c r="AS313" s="68"/>
      <c r="AT313" s="68"/>
      <c r="AU313" s="68"/>
      <c r="AV313" s="68"/>
      <c r="AW313" s="69"/>
      <c r="AX313" s="69"/>
      <c r="AY313" s="71"/>
    </row>
    <row r="314" spans="2:51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K314"/>
      <c r="AL314"/>
      <c r="AM314"/>
      <c r="AN314"/>
      <c r="AO314"/>
      <c r="AP314"/>
      <c r="AQ314"/>
      <c r="AR314"/>
      <c r="AS314" s="68"/>
      <c r="AT314" s="68"/>
      <c r="AU314" s="68"/>
      <c r="AV314" s="68"/>
      <c r="AW314" s="69"/>
      <c r="AX314" s="69"/>
      <c r="AY314" s="71"/>
    </row>
    <row r="315" spans="2:51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K315"/>
      <c r="AL315"/>
      <c r="AM315"/>
      <c r="AN315"/>
      <c r="AO315"/>
      <c r="AP315"/>
      <c r="AQ315"/>
      <c r="AR315"/>
      <c r="AS315" s="68"/>
      <c r="AT315" s="68"/>
      <c r="AU315" s="68"/>
      <c r="AV315" s="68"/>
      <c r="AW315" s="68"/>
      <c r="AX315" s="69"/>
      <c r="AY315" s="71"/>
    </row>
    <row r="316" spans="2:51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K316"/>
      <c r="AL316"/>
      <c r="AM316"/>
      <c r="AN316"/>
      <c r="AO316"/>
      <c r="AP316"/>
      <c r="AQ316"/>
      <c r="AR316"/>
      <c r="AS316" s="68"/>
      <c r="AT316" s="68"/>
      <c r="AU316" s="68"/>
      <c r="AV316" s="68"/>
      <c r="AW316" s="69"/>
      <c r="AX316" s="69"/>
      <c r="AY316" s="71"/>
    </row>
    <row r="317" spans="2:51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K317"/>
      <c r="AL317"/>
      <c r="AM317"/>
      <c r="AN317"/>
      <c r="AO317"/>
      <c r="AP317"/>
      <c r="AQ317"/>
      <c r="AR317"/>
      <c r="AS317" s="68"/>
      <c r="AT317" s="68"/>
      <c r="AU317" s="68"/>
      <c r="AV317" s="68"/>
      <c r="AW317" s="69"/>
      <c r="AX317" s="69"/>
      <c r="AY317" s="71"/>
    </row>
    <row r="318" spans="2:51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K318"/>
      <c r="AL318"/>
      <c r="AM318"/>
      <c r="AN318"/>
      <c r="AO318"/>
      <c r="AP318"/>
      <c r="AQ318"/>
      <c r="AR318"/>
      <c r="AS318" s="68"/>
      <c r="AT318" s="68"/>
      <c r="AU318" s="68"/>
      <c r="AV318" s="68"/>
      <c r="AW318" s="69"/>
      <c r="AX318" s="69"/>
      <c r="AY318" s="71"/>
    </row>
    <row r="319" spans="2:51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K319"/>
      <c r="AL319"/>
      <c r="AM319"/>
      <c r="AN319"/>
      <c r="AO319"/>
      <c r="AP319"/>
      <c r="AQ319"/>
      <c r="AR319"/>
      <c r="AS319" s="68"/>
      <c r="AT319" s="68"/>
      <c r="AU319" s="68"/>
      <c r="AV319" s="68"/>
      <c r="AW319" s="68"/>
      <c r="AX319" s="69"/>
      <c r="AY319" s="71"/>
    </row>
    <row r="320" spans="2:51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K320"/>
      <c r="AL320"/>
      <c r="AM320"/>
      <c r="AN320"/>
      <c r="AO320"/>
      <c r="AP320"/>
      <c r="AQ320"/>
      <c r="AR320"/>
      <c r="AS320" s="68"/>
      <c r="AT320" s="68"/>
      <c r="AU320" s="68"/>
      <c r="AV320" s="68"/>
      <c r="AW320" s="69"/>
      <c r="AX320" s="69"/>
      <c r="AY320" s="71"/>
    </row>
    <row r="321" spans="2:51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K321"/>
      <c r="AL321"/>
      <c r="AM321"/>
      <c r="AN321"/>
      <c r="AO321"/>
      <c r="AP321"/>
      <c r="AQ321"/>
      <c r="AR321"/>
      <c r="AS321" s="68"/>
      <c r="AT321" s="68"/>
      <c r="AU321" s="68"/>
      <c r="AV321" s="68"/>
      <c r="AW321" s="69"/>
      <c r="AX321" s="69"/>
      <c r="AY321" s="71"/>
    </row>
    <row r="322" spans="2:51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K322"/>
      <c r="AL322"/>
      <c r="AM322"/>
      <c r="AN322"/>
      <c r="AO322"/>
      <c r="AP322"/>
      <c r="AQ322"/>
      <c r="AR322"/>
      <c r="AS322" s="68"/>
      <c r="AT322" s="68"/>
      <c r="AU322" s="68"/>
      <c r="AV322" s="68"/>
      <c r="AW322" s="69"/>
      <c r="AX322" s="69"/>
      <c r="AY322" s="71"/>
    </row>
    <row r="323" spans="2:51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K323"/>
      <c r="AL323"/>
      <c r="AM323"/>
      <c r="AN323"/>
      <c r="AO323"/>
      <c r="AP323"/>
      <c r="AQ323"/>
      <c r="AR323"/>
      <c r="AS323" s="68"/>
      <c r="AT323" s="68"/>
      <c r="AU323" s="68"/>
      <c r="AV323" s="68"/>
      <c r="AW323" s="69"/>
      <c r="AX323" s="69"/>
      <c r="AY323" s="71"/>
    </row>
    <row r="324" spans="2:51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K324"/>
      <c r="AL324"/>
      <c r="AM324"/>
      <c r="AN324"/>
      <c r="AO324"/>
      <c r="AP324"/>
      <c r="AQ324"/>
      <c r="AR324"/>
      <c r="AS324" s="68"/>
      <c r="AT324" s="68"/>
      <c r="AU324" s="68"/>
      <c r="AV324" s="68"/>
      <c r="AW324" s="68"/>
      <c r="AX324" s="69"/>
      <c r="AY324" s="71"/>
    </row>
    <row r="325" spans="2:51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K325"/>
      <c r="AL325"/>
      <c r="AM325"/>
      <c r="AN325"/>
      <c r="AO325"/>
      <c r="AP325"/>
      <c r="AQ325"/>
      <c r="AR325"/>
      <c r="AS325" s="68"/>
      <c r="AT325" s="68"/>
      <c r="AU325" s="68"/>
      <c r="AV325" s="68"/>
      <c r="AW325" s="69"/>
      <c r="AX325" s="69"/>
      <c r="AY325" s="71"/>
    </row>
    <row r="326" spans="2:51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K326"/>
      <c r="AL326"/>
      <c r="AM326"/>
      <c r="AN326"/>
      <c r="AO326"/>
      <c r="AP326"/>
      <c r="AQ326"/>
      <c r="AR326"/>
      <c r="AS326" s="68"/>
      <c r="AT326" s="68"/>
      <c r="AU326" s="68"/>
      <c r="AV326" s="68"/>
      <c r="AW326" s="69"/>
      <c r="AX326" s="69"/>
      <c r="AY326" s="71"/>
    </row>
    <row r="327" spans="2:51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K327"/>
      <c r="AL327"/>
      <c r="AM327"/>
      <c r="AN327"/>
      <c r="AO327"/>
      <c r="AP327"/>
      <c r="AQ327"/>
      <c r="AR327"/>
      <c r="AS327" s="68"/>
      <c r="AT327" s="68"/>
      <c r="AU327" s="68"/>
      <c r="AV327" s="68"/>
      <c r="AW327" s="69"/>
      <c r="AX327" s="69"/>
      <c r="AY327" s="71"/>
    </row>
    <row r="328" spans="2:51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K328"/>
      <c r="AL328"/>
      <c r="AM328"/>
      <c r="AN328"/>
      <c r="AO328"/>
      <c r="AP328"/>
      <c r="AQ328"/>
      <c r="AR328"/>
      <c r="AS328" s="68"/>
      <c r="AT328" s="68"/>
      <c r="AU328" s="68"/>
      <c r="AV328" s="68"/>
      <c r="AW328" s="68"/>
      <c r="AX328" s="69"/>
      <c r="AY328" s="71"/>
    </row>
    <row r="329" spans="2:51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K329"/>
      <c r="AL329"/>
      <c r="AM329"/>
      <c r="AN329"/>
      <c r="AO329"/>
      <c r="AP329"/>
      <c r="AQ329"/>
      <c r="AR329"/>
      <c r="AS329" s="68"/>
      <c r="AT329" s="68"/>
      <c r="AU329" s="68"/>
      <c r="AV329" s="68"/>
      <c r="AW329" s="68"/>
      <c r="AX329" s="69"/>
      <c r="AY329" s="71"/>
    </row>
    <row r="330" spans="2:51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K330"/>
      <c r="AL330"/>
      <c r="AM330"/>
      <c r="AN330"/>
      <c r="AO330"/>
      <c r="AP330"/>
      <c r="AQ330"/>
      <c r="AR330"/>
      <c r="AS330" s="68"/>
      <c r="AT330" s="68"/>
      <c r="AU330" s="68"/>
      <c r="AV330" s="68"/>
      <c r="AW330" s="69"/>
      <c r="AX330" s="69"/>
      <c r="AY330" s="71"/>
    </row>
    <row r="331" spans="2:51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K331"/>
      <c r="AL331"/>
      <c r="AM331"/>
      <c r="AN331"/>
      <c r="AO331"/>
      <c r="AP331"/>
      <c r="AQ331"/>
      <c r="AR331"/>
      <c r="AS331" s="68"/>
      <c r="AT331" s="68"/>
      <c r="AU331" s="68"/>
      <c r="AV331" s="68"/>
      <c r="AW331" s="69"/>
      <c r="AX331" s="69"/>
      <c r="AY331" s="71"/>
    </row>
    <row r="332" spans="2:51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K332"/>
      <c r="AL332"/>
      <c r="AM332"/>
      <c r="AN332"/>
      <c r="AO332"/>
      <c r="AP332"/>
      <c r="AQ332"/>
      <c r="AR332"/>
      <c r="AS332" s="68"/>
      <c r="AT332" s="68"/>
      <c r="AU332" s="68"/>
      <c r="AV332" s="68"/>
      <c r="AW332" s="69"/>
      <c r="AX332" s="69"/>
      <c r="AY332" s="71"/>
    </row>
    <row r="333" spans="2:51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K333"/>
      <c r="AL333"/>
      <c r="AM333"/>
      <c r="AN333"/>
      <c r="AO333"/>
      <c r="AP333"/>
      <c r="AQ333"/>
      <c r="AR333"/>
      <c r="AS333" s="68"/>
      <c r="AT333" s="68"/>
      <c r="AU333" s="68"/>
      <c r="AV333" s="68"/>
      <c r="AW333" s="69"/>
      <c r="AX333" s="69"/>
      <c r="AY333" s="71"/>
    </row>
    <row r="334" spans="2:51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K334"/>
      <c r="AL334"/>
      <c r="AM334"/>
      <c r="AN334"/>
      <c r="AO334"/>
      <c r="AP334"/>
      <c r="AQ334"/>
      <c r="AR334"/>
      <c r="AS334" s="68"/>
      <c r="AT334" s="68"/>
      <c r="AU334" s="68"/>
      <c r="AV334" s="68"/>
      <c r="AW334" s="69"/>
      <c r="AX334" s="69"/>
      <c r="AY334" s="71"/>
    </row>
    <row r="335" spans="2:51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K335"/>
      <c r="AL335"/>
      <c r="AM335"/>
      <c r="AN335"/>
      <c r="AO335"/>
      <c r="AP335"/>
      <c r="AQ335"/>
      <c r="AR335"/>
      <c r="AS335" s="68"/>
      <c r="AT335" s="68"/>
      <c r="AU335" s="68"/>
      <c r="AV335" s="68"/>
      <c r="AW335" s="68"/>
      <c r="AX335" s="69"/>
      <c r="AY335" s="71"/>
    </row>
    <row r="336" spans="2:51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K336"/>
      <c r="AL336"/>
      <c r="AM336"/>
      <c r="AN336"/>
      <c r="AO336"/>
      <c r="AP336"/>
      <c r="AQ336"/>
      <c r="AR336"/>
      <c r="AS336" s="68"/>
      <c r="AT336" s="68"/>
      <c r="AU336" s="68"/>
      <c r="AV336" s="68"/>
      <c r="AW336" s="69"/>
      <c r="AX336" s="69"/>
      <c r="AY336" s="71"/>
    </row>
    <row r="337" spans="2:51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K337"/>
      <c r="AL337"/>
      <c r="AM337"/>
      <c r="AN337"/>
      <c r="AO337"/>
      <c r="AP337"/>
      <c r="AQ337"/>
      <c r="AR337"/>
      <c r="AS337" s="68"/>
      <c r="AT337" s="68"/>
      <c r="AU337" s="68"/>
      <c r="AV337" s="68"/>
      <c r="AW337" s="69"/>
      <c r="AX337" s="69"/>
      <c r="AY337" s="71"/>
    </row>
    <row r="338" spans="2:51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K338"/>
      <c r="AL338"/>
      <c r="AM338"/>
      <c r="AN338"/>
      <c r="AO338"/>
      <c r="AP338"/>
      <c r="AQ338"/>
      <c r="AR338"/>
      <c r="AS338" s="68"/>
      <c r="AT338" s="68"/>
      <c r="AU338" s="68"/>
      <c r="AV338" s="68"/>
      <c r="AW338" s="69"/>
      <c r="AX338" s="69"/>
      <c r="AY338" s="71"/>
    </row>
    <row r="339" spans="2:51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K339"/>
      <c r="AL339"/>
      <c r="AM339"/>
      <c r="AN339"/>
      <c r="AO339"/>
      <c r="AP339"/>
      <c r="AQ339"/>
      <c r="AR339"/>
      <c r="AS339" s="68"/>
      <c r="AT339" s="68"/>
      <c r="AU339" s="68"/>
      <c r="AV339" s="68"/>
      <c r="AW339" s="68"/>
      <c r="AX339" s="69"/>
      <c r="AY339" s="71"/>
    </row>
    <row r="340" spans="2:51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K340"/>
      <c r="AL340"/>
      <c r="AM340"/>
      <c r="AN340"/>
      <c r="AO340"/>
      <c r="AP340"/>
      <c r="AQ340"/>
      <c r="AR340"/>
      <c r="AS340" s="68"/>
      <c r="AT340" s="68"/>
      <c r="AU340" s="68"/>
      <c r="AV340" s="68"/>
      <c r="AW340" s="69"/>
      <c r="AX340" s="69"/>
      <c r="AY340" s="71"/>
    </row>
    <row r="341" spans="2:51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K341"/>
      <c r="AL341"/>
      <c r="AM341"/>
      <c r="AN341"/>
      <c r="AO341"/>
      <c r="AP341"/>
      <c r="AQ341"/>
      <c r="AR341"/>
      <c r="AS341" s="68"/>
      <c r="AT341" s="68"/>
      <c r="AU341" s="68"/>
      <c r="AV341" s="68"/>
      <c r="AW341" s="69"/>
      <c r="AX341" s="69"/>
      <c r="AY341" s="71"/>
    </row>
    <row r="342" spans="2:51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K342"/>
      <c r="AL342"/>
      <c r="AM342"/>
      <c r="AN342"/>
      <c r="AO342"/>
      <c r="AP342"/>
      <c r="AQ342"/>
      <c r="AR342"/>
      <c r="AS342" s="68"/>
      <c r="AT342" s="68"/>
      <c r="AU342" s="68"/>
      <c r="AV342" s="68"/>
      <c r="AW342" s="69"/>
      <c r="AX342" s="69"/>
      <c r="AY342" s="71"/>
    </row>
    <row r="343" spans="2:51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K343"/>
      <c r="AL343"/>
      <c r="AM343"/>
      <c r="AN343"/>
      <c r="AO343"/>
      <c r="AP343"/>
      <c r="AQ343"/>
      <c r="AR343"/>
      <c r="AS343" s="68"/>
      <c r="AT343" s="68"/>
      <c r="AU343" s="68"/>
      <c r="AV343" s="68"/>
      <c r="AW343" s="69"/>
      <c r="AX343" s="69"/>
      <c r="AY343" s="71"/>
    </row>
    <row r="344" spans="2:51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K344"/>
      <c r="AL344"/>
      <c r="AM344"/>
      <c r="AN344"/>
      <c r="AO344"/>
      <c r="AP344"/>
      <c r="AQ344"/>
      <c r="AR344"/>
      <c r="AS344" s="68"/>
      <c r="AT344" s="68"/>
      <c r="AU344" s="68"/>
      <c r="AV344" s="68"/>
      <c r="AW344" s="68"/>
      <c r="AX344" s="69"/>
      <c r="AY344" s="71"/>
    </row>
    <row r="345" spans="2:51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K345"/>
      <c r="AL345"/>
      <c r="AM345"/>
      <c r="AN345"/>
      <c r="AO345"/>
      <c r="AP345"/>
      <c r="AQ345"/>
      <c r="AR345"/>
      <c r="AS345" s="68"/>
      <c r="AT345" s="68"/>
      <c r="AU345" s="68"/>
      <c r="AV345" s="68"/>
      <c r="AW345" s="69"/>
      <c r="AX345" s="69"/>
      <c r="AY345" s="71"/>
    </row>
    <row r="346" spans="2:51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K346"/>
      <c r="AL346"/>
      <c r="AM346"/>
      <c r="AN346"/>
      <c r="AO346"/>
      <c r="AP346"/>
      <c r="AQ346"/>
      <c r="AR346"/>
      <c r="AS346" s="68"/>
      <c r="AT346" s="68"/>
      <c r="AU346" s="68"/>
      <c r="AV346" s="68"/>
      <c r="AW346" s="69"/>
      <c r="AX346" s="69"/>
      <c r="AY346" s="71"/>
    </row>
    <row r="347" spans="2:51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K347"/>
      <c r="AL347"/>
      <c r="AM347"/>
      <c r="AN347"/>
      <c r="AO347"/>
      <c r="AP347"/>
      <c r="AQ347"/>
      <c r="AR347"/>
      <c r="AS347" s="68"/>
      <c r="AT347" s="68"/>
      <c r="AU347" s="68"/>
      <c r="AV347" s="68"/>
      <c r="AW347" s="69"/>
      <c r="AX347" s="69"/>
      <c r="AY347" s="71"/>
    </row>
    <row r="348" spans="2:51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K348"/>
      <c r="AL348"/>
      <c r="AM348"/>
      <c r="AN348"/>
      <c r="AO348"/>
      <c r="AP348"/>
      <c r="AQ348"/>
      <c r="AR348"/>
      <c r="AS348" s="68"/>
      <c r="AT348" s="68"/>
      <c r="AU348" s="68"/>
      <c r="AV348" s="68"/>
      <c r="AW348" s="68"/>
      <c r="AX348" s="69"/>
      <c r="AY348" s="71"/>
    </row>
    <row r="349" spans="2:51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K349"/>
      <c r="AL349"/>
      <c r="AM349"/>
      <c r="AN349"/>
      <c r="AO349"/>
      <c r="AP349"/>
      <c r="AQ349"/>
      <c r="AR349"/>
      <c r="AS349" s="68"/>
      <c r="AT349" s="68"/>
      <c r="AU349" s="68"/>
      <c r="AV349" s="68"/>
      <c r="AW349" s="68"/>
      <c r="AX349" s="69"/>
      <c r="AY349" s="71"/>
    </row>
    <row r="350" spans="2:51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K350"/>
      <c r="AL350"/>
      <c r="AM350"/>
      <c r="AN350"/>
      <c r="AO350"/>
      <c r="AP350"/>
      <c r="AQ350"/>
      <c r="AR350"/>
      <c r="AS350" s="68"/>
      <c r="AT350" s="68"/>
      <c r="AU350" s="68"/>
      <c r="AV350" s="68"/>
      <c r="AW350" s="69"/>
      <c r="AX350" s="69"/>
      <c r="AY350" s="71"/>
    </row>
    <row r="351" spans="2:51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K351"/>
      <c r="AL351"/>
      <c r="AM351"/>
      <c r="AN351"/>
      <c r="AO351"/>
      <c r="AP351"/>
      <c r="AQ351"/>
      <c r="AR351"/>
      <c r="AS351" s="68"/>
      <c r="AT351" s="68"/>
      <c r="AU351" s="68"/>
      <c r="AV351" s="68"/>
      <c r="AW351" s="69"/>
      <c r="AX351" s="69"/>
      <c r="AY351" s="71"/>
    </row>
    <row r="352" spans="2:51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K352"/>
      <c r="AL352"/>
      <c r="AM352"/>
      <c r="AN352"/>
      <c r="AO352"/>
      <c r="AP352"/>
      <c r="AQ352"/>
      <c r="AR352"/>
      <c r="AS352" s="68"/>
      <c r="AT352" s="68"/>
      <c r="AU352" s="68"/>
      <c r="AV352" s="68"/>
      <c r="AW352" s="69"/>
      <c r="AX352" s="69"/>
      <c r="AY352" s="71"/>
    </row>
    <row r="353" spans="2:51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K353"/>
      <c r="AL353"/>
      <c r="AM353"/>
      <c r="AN353"/>
      <c r="AO353"/>
      <c r="AP353"/>
      <c r="AQ353"/>
      <c r="AR353"/>
      <c r="AS353" s="68"/>
      <c r="AT353" s="68"/>
      <c r="AU353" s="68"/>
      <c r="AV353" s="68"/>
      <c r="AW353" s="69"/>
      <c r="AX353" s="69"/>
      <c r="AY353" s="71"/>
    </row>
    <row r="354" spans="2:51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K354"/>
      <c r="AL354"/>
      <c r="AM354"/>
      <c r="AN354"/>
      <c r="AO354"/>
      <c r="AP354"/>
      <c r="AQ354"/>
      <c r="AR354"/>
      <c r="AS354" s="68"/>
      <c r="AT354" s="68"/>
      <c r="AU354" s="68"/>
      <c r="AV354" s="68"/>
      <c r="AW354" s="69"/>
      <c r="AX354" s="69"/>
      <c r="AY354" s="71"/>
    </row>
    <row r="355" spans="2:51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K355"/>
      <c r="AL355"/>
      <c r="AM355"/>
      <c r="AN355"/>
      <c r="AO355"/>
      <c r="AP355"/>
      <c r="AQ355"/>
      <c r="AR355"/>
      <c r="AS355" s="68"/>
      <c r="AT355" s="68"/>
      <c r="AU355" s="68"/>
      <c r="AV355" s="68"/>
      <c r="AW355" s="69"/>
      <c r="AX355" s="69"/>
      <c r="AY355" s="71"/>
    </row>
    <row r="356" spans="2:51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K356"/>
      <c r="AL356"/>
      <c r="AM356"/>
      <c r="AN356"/>
      <c r="AO356"/>
      <c r="AP356"/>
      <c r="AQ356"/>
      <c r="AR356"/>
      <c r="AS356" s="68"/>
      <c r="AT356" s="68"/>
      <c r="AU356" s="68"/>
      <c r="AV356" s="68"/>
      <c r="AW356" s="68"/>
      <c r="AX356" s="69"/>
      <c r="AY356" s="71"/>
    </row>
    <row r="357" spans="2:51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K357"/>
      <c r="AL357"/>
      <c r="AM357"/>
      <c r="AN357"/>
      <c r="AO357"/>
      <c r="AP357"/>
      <c r="AQ357"/>
      <c r="AR357"/>
      <c r="AS357" s="68"/>
      <c r="AT357" s="68"/>
      <c r="AU357" s="68"/>
      <c r="AV357" s="68"/>
      <c r="AW357" s="69"/>
      <c r="AX357" s="69"/>
      <c r="AY357" s="71"/>
    </row>
    <row r="358" spans="2:51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K358"/>
      <c r="AL358"/>
      <c r="AM358"/>
      <c r="AN358"/>
      <c r="AO358"/>
      <c r="AP358"/>
      <c r="AQ358"/>
      <c r="AR358"/>
      <c r="AS358" s="68"/>
      <c r="AT358" s="68"/>
      <c r="AU358" s="68"/>
      <c r="AV358" s="68"/>
      <c r="AW358" s="69"/>
      <c r="AX358" s="69"/>
      <c r="AY358" s="71"/>
    </row>
    <row r="359" spans="2:51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K359"/>
      <c r="AL359"/>
      <c r="AM359"/>
      <c r="AN359"/>
      <c r="AO359"/>
      <c r="AP359"/>
      <c r="AQ359"/>
      <c r="AR359"/>
      <c r="AS359" s="68"/>
      <c r="AT359" s="68"/>
      <c r="AU359" s="68"/>
      <c r="AV359" s="68"/>
      <c r="AW359" s="69"/>
      <c r="AX359" s="69"/>
      <c r="AY359" s="71"/>
    </row>
    <row r="360" spans="2:51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K360"/>
      <c r="AL360"/>
      <c r="AM360"/>
      <c r="AN360"/>
      <c r="AO360"/>
      <c r="AP360"/>
      <c r="AQ360"/>
      <c r="AR360"/>
      <c r="AS360" s="68"/>
      <c r="AT360" s="68"/>
      <c r="AU360" s="68"/>
      <c r="AV360" s="68"/>
      <c r="AW360" s="68"/>
      <c r="AX360" s="69"/>
      <c r="AY360" s="71"/>
    </row>
    <row r="361" spans="2:51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K361"/>
      <c r="AL361"/>
      <c r="AM361"/>
      <c r="AN361"/>
      <c r="AO361"/>
      <c r="AP361"/>
      <c r="AQ361"/>
      <c r="AR361"/>
      <c r="AS361" s="68"/>
      <c r="AT361" s="68"/>
      <c r="AU361" s="68"/>
      <c r="AV361" s="68"/>
      <c r="AW361" s="69"/>
      <c r="AX361" s="69"/>
      <c r="AY361" s="71"/>
    </row>
    <row r="362" spans="2:51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K362"/>
      <c r="AL362"/>
      <c r="AM362"/>
      <c r="AN362"/>
      <c r="AO362"/>
      <c r="AP362"/>
      <c r="AQ362"/>
      <c r="AR362"/>
      <c r="AS362" s="68"/>
      <c r="AT362" s="68"/>
      <c r="AU362" s="68"/>
      <c r="AV362" s="68"/>
      <c r="AW362" s="69"/>
      <c r="AX362" s="69"/>
      <c r="AY362" s="71"/>
    </row>
    <row r="363" spans="2:51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K363"/>
      <c r="AL363"/>
      <c r="AM363"/>
      <c r="AN363"/>
      <c r="AO363"/>
      <c r="AP363"/>
      <c r="AQ363"/>
      <c r="AR363"/>
      <c r="AS363" s="68"/>
      <c r="AT363" s="68"/>
      <c r="AU363" s="68"/>
      <c r="AV363" s="68"/>
      <c r="AW363" s="69"/>
      <c r="AX363" s="69"/>
      <c r="AY363" s="71"/>
    </row>
    <row r="364" spans="2:51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K364"/>
      <c r="AL364"/>
      <c r="AM364"/>
      <c r="AN364"/>
      <c r="AO364"/>
      <c r="AP364"/>
      <c r="AQ364"/>
      <c r="AR364"/>
      <c r="AS364" s="68"/>
      <c r="AT364" s="68"/>
      <c r="AU364" s="68"/>
      <c r="AV364" s="68"/>
      <c r="AW364" s="69"/>
      <c r="AX364" s="69"/>
      <c r="AY364" s="71"/>
    </row>
    <row r="365" spans="2:51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K365"/>
      <c r="AL365"/>
      <c r="AM365"/>
      <c r="AN365"/>
      <c r="AO365"/>
      <c r="AP365"/>
      <c r="AQ365"/>
      <c r="AR365"/>
      <c r="AS365" s="68"/>
      <c r="AT365" s="68"/>
      <c r="AU365" s="68"/>
      <c r="AV365" s="68"/>
      <c r="AW365" s="68"/>
      <c r="AX365" s="69"/>
      <c r="AY365" s="71"/>
    </row>
    <row r="366" spans="2:51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K366"/>
      <c r="AL366"/>
      <c r="AM366"/>
      <c r="AN366"/>
      <c r="AO366"/>
      <c r="AP366"/>
      <c r="AQ366"/>
      <c r="AR366"/>
      <c r="AS366" s="68"/>
      <c r="AT366" s="68"/>
      <c r="AU366" s="68"/>
      <c r="AV366" s="68"/>
      <c r="AW366" s="69"/>
      <c r="AX366" s="69"/>
      <c r="AY366" s="71"/>
    </row>
    <row r="367" spans="2:51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K367"/>
      <c r="AL367"/>
      <c r="AM367"/>
      <c r="AN367"/>
      <c r="AO367"/>
      <c r="AP367"/>
      <c r="AQ367"/>
      <c r="AR367"/>
      <c r="AS367" s="68"/>
      <c r="AT367" s="68"/>
      <c r="AU367" s="68"/>
      <c r="AV367" s="68"/>
      <c r="AW367" s="69"/>
      <c r="AX367" s="69"/>
      <c r="AY367" s="71"/>
    </row>
    <row r="368" spans="2:51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K368"/>
      <c r="AL368"/>
      <c r="AM368"/>
      <c r="AN368"/>
      <c r="AO368"/>
      <c r="AP368"/>
      <c r="AQ368"/>
      <c r="AR368"/>
      <c r="AS368" s="68"/>
      <c r="AT368" s="68"/>
      <c r="AU368" s="68"/>
      <c r="AV368" s="68"/>
      <c r="AW368" s="69"/>
      <c r="AX368" s="69"/>
      <c r="AY368" s="71"/>
    </row>
    <row r="369" spans="2:51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K369"/>
      <c r="AL369"/>
      <c r="AM369"/>
      <c r="AN369"/>
      <c r="AO369"/>
      <c r="AP369"/>
      <c r="AQ369"/>
      <c r="AR369"/>
      <c r="AS369" s="68"/>
      <c r="AT369" s="68"/>
      <c r="AU369" s="68"/>
      <c r="AV369" s="68"/>
      <c r="AW369" s="68"/>
      <c r="AX369" s="69"/>
      <c r="AY369" s="71"/>
    </row>
    <row r="370" spans="2:51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K370"/>
      <c r="AL370"/>
      <c r="AM370"/>
      <c r="AN370"/>
      <c r="AO370"/>
      <c r="AP370"/>
      <c r="AQ370"/>
      <c r="AR370"/>
      <c r="AS370" s="68"/>
      <c r="AT370" s="68"/>
      <c r="AU370" s="68"/>
      <c r="AV370" s="68"/>
      <c r="AW370" s="68"/>
      <c r="AX370" s="69"/>
      <c r="AY370" s="71"/>
    </row>
    <row r="371" spans="2:51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K371"/>
      <c r="AL371"/>
      <c r="AM371"/>
      <c r="AN371"/>
      <c r="AO371"/>
      <c r="AP371"/>
      <c r="AQ371"/>
      <c r="AR371"/>
      <c r="AS371" s="68"/>
      <c r="AT371" s="68"/>
      <c r="AU371" s="68"/>
      <c r="AV371" s="68"/>
      <c r="AW371" s="69"/>
      <c r="AX371" s="69"/>
      <c r="AY371" s="71"/>
    </row>
    <row r="372" spans="2:51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K372"/>
      <c r="AL372"/>
      <c r="AM372"/>
      <c r="AN372"/>
      <c r="AO372"/>
      <c r="AP372"/>
      <c r="AQ372"/>
      <c r="AR372"/>
      <c r="AS372" s="68"/>
      <c r="AT372" s="68"/>
      <c r="AU372" s="68"/>
      <c r="AV372" s="68"/>
      <c r="AW372" s="68"/>
      <c r="AX372" s="69"/>
      <c r="AY372" s="71"/>
    </row>
    <row r="373" spans="2:51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K373"/>
      <c r="AL373"/>
      <c r="AM373"/>
      <c r="AN373"/>
      <c r="AO373"/>
      <c r="AP373"/>
      <c r="AQ373"/>
      <c r="AR373"/>
      <c r="AS373" s="68"/>
      <c r="AT373" s="68"/>
      <c r="AU373" s="68"/>
      <c r="AV373" s="68"/>
      <c r="AW373" s="69"/>
      <c r="AX373" s="69"/>
      <c r="AY373" s="71"/>
    </row>
    <row r="374" spans="2:51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K374"/>
      <c r="AL374"/>
      <c r="AM374"/>
      <c r="AN374"/>
      <c r="AO374"/>
      <c r="AP374"/>
      <c r="AQ374"/>
      <c r="AR374"/>
      <c r="AS374" s="68"/>
      <c r="AT374" s="68"/>
      <c r="AU374" s="68"/>
      <c r="AV374" s="68"/>
      <c r="AW374" s="69"/>
      <c r="AX374" s="69"/>
      <c r="AY374" s="71"/>
    </row>
    <row r="375" spans="2:51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K375"/>
      <c r="AL375"/>
      <c r="AM375"/>
      <c r="AN375"/>
      <c r="AO375"/>
      <c r="AP375"/>
      <c r="AQ375"/>
      <c r="AR375"/>
      <c r="AS375" s="68"/>
      <c r="AT375" s="68"/>
      <c r="AU375" s="68"/>
      <c r="AV375" s="68"/>
      <c r="AW375" s="69"/>
      <c r="AX375" s="69"/>
      <c r="AY375" s="71"/>
    </row>
    <row r="376" spans="2:51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K376"/>
      <c r="AL376"/>
      <c r="AM376"/>
      <c r="AN376"/>
      <c r="AO376"/>
      <c r="AP376"/>
      <c r="AQ376"/>
      <c r="AR376"/>
      <c r="AS376" s="68"/>
      <c r="AT376" s="68"/>
      <c r="AU376" s="68"/>
      <c r="AV376" s="68"/>
      <c r="AW376" s="68"/>
      <c r="AX376" s="69"/>
      <c r="AY376" s="71"/>
    </row>
    <row r="377" spans="2:51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K377"/>
      <c r="AL377"/>
      <c r="AM377"/>
      <c r="AN377"/>
      <c r="AO377"/>
      <c r="AP377"/>
      <c r="AQ377"/>
      <c r="AR377"/>
      <c r="AS377" s="68"/>
      <c r="AT377" s="68"/>
      <c r="AU377" s="68"/>
      <c r="AV377" s="68"/>
      <c r="AW377" s="69"/>
      <c r="AX377" s="69"/>
      <c r="AY377" s="71"/>
    </row>
    <row r="378" spans="2:51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K378"/>
      <c r="AL378"/>
      <c r="AM378"/>
      <c r="AN378"/>
      <c r="AO378"/>
      <c r="AP378"/>
      <c r="AQ378"/>
      <c r="AR378"/>
      <c r="AS378" s="68"/>
      <c r="AT378" s="68"/>
      <c r="AU378" s="68"/>
      <c r="AV378" s="68"/>
      <c r="AW378" s="69"/>
      <c r="AX378" s="69"/>
      <c r="AY378" s="71"/>
    </row>
    <row r="379" spans="2:51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K379"/>
      <c r="AL379"/>
      <c r="AM379"/>
      <c r="AN379"/>
      <c r="AO379"/>
      <c r="AP379"/>
      <c r="AQ379"/>
      <c r="AR379"/>
      <c r="AS379" s="68"/>
      <c r="AT379" s="68"/>
      <c r="AU379" s="68"/>
      <c r="AV379" s="68"/>
      <c r="AW379" s="69"/>
      <c r="AX379" s="69"/>
      <c r="AY379" s="71"/>
    </row>
    <row r="380" spans="2:51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K380"/>
      <c r="AL380"/>
      <c r="AM380"/>
      <c r="AN380"/>
      <c r="AO380"/>
      <c r="AP380"/>
      <c r="AQ380"/>
      <c r="AR380"/>
      <c r="AS380" s="68"/>
      <c r="AT380" s="68"/>
      <c r="AU380" s="68"/>
      <c r="AV380" s="68"/>
      <c r="AW380" s="69"/>
      <c r="AX380" s="69"/>
      <c r="AY380" s="71"/>
    </row>
    <row r="381" spans="2:51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K381"/>
      <c r="AL381"/>
      <c r="AM381"/>
      <c r="AN381"/>
      <c r="AO381"/>
      <c r="AP381"/>
      <c r="AQ381"/>
      <c r="AR381"/>
      <c r="AS381" s="68"/>
      <c r="AT381" s="68"/>
      <c r="AU381" s="68"/>
      <c r="AV381" s="68"/>
      <c r="AW381" s="68"/>
      <c r="AX381" s="69"/>
      <c r="AY381" s="71"/>
    </row>
    <row r="382" spans="2:51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K382"/>
      <c r="AL382"/>
      <c r="AM382"/>
      <c r="AN382"/>
      <c r="AO382"/>
      <c r="AP382"/>
      <c r="AQ382"/>
      <c r="AR382"/>
      <c r="AS382" s="68"/>
      <c r="AT382" s="68"/>
      <c r="AU382" s="68"/>
      <c r="AV382" s="68"/>
      <c r="AW382" s="69"/>
      <c r="AX382" s="69"/>
      <c r="AY382" s="71"/>
    </row>
    <row r="383" spans="2:51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K383"/>
      <c r="AL383"/>
      <c r="AM383"/>
      <c r="AN383"/>
      <c r="AO383"/>
      <c r="AP383"/>
      <c r="AQ383"/>
      <c r="AR383"/>
      <c r="AS383" s="68"/>
      <c r="AT383" s="68"/>
      <c r="AU383" s="68"/>
      <c r="AV383" s="68"/>
      <c r="AW383" s="69"/>
      <c r="AX383" s="69"/>
      <c r="AY383" s="71"/>
    </row>
    <row r="384" spans="2:51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K384"/>
      <c r="AL384"/>
      <c r="AM384"/>
      <c r="AN384"/>
      <c r="AO384"/>
      <c r="AP384"/>
      <c r="AQ384"/>
      <c r="AR384"/>
      <c r="AS384" s="68"/>
      <c r="AT384" s="68"/>
      <c r="AU384" s="68"/>
      <c r="AV384" s="68"/>
      <c r="AW384" s="69"/>
      <c r="AX384" s="69"/>
      <c r="AY384" s="71"/>
    </row>
    <row r="385" spans="2:51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K385"/>
      <c r="AL385"/>
      <c r="AM385"/>
      <c r="AN385"/>
      <c r="AO385"/>
      <c r="AP385"/>
      <c r="AQ385"/>
      <c r="AR385"/>
      <c r="AS385" s="68"/>
      <c r="AT385" s="68"/>
      <c r="AU385" s="68"/>
      <c r="AV385" s="68"/>
      <c r="AW385" s="68"/>
      <c r="AX385" s="69"/>
      <c r="AY385" s="71"/>
    </row>
    <row r="386" spans="2:51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K386"/>
      <c r="AL386"/>
      <c r="AM386"/>
      <c r="AN386"/>
      <c r="AO386"/>
      <c r="AP386"/>
      <c r="AQ386"/>
      <c r="AR386"/>
      <c r="AS386" s="68"/>
      <c r="AT386" s="68"/>
      <c r="AU386" s="68"/>
      <c r="AV386" s="68"/>
      <c r="AW386" s="68"/>
      <c r="AX386" s="69"/>
      <c r="AY386" s="71"/>
    </row>
    <row r="387" spans="2:51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K387"/>
      <c r="AL387"/>
      <c r="AM387"/>
      <c r="AN387"/>
      <c r="AO387"/>
      <c r="AP387"/>
      <c r="AQ387"/>
      <c r="AR387"/>
      <c r="AS387" s="68"/>
      <c r="AT387" s="68"/>
      <c r="AU387" s="68"/>
      <c r="AV387" s="68"/>
      <c r="AW387" s="69"/>
      <c r="AX387" s="69"/>
      <c r="AY387" s="71"/>
    </row>
    <row r="388" spans="2:51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K388"/>
      <c r="AL388"/>
      <c r="AM388"/>
      <c r="AN388"/>
      <c r="AO388"/>
      <c r="AP388"/>
      <c r="AQ388"/>
      <c r="AR388"/>
      <c r="AS388" s="68"/>
      <c r="AT388" s="68"/>
      <c r="AU388" s="68"/>
      <c r="AV388" s="68"/>
      <c r="AW388" s="69"/>
      <c r="AX388" s="69"/>
      <c r="AY388" s="71"/>
    </row>
    <row r="389" spans="2:51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K389"/>
      <c r="AL389"/>
      <c r="AM389"/>
      <c r="AN389"/>
      <c r="AO389"/>
      <c r="AP389"/>
      <c r="AQ389"/>
      <c r="AR389"/>
      <c r="AS389" s="68"/>
      <c r="AT389" s="68"/>
      <c r="AU389" s="68"/>
      <c r="AV389" s="68"/>
      <c r="AW389" s="69"/>
      <c r="AX389" s="69"/>
      <c r="AY389" s="71"/>
    </row>
    <row r="390" spans="2:51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K390"/>
      <c r="AL390"/>
      <c r="AM390"/>
      <c r="AN390"/>
      <c r="AO390"/>
      <c r="AP390"/>
      <c r="AQ390"/>
      <c r="AR390"/>
      <c r="AS390" s="68"/>
      <c r="AT390" s="68"/>
      <c r="AU390" s="68"/>
      <c r="AV390" s="68"/>
      <c r="AW390" s="69"/>
      <c r="AX390" s="69"/>
      <c r="AY390" s="71"/>
    </row>
    <row r="391" spans="2:51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K391"/>
      <c r="AL391"/>
      <c r="AM391"/>
      <c r="AN391"/>
      <c r="AO391"/>
      <c r="AP391"/>
      <c r="AQ391"/>
      <c r="AR391"/>
      <c r="AS391" s="68"/>
      <c r="AT391" s="68"/>
      <c r="AU391" s="68"/>
      <c r="AV391" s="68"/>
      <c r="AW391" s="69"/>
      <c r="AX391" s="69"/>
      <c r="AY391" s="71"/>
    </row>
    <row r="392" spans="2:51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K392"/>
      <c r="AL392"/>
      <c r="AM392"/>
      <c r="AN392"/>
      <c r="AO392"/>
      <c r="AP392"/>
      <c r="AQ392"/>
      <c r="AR392"/>
      <c r="AS392" s="68"/>
      <c r="AT392" s="68"/>
      <c r="AU392" s="68"/>
      <c r="AV392" s="68"/>
      <c r="AW392" s="69"/>
      <c r="AX392" s="69"/>
      <c r="AY392" s="71"/>
    </row>
    <row r="393" spans="2:51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K393"/>
      <c r="AL393"/>
      <c r="AM393"/>
      <c r="AN393"/>
      <c r="AO393"/>
      <c r="AP393"/>
      <c r="AQ393"/>
      <c r="AR393"/>
      <c r="AS393" s="68"/>
      <c r="AT393" s="68"/>
      <c r="AU393" s="68"/>
      <c r="AV393" s="68"/>
      <c r="AW393" s="68"/>
      <c r="AX393" s="69"/>
      <c r="AY393" s="71"/>
    </row>
    <row r="394" spans="2:51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K394"/>
      <c r="AL394"/>
      <c r="AM394"/>
      <c r="AN394"/>
      <c r="AO394"/>
      <c r="AP394"/>
      <c r="AQ394"/>
      <c r="AR394"/>
      <c r="AS394" s="68"/>
      <c r="AT394" s="68"/>
      <c r="AU394" s="68"/>
      <c r="AV394" s="68"/>
      <c r="AW394" s="69"/>
      <c r="AX394" s="69"/>
      <c r="AY394" s="71"/>
    </row>
    <row r="395" spans="2:51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K395"/>
      <c r="AL395"/>
      <c r="AM395"/>
      <c r="AN395"/>
      <c r="AO395"/>
      <c r="AP395"/>
      <c r="AQ395"/>
      <c r="AR395"/>
      <c r="AS395" s="68"/>
      <c r="AT395" s="68"/>
      <c r="AU395" s="68"/>
      <c r="AV395" s="68"/>
      <c r="AW395" s="69"/>
      <c r="AX395" s="69"/>
      <c r="AY395" s="71"/>
    </row>
    <row r="396" spans="2:51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K396"/>
      <c r="AL396"/>
      <c r="AM396"/>
      <c r="AN396"/>
      <c r="AO396"/>
      <c r="AP396"/>
      <c r="AQ396"/>
      <c r="AR396"/>
      <c r="AS396" s="68"/>
      <c r="AT396" s="68"/>
      <c r="AU396" s="68"/>
      <c r="AV396" s="68"/>
      <c r="AW396" s="69"/>
      <c r="AX396" s="69"/>
      <c r="AY396" s="71"/>
    </row>
    <row r="397" spans="2:51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K397"/>
      <c r="AL397"/>
      <c r="AM397"/>
      <c r="AN397"/>
      <c r="AO397"/>
      <c r="AP397"/>
      <c r="AQ397"/>
      <c r="AR397"/>
      <c r="AS397" s="68"/>
      <c r="AT397" s="68"/>
      <c r="AU397" s="68"/>
      <c r="AV397" s="68"/>
      <c r="AW397" s="68"/>
      <c r="AX397" s="69"/>
      <c r="AY397" s="71"/>
    </row>
    <row r="398" spans="2:51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K398"/>
      <c r="AL398"/>
      <c r="AM398"/>
      <c r="AN398"/>
      <c r="AO398"/>
      <c r="AP398"/>
      <c r="AQ398"/>
      <c r="AR398"/>
      <c r="AS398" s="68"/>
      <c r="AT398" s="68"/>
      <c r="AU398" s="68"/>
      <c r="AV398" s="68"/>
      <c r="AW398" s="69"/>
      <c r="AX398" s="69"/>
      <c r="AY398" s="71"/>
    </row>
    <row r="399" spans="2:51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K399"/>
      <c r="AL399"/>
      <c r="AM399"/>
      <c r="AN399"/>
      <c r="AO399"/>
      <c r="AP399"/>
      <c r="AQ399"/>
      <c r="AR399"/>
      <c r="AS399" s="68"/>
      <c r="AT399" s="68"/>
      <c r="AU399" s="68"/>
      <c r="AV399" s="68"/>
      <c r="AW399" s="69"/>
      <c r="AX399" s="69"/>
      <c r="AY399" s="71"/>
    </row>
    <row r="400" spans="2:51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K400"/>
      <c r="AL400"/>
      <c r="AM400"/>
      <c r="AN400"/>
      <c r="AO400"/>
      <c r="AP400"/>
      <c r="AQ400"/>
      <c r="AR400"/>
      <c r="AS400" s="68"/>
      <c r="AT400" s="68"/>
      <c r="AU400" s="68"/>
      <c r="AV400" s="68"/>
      <c r="AW400" s="69"/>
      <c r="AX400" s="69"/>
      <c r="AY400" s="71"/>
    </row>
    <row r="401" spans="2:51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K401"/>
      <c r="AL401"/>
      <c r="AM401"/>
      <c r="AN401"/>
      <c r="AO401"/>
      <c r="AP401"/>
      <c r="AQ401"/>
      <c r="AR401"/>
      <c r="AS401" s="68"/>
      <c r="AT401" s="68"/>
      <c r="AU401" s="68"/>
      <c r="AV401" s="68"/>
      <c r="AW401" s="69"/>
      <c r="AX401" s="69"/>
      <c r="AY401" s="71"/>
    </row>
    <row r="402" spans="2:51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K402"/>
      <c r="AL402"/>
      <c r="AM402"/>
      <c r="AN402"/>
      <c r="AO402"/>
      <c r="AP402"/>
      <c r="AQ402"/>
      <c r="AR402"/>
      <c r="AS402" s="68"/>
      <c r="AT402" s="68"/>
      <c r="AU402" s="68"/>
      <c r="AV402" s="68"/>
      <c r="AW402" s="68"/>
      <c r="AX402" s="69"/>
      <c r="AY402" s="71"/>
    </row>
    <row r="403" spans="2:51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K403"/>
      <c r="AL403"/>
      <c r="AM403"/>
      <c r="AN403"/>
      <c r="AO403"/>
      <c r="AP403"/>
      <c r="AQ403"/>
      <c r="AR403"/>
      <c r="AS403" s="68"/>
      <c r="AT403" s="68"/>
      <c r="AU403" s="68"/>
      <c r="AV403" s="68"/>
      <c r="AW403" s="69"/>
      <c r="AX403" s="69"/>
      <c r="AY403" s="71"/>
    </row>
    <row r="404" spans="2:51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K404"/>
      <c r="AL404"/>
      <c r="AM404"/>
      <c r="AN404"/>
      <c r="AO404"/>
      <c r="AP404"/>
      <c r="AQ404"/>
      <c r="AR404"/>
      <c r="AS404" s="68"/>
      <c r="AT404" s="68"/>
      <c r="AU404" s="68"/>
      <c r="AV404" s="68"/>
      <c r="AW404" s="69"/>
      <c r="AX404" s="69"/>
      <c r="AY404" s="71"/>
    </row>
    <row r="405" spans="2:51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K405"/>
      <c r="AL405"/>
      <c r="AM405"/>
      <c r="AN405"/>
      <c r="AO405"/>
      <c r="AP405"/>
      <c r="AQ405"/>
      <c r="AR405"/>
      <c r="AS405" s="68"/>
      <c r="AT405" s="68"/>
      <c r="AU405" s="68"/>
      <c r="AV405" s="68"/>
      <c r="AW405" s="69"/>
      <c r="AX405" s="69"/>
      <c r="AY405" s="71"/>
    </row>
    <row r="406" spans="2:51">
      <c r="AN406"/>
      <c r="AO406"/>
      <c r="AP406"/>
      <c r="AQ406"/>
      <c r="AR406"/>
      <c r="AS406"/>
      <c r="AW406" s="56"/>
    </row>
    <row r="407" spans="2:51">
      <c r="AW407" s="56"/>
    </row>
    <row r="413" spans="2:51">
      <c r="AW413" s="56"/>
    </row>
    <row r="417" spans="49:49">
      <c r="AW417" s="56"/>
    </row>
    <row r="422" spans="49:49">
      <c r="AW422" s="56"/>
    </row>
    <row r="426" spans="49:49">
      <c r="AW426" s="56"/>
    </row>
    <row r="427" spans="49:49">
      <c r="AW427" s="56"/>
    </row>
    <row r="434" spans="49:49">
      <c r="AW434" s="56"/>
    </row>
    <row r="438" spans="49:49">
      <c r="AW438" s="56"/>
    </row>
    <row r="443" spans="49:49">
      <c r="AW443" s="56"/>
    </row>
    <row r="447" spans="49:49">
      <c r="AW447" s="56"/>
    </row>
    <row r="448" spans="49:49">
      <c r="AW448" s="56"/>
    </row>
    <row r="454" spans="49:49">
      <c r="AW454" s="56"/>
    </row>
    <row r="458" spans="49:49">
      <c r="AW458" s="56"/>
    </row>
    <row r="463" spans="49:49">
      <c r="AW463" s="56"/>
    </row>
    <row r="467" spans="49:49">
      <c r="AW467" s="56"/>
    </row>
    <row r="468" spans="49:49">
      <c r="AW468" s="56"/>
    </row>
    <row r="475" spans="49:49">
      <c r="AW475" s="56"/>
    </row>
    <row r="479" spans="49:49">
      <c r="AW479" s="56"/>
    </row>
    <row r="484" spans="49:49">
      <c r="AW484" s="56"/>
    </row>
    <row r="488" spans="49:49">
      <c r="AW488" s="56"/>
    </row>
    <row r="489" spans="49:49">
      <c r="AW489" s="56"/>
    </row>
  </sheetData>
  <mergeCells count="47">
    <mergeCell ref="J11:J12"/>
    <mergeCell ref="D6:F6"/>
    <mergeCell ref="B6:C6"/>
    <mergeCell ref="B4:C4"/>
    <mergeCell ref="D4:F4"/>
    <mergeCell ref="B5:C5"/>
    <mergeCell ref="D5:F5"/>
    <mergeCell ref="AS9:AY10"/>
    <mergeCell ref="AS11:AS12"/>
    <mergeCell ref="AT11:AT12"/>
    <mergeCell ref="AU11:AU12"/>
    <mergeCell ref="AV11:AV12"/>
    <mergeCell ref="AW11:AW12"/>
    <mergeCell ref="AX11:AX12"/>
    <mergeCell ref="AY11:AY12"/>
    <mergeCell ref="AB10:AC11"/>
    <mergeCell ref="O11:O12"/>
    <mergeCell ref="A9:A12"/>
    <mergeCell ref="B10:B12"/>
    <mergeCell ref="C10:C12"/>
    <mergeCell ref="D10:D12"/>
    <mergeCell ref="E10:E12"/>
    <mergeCell ref="F10:L10"/>
    <mergeCell ref="Y9:Y12"/>
    <mergeCell ref="T9:T12"/>
    <mergeCell ref="U9:U12"/>
    <mergeCell ref="V9:V12"/>
    <mergeCell ref="W9:W12"/>
    <mergeCell ref="X9:X12"/>
    <mergeCell ref="R9:R12"/>
    <mergeCell ref="P9:P12"/>
    <mergeCell ref="A1:AI2"/>
    <mergeCell ref="AD10:AG11"/>
    <mergeCell ref="AH10:AH12"/>
    <mergeCell ref="AI10:AI12"/>
    <mergeCell ref="F11:F12"/>
    <mergeCell ref="G11:G12"/>
    <mergeCell ref="H11:H12"/>
    <mergeCell ref="I11:I12"/>
    <mergeCell ref="K11:K12"/>
    <mergeCell ref="L11:L12"/>
    <mergeCell ref="M11:N11"/>
    <mergeCell ref="M10:O10"/>
    <mergeCell ref="Q10:Q12"/>
    <mergeCell ref="S10:S12"/>
    <mergeCell ref="Z10:Z12"/>
    <mergeCell ref="AA10:AA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r:id="rId5">
            <anchor moveWithCells="1">
              <from>
                <xdr:col>10</xdr:col>
                <xdr:colOff>323850</xdr:colOff>
                <xdr:row>3</xdr:row>
                <xdr:rowOff>171450</xdr:rowOff>
              </from>
              <to>
                <xdr:col>12</xdr:col>
                <xdr:colOff>581025</xdr:colOff>
                <xdr:row>6</xdr:row>
                <xdr:rowOff>19050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r:id="rId7">
            <anchor moveWithCells="1">
              <from>
                <xdr:col>6</xdr:col>
                <xdr:colOff>419100</xdr:colOff>
                <xdr:row>3</xdr:row>
                <xdr:rowOff>171450</xdr:rowOff>
              </from>
              <to>
                <xdr:col>9</xdr:col>
                <xdr:colOff>142875</xdr:colOff>
                <xdr:row>6</xdr:row>
                <xdr:rowOff>19050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51</xdr:col>
                <xdr:colOff>171450</xdr:colOff>
                <xdr:row>10</xdr:row>
                <xdr:rowOff>571500</xdr:rowOff>
              </from>
              <to>
                <xdr:col>56</xdr:col>
                <xdr:colOff>485775</xdr:colOff>
                <xdr:row>11</xdr:row>
                <xdr:rowOff>428625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r:id="rId11">
            <anchor moveWithCells="1">
              <from>
                <xdr:col>51</xdr:col>
                <xdr:colOff>171450</xdr:colOff>
                <xdr:row>9</xdr:row>
                <xdr:rowOff>419100</xdr:rowOff>
              </from>
              <to>
                <xdr:col>56</xdr:col>
                <xdr:colOff>485775</xdr:colOff>
                <xdr:row>10</xdr:row>
                <xdr:rowOff>457200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AR280"/>
  <sheetViews>
    <sheetView showGridLines="0" zoomScaleNormal="100" workbookViewId="0">
      <selection sqref="A1:V2"/>
    </sheetView>
  </sheetViews>
  <sheetFormatPr baseColWidth="10" defaultColWidth="11.42578125" defaultRowHeight="15"/>
  <cols>
    <col min="1" max="1" width="5.7109375" customWidth="1"/>
    <col min="2" max="2" width="11.42578125" style="10"/>
    <col min="3" max="3" width="13" style="10" customWidth="1"/>
    <col min="4" max="4" width="19.28515625" style="10" customWidth="1"/>
    <col min="5" max="5" width="12.140625" style="10" bestFit="1" customWidth="1"/>
    <col min="6" max="6" width="13.28515625" style="10" customWidth="1"/>
    <col min="7" max="7" width="14" style="10" bestFit="1" customWidth="1"/>
    <col min="8" max="8" width="15.5703125" style="10" bestFit="1" customWidth="1"/>
    <col min="9" max="9" width="8" style="10" customWidth="1"/>
    <col min="10" max="10" width="15.42578125" style="10" customWidth="1"/>
    <col min="11" max="11" width="13.5703125" style="10" customWidth="1"/>
    <col min="12" max="12" width="13.42578125" style="41" customWidth="1"/>
    <col min="13" max="13" width="16.28515625" style="41" customWidth="1"/>
    <col min="14" max="14" width="16.5703125" style="41" customWidth="1"/>
    <col min="15" max="15" width="66.7109375" style="10" bestFit="1" customWidth="1"/>
    <col min="16" max="16" width="13.5703125" style="10" customWidth="1"/>
    <col min="17" max="17" width="11" style="10" customWidth="1"/>
    <col min="18" max="19" width="15" style="10" customWidth="1"/>
    <col min="20" max="20" width="20" style="10" customWidth="1"/>
    <col min="21" max="21" width="23.5703125" style="10" customWidth="1"/>
    <col min="22" max="22" width="36.42578125" style="10" customWidth="1"/>
    <col min="23" max="16384" width="11.42578125" style="10"/>
  </cols>
  <sheetData>
    <row r="1" spans="1:44" s="21" customFormat="1" ht="14.45" customHeight="1">
      <c r="A1" s="124" t="s">
        <v>162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6"/>
    </row>
    <row r="2" spans="1:44" s="21" customFormat="1" ht="30" customHeight="1" thickBot="1">
      <c r="A2" s="127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9"/>
    </row>
    <row r="3" spans="1:44" s="21" customFormat="1" ht="5.25" customHeight="1">
      <c r="A3" s="26"/>
      <c r="B3" s="33"/>
      <c r="C3" s="33"/>
      <c r="D3" s="32"/>
      <c r="E3" s="32"/>
      <c r="F3" s="32"/>
      <c r="G3" s="32"/>
      <c r="L3" s="40"/>
      <c r="M3" s="40"/>
      <c r="N3" s="40"/>
    </row>
    <row r="4" spans="1:44" s="21" customFormat="1" ht="18.75">
      <c r="A4" s="26"/>
      <c r="B4" s="149" t="s">
        <v>58</v>
      </c>
      <c r="C4" s="149"/>
      <c r="D4" s="150" t="str">
        <f>+CONFIGURACION!D9&amp;"-"&amp;TEXT(CONFIGURACION!D11,"00")</f>
        <v>2017-03</v>
      </c>
      <c r="E4" s="151"/>
      <c r="F4" s="151"/>
      <c r="G4" s="54"/>
      <c r="H4" s="26"/>
      <c r="I4" s="26"/>
      <c r="L4" s="40"/>
      <c r="M4" s="40"/>
      <c r="N4" s="40"/>
    </row>
    <row r="5" spans="1:44" s="21" customFormat="1" ht="18.75">
      <c r="A5" s="26"/>
      <c r="B5" s="149" t="s">
        <v>59</v>
      </c>
      <c r="C5" s="149"/>
      <c r="D5" s="130">
        <f>+CONFIGURACION!D5</f>
        <v>20440494731</v>
      </c>
      <c r="E5" s="130"/>
      <c r="F5" s="130"/>
      <c r="G5" s="54"/>
      <c r="H5" s="26"/>
      <c r="I5" s="26"/>
      <c r="L5" s="40"/>
      <c r="M5" s="40"/>
      <c r="N5" s="40"/>
    </row>
    <row r="6" spans="1:44" s="21" customFormat="1" ht="18.75">
      <c r="A6" s="26"/>
      <c r="B6" s="149" t="s">
        <v>60</v>
      </c>
      <c r="C6" s="149"/>
      <c r="D6" s="130" t="str">
        <f>+CONFIGURACION!D7</f>
        <v>EXCEL NEGOCIOS SAC</v>
      </c>
      <c r="E6" s="130"/>
      <c r="F6" s="130"/>
      <c r="G6" s="247"/>
      <c r="H6" s="28"/>
      <c r="I6" s="26"/>
      <c r="L6" s="40"/>
      <c r="M6" s="40"/>
      <c r="N6" s="40"/>
    </row>
    <row r="7" spans="1:44" s="38" customFormat="1" ht="19.149999999999999" customHeight="1" thickBot="1">
      <c r="B7" s="39"/>
      <c r="D7" s="39"/>
      <c r="G7" s="39"/>
      <c r="J7" s="39"/>
      <c r="M7" s="39"/>
      <c r="P7" s="39"/>
      <c r="R7" s="103">
        <f>SUM($R$12:$R$109)</f>
        <v>0</v>
      </c>
      <c r="S7" s="103">
        <f>SUM($S$12:$S$109)</f>
        <v>0</v>
      </c>
      <c r="U7" s="39"/>
    </row>
    <row r="8" spans="1:44" s="21" customFormat="1" ht="15.75" customHeight="1">
      <c r="A8" s="154" t="s">
        <v>61</v>
      </c>
      <c r="B8" s="65">
        <v>21</v>
      </c>
      <c r="C8" s="65">
        <v>1</v>
      </c>
      <c r="D8" s="65">
        <v>3</v>
      </c>
      <c r="E8" s="65">
        <v>2</v>
      </c>
      <c r="F8" s="65">
        <v>5</v>
      </c>
      <c r="G8" s="65">
        <v>8</v>
      </c>
      <c r="H8" s="65">
        <v>9</v>
      </c>
      <c r="I8" s="65">
        <v>10</v>
      </c>
      <c r="J8" s="65">
        <v>11</v>
      </c>
      <c r="K8" s="65">
        <v>12</v>
      </c>
      <c r="L8" s="65">
        <v>15</v>
      </c>
      <c r="M8" s="65">
        <v>13</v>
      </c>
      <c r="N8" s="65">
        <v>14</v>
      </c>
      <c r="O8" s="65">
        <v>16</v>
      </c>
      <c r="P8" s="65">
        <v>4</v>
      </c>
      <c r="Q8" s="65">
        <v>7</v>
      </c>
      <c r="R8" s="65">
        <v>18</v>
      </c>
      <c r="S8" s="65">
        <v>19</v>
      </c>
      <c r="T8" s="65">
        <v>6</v>
      </c>
      <c r="U8" s="65">
        <v>17</v>
      </c>
      <c r="V8" s="66">
        <v>20</v>
      </c>
    </row>
    <row r="9" spans="1:44" s="21" customFormat="1" ht="35.25" customHeight="1">
      <c r="A9" s="155"/>
      <c r="B9" s="250" t="s">
        <v>62</v>
      </c>
      <c r="C9" s="250" t="s">
        <v>63</v>
      </c>
      <c r="D9" s="245" t="s">
        <v>65</v>
      </c>
      <c r="E9" s="245" t="s">
        <v>64</v>
      </c>
      <c r="F9" s="245" t="s">
        <v>145</v>
      </c>
      <c r="G9" s="245" t="s">
        <v>146</v>
      </c>
      <c r="H9" s="245"/>
      <c r="I9" s="245" t="s">
        <v>147</v>
      </c>
      <c r="J9" s="245"/>
      <c r="K9" s="245"/>
      <c r="L9" s="245" t="s">
        <v>148</v>
      </c>
      <c r="M9" s="245"/>
      <c r="N9" s="245"/>
      <c r="O9" s="245" t="s">
        <v>149</v>
      </c>
      <c r="P9" s="78" t="s">
        <v>150</v>
      </c>
      <c r="Q9" s="245" t="s">
        <v>16</v>
      </c>
      <c r="R9" s="245" t="s">
        <v>151</v>
      </c>
      <c r="S9" s="245" t="s">
        <v>152</v>
      </c>
      <c r="T9" s="245" t="s">
        <v>153</v>
      </c>
      <c r="U9" s="245" t="s">
        <v>154</v>
      </c>
      <c r="V9" s="248" t="s">
        <v>155</v>
      </c>
    </row>
    <row r="10" spans="1:44" s="21" customFormat="1" ht="21.75" customHeight="1">
      <c r="A10" s="155"/>
      <c r="B10" s="250"/>
      <c r="C10" s="250"/>
      <c r="D10" s="245"/>
      <c r="E10" s="245"/>
      <c r="F10" s="245"/>
      <c r="G10" s="245" t="s">
        <v>20</v>
      </c>
      <c r="H10" s="245" t="s">
        <v>156</v>
      </c>
      <c r="I10" s="245" t="s">
        <v>27</v>
      </c>
      <c r="J10" s="245" t="s">
        <v>84</v>
      </c>
      <c r="K10" s="245" t="s">
        <v>157</v>
      </c>
      <c r="L10" s="245" t="s">
        <v>158</v>
      </c>
      <c r="M10" s="245" t="s">
        <v>159</v>
      </c>
      <c r="N10" s="245" t="s">
        <v>160</v>
      </c>
      <c r="O10" s="245"/>
      <c r="P10" s="245" t="s">
        <v>161</v>
      </c>
      <c r="Q10" s="245"/>
      <c r="R10" s="245"/>
      <c r="S10" s="245"/>
      <c r="T10" s="245"/>
      <c r="U10" s="245"/>
      <c r="V10" s="248"/>
    </row>
    <row r="11" spans="1:44" s="21" customFormat="1" ht="36" customHeight="1" thickBot="1">
      <c r="A11" s="156"/>
      <c r="B11" s="251"/>
      <c r="C11" s="251"/>
      <c r="D11" s="246"/>
      <c r="E11" s="246"/>
      <c r="F11" s="246"/>
      <c r="G11" s="246"/>
      <c r="H11" s="246"/>
      <c r="I11" s="246"/>
      <c r="J11" s="246"/>
      <c r="K11" s="246"/>
      <c r="L11" s="246"/>
      <c r="M11" s="246"/>
      <c r="N11" s="246"/>
      <c r="O11" s="246"/>
      <c r="P11" s="246"/>
      <c r="Q11" s="246"/>
      <c r="R11" s="246"/>
      <c r="S11" s="246"/>
      <c r="T11" s="246"/>
      <c r="U11" s="246"/>
      <c r="V11" s="249"/>
    </row>
    <row r="12" spans="1:44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2:44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2:44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2:44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2:44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2:44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2:44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2:44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2:44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2:44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2:44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2:44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2:44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2:44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2:44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2:44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2:44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2:44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2:44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2:44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2:44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2:44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2:44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2:44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2:44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2:44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2:44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2:44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2:44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2:44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2:44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2:44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2:44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2:44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2:44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2:44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2:44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2:44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2:44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2:44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2:44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2:44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2:44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2:44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2:44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2:44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2:44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2:44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2:44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2:44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2:44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2:44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2:44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2:44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2:44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2:44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2:44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2:44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2:44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2:44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2:44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2:44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2:44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2:44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2:44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2:44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2:44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2:44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2:44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2:44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2:44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2:44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2:44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2:44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2:44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2:44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2:44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2:44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2:44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2:44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2:44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2:44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2:44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2:44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2:44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2:44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2:44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2:44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2:44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2:44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2:44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2:44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2:44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2:44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2:44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2:44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2:44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2:44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2:44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2:44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2:44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2:44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2:44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2:44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2:44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2:44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2:44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2:44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2:44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2:44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2:44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2:44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2:44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2:44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2:44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2:44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2:44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2:44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2:44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2:44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2:44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2:44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2:44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2:44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2:44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2:44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2:44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2:44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2:44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2:44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2:44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2:44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2:44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2:44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2:44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2:44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2:44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2:44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2:44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2:44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2:44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2:44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2:44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2:44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2:44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2:44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2:44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2:44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2:44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2:44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2:44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2:44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2:44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2:44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2:44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2:44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2:44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2:44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2:44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2:44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2:44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2:44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2:44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2:44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2:44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2:44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2:44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2:44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2:44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2:44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2:44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2:44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2:44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2:44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2:44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2:44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2:44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2:44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2:44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2:44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2:44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2:44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2:44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2:44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2:44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2:44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2:44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2:44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2:44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2:44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2:44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2:44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2:44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2:44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2:44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2:44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2:44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2:44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2:44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2:44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2:44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2:44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2:44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2:44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2:44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2:44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2:44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2:44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2:44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2:44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2:44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2:44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2:44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2:44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2:44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2:44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2:44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2:44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2:44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2:44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2:44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2:44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2:44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2:44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2:44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2:44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2:44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2:44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2:44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2:44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2:44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2:44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2:44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2:44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2:44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2:44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2:44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2:44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2:44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2:44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2:44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2:44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2:44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2:44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2:44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2:44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2:44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</sheetData>
  <mergeCells count="32">
    <mergeCell ref="A1:V2"/>
    <mergeCell ref="R9:R11"/>
    <mergeCell ref="S9:S11"/>
    <mergeCell ref="T9:T11"/>
    <mergeCell ref="U9:U11"/>
    <mergeCell ref="V9:V11"/>
    <mergeCell ref="P10:P11"/>
    <mergeCell ref="G10:G11"/>
    <mergeCell ref="H10:H11"/>
    <mergeCell ref="I10:I11"/>
    <mergeCell ref="J10:J11"/>
    <mergeCell ref="K10:K11"/>
    <mergeCell ref="A8:A11"/>
    <mergeCell ref="B9:B11"/>
    <mergeCell ref="C9:C11"/>
    <mergeCell ref="D9:D11"/>
    <mergeCell ref="E9:E11"/>
    <mergeCell ref="F9:F11"/>
    <mergeCell ref="B4:C4"/>
    <mergeCell ref="D4:F4"/>
    <mergeCell ref="B5:C5"/>
    <mergeCell ref="D5:F5"/>
    <mergeCell ref="B6:C6"/>
    <mergeCell ref="D6:G6"/>
    <mergeCell ref="G9:H9"/>
    <mergeCell ref="I9:K9"/>
    <mergeCell ref="L9:N9"/>
    <mergeCell ref="O9:O11"/>
    <mergeCell ref="Q9:Q11"/>
    <mergeCell ref="L10:L11"/>
    <mergeCell ref="M10:M11"/>
    <mergeCell ref="N10:N1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7</xdr:col>
                <xdr:colOff>295275</xdr:colOff>
                <xdr:row>3</xdr:row>
                <xdr:rowOff>171450</xdr:rowOff>
              </from>
              <to>
                <xdr:col>9</xdr:col>
                <xdr:colOff>876300</xdr:colOff>
                <xdr:row>6</xdr:row>
                <xdr:rowOff>47625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PRESENTACION</vt:lpstr>
      <vt:lpstr>CONFIGURACION</vt:lpstr>
      <vt:lpstr>R. COMPRAS 8.1</vt:lpstr>
      <vt:lpstr>R. COMPRAS 8.2</vt:lpstr>
      <vt:lpstr>R. COMPRAS 8.3</vt:lpstr>
      <vt:lpstr>R. VENTAS 14.1</vt:lpstr>
      <vt:lpstr>R. VENTAS 14.2</vt:lpstr>
      <vt:lpstr>LIBRO DIARIO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www.excelnegocios.com</dc:creator>
  <cp:lastModifiedBy>Victor</cp:lastModifiedBy>
  <dcterms:created xsi:type="dcterms:W3CDTF">2016-08-23T19:31:39Z</dcterms:created>
  <dcterms:modified xsi:type="dcterms:W3CDTF">2020-03-31T23:58:28Z</dcterms:modified>
</cp:coreProperties>
</file>