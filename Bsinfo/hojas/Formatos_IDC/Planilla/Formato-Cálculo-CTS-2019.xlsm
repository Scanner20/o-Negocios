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Users\user\Downloads\"/>
    </mc:Choice>
  </mc:AlternateContent>
  <bookViews>
    <workbookView xWindow="0" yWindow="0" windowWidth="20490" windowHeight="7650" tabRatio="827"/>
  </bookViews>
  <sheets>
    <sheet name="PRESENTACION" sheetId="10" r:id="rId1"/>
    <sheet name="DATOS" sheetId="12" r:id="rId2"/>
    <sheet name="TABLAS" sheetId="3" r:id="rId3"/>
    <sheet name="CÁLCULO" sheetId="13" r:id="rId4"/>
    <sheet name="HOJA DE LIQUIDACIÓN" sheetId="7" r:id="rId5"/>
    <sheet name="Hoja2" sheetId="9" state="hidden" r:id="rId6"/>
  </sheets>
  <externalReferences>
    <externalReference r:id="rId7"/>
    <externalReference r:id="rId8"/>
    <externalReference r:id="rId9"/>
  </externalReferences>
  <definedNames>
    <definedName name="_TC10" localSheetId="3">'[1]FLUJO  '!#REF!</definedName>
    <definedName name="_TC10" localSheetId="4">'[1]FLUJO  '!#REF!</definedName>
    <definedName name="_TC10">'[1]FLUJO  '!#REF!</definedName>
    <definedName name="ACT">[2]MAY!$L$4</definedName>
    <definedName name="_xlnm.Print_Area" localSheetId="3">CÁLCULO!$A$11:$I$41</definedName>
    <definedName name="_xlnm.Print_Area" localSheetId="4">'HOJA DE LIQUIDACIÓN'!$A$11:$I$55</definedName>
    <definedName name="BIE">[2]MAY!$M$4</definedName>
    <definedName name="CAR">[2]MAY!$O$4</definedName>
    <definedName name="Codigos">'[3]CALCULO UTILIDADES'!$A$12:$A$53</definedName>
    <definedName name="DF" localSheetId="3">'[1]FLUJO  '!#REF!</definedName>
    <definedName name="DF">'[1]FLUJO  '!#REF!</definedName>
    <definedName name="EXO">[2]MAY!$P$4</definedName>
    <definedName name="PROV">'[2]BASE PROV'!$A$3:$B$300</definedName>
    <definedName name="SER">[2]MAY!$N$4</definedName>
    <definedName name="TAB">TABLAS!$A$18:$O$36</definedName>
  </definedNames>
  <calcPr calcId="162913"/>
</workbook>
</file>

<file path=xl/calcChain.xml><?xml version="1.0" encoding="utf-8"?>
<calcChain xmlns="http://schemas.openxmlformats.org/spreadsheetml/2006/main">
  <c r="F32" i="7" l="1"/>
  <c r="F31" i="7"/>
  <c r="F30" i="7"/>
  <c r="F29" i="7"/>
  <c r="E31" i="3" l="1"/>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F28" i="7" l="1"/>
  <c r="D38" i="13"/>
  <c r="C38" i="13"/>
  <c r="C29" i="13"/>
  <c r="F22" i="13"/>
  <c r="F31" i="13" s="1"/>
  <c r="F21" i="13"/>
  <c r="F30" i="13" s="1"/>
  <c r="F20" i="13"/>
  <c r="F29" i="13" s="1"/>
  <c r="F19" i="13"/>
  <c r="F28" i="13" s="1"/>
  <c r="F18" i="13"/>
  <c r="F27" i="13" s="1"/>
  <c r="F13" i="13"/>
  <c r="E9" i="13"/>
  <c r="E8" i="13"/>
  <c r="E7" i="13"/>
  <c r="F33" i="13" l="1"/>
  <c r="E38" i="13" s="1"/>
  <c r="G54" i="7" l="1"/>
  <c r="E20" i="3" l="1"/>
  <c r="N20" i="3"/>
  <c r="M20" i="3"/>
  <c r="F48" i="7" l="1"/>
  <c r="J20" i="3" l="1"/>
  <c r="E21" i="3" l="1"/>
  <c r="C20" i="9"/>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J21" i="3" l="1"/>
  <c r="E28" i="3"/>
  <c r="E29" i="3"/>
  <c r="E30" i="3"/>
  <c r="E22" i="3"/>
  <c r="E23" i="3"/>
  <c r="E24" i="3"/>
  <c r="H13" i="13" s="1"/>
  <c r="J18" i="3"/>
  <c r="N24" i="3" l="1"/>
  <c r="G38" i="13" s="1"/>
  <c r="N23" i="3"/>
  <c r="N22" i="3"/>
  <c r="M24" i="3"/>
  <c r="F38" i="13" s="1"/>
  <c r="M23" i="3"/>
  <c r="M22" i="3"/>
  <c r="M21" i="3"/>
  <c r="H38" i="13" l="1"/>
  <c r="H40" i="13" s="1"/>
  <c r="K40" i="13" s="1"/>
  <c r="E41" i="7"/>
  <c r="N21" i="3"/>
  <c r="E8" i="7"/>
  <c r="H22" i="7"/>
  <c r="F41" i="7" l="1"/>
  <c r="F22" i="7"/>
  <c r="F34" i="7" l="1"/>
  <c r="D41" i="7" s="1"/>
  <c r="G41" i="7" s="1"/>
  <c r="E9" i="7"/>
  <c r="E7" i="7"/>
  <c r="C18" i="7" s="1"/>
  <c r="G53" i="7" l="1"/>
  <c r="H43" i="7"/>
  <c r="K43" i="7" l="1"/>
  <c r="D4" i="9"/>
  <c r="P12" i="9" l="1"/>
  <c r="V15" i="9"/>
  <c r="L10" i="9"/>
  <c r="R13" i="9"/>
  <c r="T14" i="9"/>
  <c r="N11" i="9"/>
  <c r="H8" i="9"/>
  <c r="D5" i="9"/>
  <c r="D6" i="9" s="1"/>
  <c r="D7" i="9" s="1"/>
  <c r="F7" i="9"/>
  <c r="J9" i="9"/>
  <c r="H10" i="9" l="1"/>
  <c r="I10" i="9" s="1"/>
  <c r="I8" i="9"/>
  <c r="H12" i="9"/>
  <c r="I12" i="9" s="1"/>
  <c r="H13" i="9"/>
  <c r="I13" i="9" s="1"/>
  <c r="H11" i="9"/>
  <c r="I11" i="9" s="1"/>
  <c r="H9" i="9"/>
  <c r="I9" i="9" s="1"/>
  <c r="H14" i="9"/>
  <c r="I14" i="9" s="1"/>
  <c r="H15" i="9"/>
  <c r="I15" i="9" s="1"/>
  <c r="L11" i="9"/>
  <c r="M11" i="9" s="1"/>
  <c r="M10" i="9"/>
  <c r="L12" i="9"/>
  <c r="M12" i="9" s="1"/>
  <c r="L13" i="9"/>
  <c r="M13" i="9" s="1"/>
  <c r="L14" i="9"/>
  <c r="M14" i="9" s="1"/>
  <c r="L15" i="9"/>
  <c r="M15" i="9" s="1"/>
  <c r="J12" i="9"/>
  <c r="K12" i="9" s="1"/>
  <c r="J11" i="9"/>
  <c r="K11" i="9" s="1"/>
  <c r="J10" i="9"/>
  <c r="K10" i="9" s="1"/>
  <c r="J13" i="9"/>
  <c r="K13" i="9" s="1"/>
  <c r="K9" i="9"/>
  <c r="J15" i="9"/>
  <c r="K15" i="9" s="1"/>
  <c r="J14" i="9"/>
  <c r="K14" i="9" s="1"/>
  <c r="O11" i="9"/>
  <c r="N13" i="9"/>
  <c r="O13" i="9" s="1"/>
  <c r="N12" i="9"/>
  <c r="O12" i="9" s="1"/>
  <c r="N14" i="9"/>
  <c r="O14" i="9" s="1"/>
  <c r="N15" i="9"/>
  <c r="O15" i="9" s="1"/>
  <c r="F15" i="9"/>
  <c r="F11" i="9"/>
  <c r="F13" i="9"/>
  <c r="G13" i="9" s="1"/>
  <c r="F9" i="9"/>
  <c r="F14" i="9"/>
  <c r="G14" i="9" s="1"/>
  <c r="G7" i="9"/>
  <c r="W7" i="9" s="1"/>
  <c r="F12" i="9"/>
  <c r="G12" i="9" s="1"/>
  <c r="F8" i="9"/>
  <c r="F10" i="9"/>
  <c r="U14" i="9"/>
  <c r="T15" i="9"/>
  <c r="U15" i="9" s="1"/>
  <c r="Q12" i="9"/>
  <c r="P13" i="9"/>
  <c r="Q13" i="9" s="1"/>
  <c r="R14" i="9"/>
  <c r="S14" i="9" s="1"/>
  <c r="S13" i="9"/>
  <c r="R15" i="9" l="1"/>
  <c r="S15" i="9" s="1"/>
  <c r="G8" i="9"/>
  <c r="W8" i="9" s="1"/>
  <c r="G9" i="9"/>
  <c r="W9" i="9" s="1"/>
  <c r="X9" i="9" s="1"/>
  <c r="P14" i="9"/>
  <c r="W6" i="9"/>
  <c r="X7" i="9"/>
  <c r="Y7" i="9" s="1"/>
  <c r="G11" i="9"/>
  <c r="W11" i="9" s="1"/>
  <c r="W13" i="9"/>
  <c r="G10" i="9"/>
  <c r="W10" i="9" s="1"/>
  <c r="G15" i="9"/>
  <c r="W12" i="9"/>
  <c r="AA12" i="9" l="1"/>
  <c r="Z12" i="9"/>
  <c r="X11" i="9" s="1"/>
  <c r="X8" i="9"/>
  <c r="AA9" i="9"/>
  <c r="Z9" i="9"/>
  <c r="AB9" i="9"/>
  <c r="AB12" i="9"/>
  <c r="X10" i="9" s="1"/>
  <c r="Q14" i="9"/>
  <c r="W14" i="9" s="1"/>
  <c r="P15" i="9"/>
  <c r="Y9" i="9" l="1"/>
  <c r="Y8" i="9"/>
  <c r="X12" i="9"/>
  <c r="Q15" i="9"/>
  <c r="W15" i="9" s="1"/>
  <c r="Y11" i="9"/>
  <c r="Y12" i="9" s="1"/>
  <c r="AA15" i="9" l="1"/>
  <c r="X13" i="9" s="1"/>
  <c r="Y13" i="9" s="1"/>
  <c r="Z15" i="9"/>
  <c r="X15" i="9" l="1"/>
  <c r="X16" i="9" s="1"/>
  <c r="X14" i="9"/>
  <c r="Y14" i="9"/>
  <c r="E4" i="9" l="1"/>
  <c r="E5" i="9" l="1"/>
</calcChain>
</file>

<file path=xl/sharedStrings.xml><?xml version="1.0" encoding="utf-8"?>
<sst xmlns="http://schemas.openxmlformats.org/spreadsheetml/2006/main" count="192" uniqueCount="148">
  <si>
    <t>:</t>
  </si>
  <si>
    <t>NOMBRES Y APELLIDOS</t>
  </si>
  <si>
    <t>FECHA DE INGRESO</t>
  </si>
  <si>
    <t>Sueldo Básico</t>
  </si>
  <si>
    <t>Promedio de comisiones</t>
  </si>
  <si>
    <t>TOTAL REMUNERACION COMPUTABLE</t>
  </si>
  <si>
    <t xml:space="preserve">TOTAL </t>
  </si>
  <si>
    <t>TOTAL A PAGAR</t>
  </si>
  <si>
    <t>CODIGO</t>
  </si>
  <si>
    <t>FECHA INGRESO</t>
  </si>
  <si>
    <t>SUELDO</t>
  </si>
  <si>
    <t>ASIG FAM.</t>
  </si>
  <si>
    <t xml:space="preserve">APELLIDOS Y NOMBRES </t>
  </si>
  <si>
    <t>CODIGO TRABAJADOR</t>
  </si>
  <si>
    <t>MESES COMPUTABLES</t>
  </si>
  <si>
    <t>AL</t>
  </si>
  <si>
    <t>PERIODO INICIAL DEL COMPUTO</t>
  </si>
  <si>
    <t>BANCO</t>
  </si>
  <si>
    <t>Nº DE CUENTA CORRIENTE</t>
  </si>
  <si>
    <t>BANCO A DEPÓSITAR</t>
  </si>
  <si>
    <t>DNI</t>
  </si>
  <si>
    <t>Nº DE MESES COMPUTABLES</t>
  </si>
  <si>
    <t>EMPLEADOR</t>
  </si>
  <si>
    <t>Gratificación Ordinaria</t>
  </si>
  <si>
    <t>ALVAREZ DAZA MANUEL</t>
  </si>
  <si>
    <t>ARREDONDO FERNANDEZ GRACIA</t>
  </si>
  <si>
    <t>BLANES RESTOY ADELA</t>
  </si>
  <si>
    <t>FERNANDEZ CAÑAS ANTONIO</t>
  </si>
  <si>
    <t>GAMEZ CAÑAS LUCIA</t>
  </si>
  <si>
    <t>BBVA BANCO CONTINENTAL</t>
  </si>
  <si>
    <t>111-01-1111111</t>
  </si>
  <si>
    <t>111-01-1111112</t>
  </si>
  <si>
    <t>111-01-1111113</t>
  </si>
  <si>
    <t>111-01-1111114</t>
  </si>
  <si>
    <t>111-01-1111115</t>
  </si>
  <si>
    <t>DÍAS COMPUTABLES</t>
  </si>
  <si>
    <t>CÁLCULO DE C.T.S</t>
  </si>
  <si>
    <t>DEL</t>
  </si>
  <si>
    <t>REM. COMPUTABLE</t>
  </si>
  <si>
    <t>NUMERO CTA. CTS</t>
  </si>
  <si>
    <t>Asignación Familiar</t>
  </si>
  <si>
    <t>Promedio Horas extras</t>
  </si>
  <si>
    <t>TOTAL HORAS EXTRAS</t>
  </si>
  <si>
    <t>Total Horas extras</t>
  </si>
  <si>
    <t>Total de comisiones</t>
  </si>
  <si>
    <t>Nº DE DÍAS COMPUTABLES</t>
  </si>
  <si>
    <t>PERIODO FINAL DEL COMPUTO</t>
  </si>
  <si>
    <t>MODELO PARA CALCULAR LA COMPENSACIÓN POR TIEMPO DE SERVICIOS DE VARIOS TRABAJADORES EN EXCEL</t>
  </si>
  <si>
    <t>La siguiente plantilla permite calcular la CTS de cada trabajador correspondiente a cualquier semestre (Mayo - Octubre) ó (Noviembre - Abril)</t>
  </si>
  <si>
    <t>Importante:</t>
  </si>
  <si>
    <r>
      <t xml:space="preserve">La tabla contiene datos que </t>
    </r>
    <r>
      <rPr>
        <b/>
        <sz val="10"/>
        <rFont val="Calibri"/>
        <family val="2"/>
        <scheme val="minor"/>
      </rPr>
      <t>no deben ser alterados</t>
    </r>
    <r>
      <rPr>
        <sz val="10"/>
        <rFont val="Calibri"/>
        <family val="2"/>
        <scheme val="minor"/>
      </rPr>
      <t xml:space="preserve"> ni reemplazados. (Columnas 5 , 13 y 14)</t>
    </r>
  </si>
  <si>
    <t>La tabla debe ser alimentada con ciertos datos e información necesaria para el cálculo automático de la CTS de cada trabajador. (columnas 2,3,6,7,10,11,12 y 15)</t>
  </si>
  <si>
    <r>
      <t xml:space="preserve">Se anotará la </t>
    </r>
    <r>
      <rPr>
        <b/>
        <sz val="10"/>
        <rFont val="Calibri"/>
        <family val="2"/>
        <scheme val="minor"/>
      </rPr>
      <t xml:space="preserve">sumatoria de todas las comisiones percibidas </t>
    </r>
    <r>
      <rPr>
        <sz val="10"/>
        <rFont val="Calibri"/>
        <family val="2"/>
        <scheme val="minor"/>
      </rPr>
      <t>por el trabajador.(Columna 9)</t>
    </r>
  </si>
  <si>
    <t>*</t>
  </si>
  <si>
    <r>
      <t xml:space="preserve">Se anotará la </t>
    </r>
    <r>
      <rPr>
        <b/>
        <sz val="10"/>
        <rFont val="Calibri"/>
        <family val="2"/>
        <scheme val="minor"/>
      </rPr>
      <t>sumatoria de lo percibido por concepto de horas extras por</t>
    </r>
    <r>
      <rPr>
        <sz val="10"/>
        <rFont val="Calibri"/>
        <family val="2"/>
        <scheme val="minor"/>
      </rPr>
      <t xml:space="preserve"> el trabajador.(Columna 8)</t>
    </r>
  </si>
  <si>
    <t>Las horas extras son computables para determinar la CTS siempre y cuando hayan sido percibidas por lo menos durante tres meses en el semestre respectivo.</t>
  </si>
  <si>
    <r>
      <t>Es necesario</t>
    </r>
    <r>
      <rPr>
        <b/>
        <sz val="10"/>
        <rFont val="Calibri"/>
        <family val="2"/>
        <scheme val="minor"/>
      </rPr>
      <t xml:space="preserve"> asignar un código a cada trabajador</t>
    </r>
    <r>
      <rPr>
        <sz val="10"/>
        <rFont val="Calibri"/>
        <family val="2"/>
        <scheme val="minor"/>
      </rPr>
      <t>, porque será utilizado como referencia al jalar los datos que se anotaron en la tabla. (Columna 1)</t>
    </r>
  </si>
  <si>
    <t>TOTAL COMISIONES</t>
  </si>
  <si>
    <t xml:space="preserve">Las comisiones así se hayan percibido sólo una vez durante el sementre respectivo, se consideran computables para el cálculo de CTS. </t>
  </si>
  <si>
    <t>Aquí debe anotarse el código</t>
  </si>
  <si>
    <t xml:space="preserve"> asignado a cada trabajador.</t>
  </si>
  <si>
    <t>www.excelnegocios.com</t>
  </si>
  <si>
    <t>LEE LAS INSTRUCCIONES ANTES DE USAR ESTA PLANTILLA</t>
  </si>
  <si>
    <t>MONEDA:</t>
  </si>
  <si>
    <t>con</t>
  </si>
  <si>
    <t>AL FINAL:</t>
  </si>
  <si>
    <t>centena millones</t>
  </si>
  <si>
    <t>decena millones</t>
  </si>
  <si>
    <t>unidades millones</t>
  </si>
  <si>
    <t>centena miles</t>
  </si>
  <si>
    <t xml:space="preserve"> </t>
  </si>
  <si>
    <t>decena miles</t>
  </si>
  <si>
    <t>unidades miles</t>
  </si>
  <si>
    <t xml:space="preserve">centena </t>
  </si>
  <si>
    <t xml:space="preserve">decena </t>
  </si>
  <si>
    <t xml:space="preserve">unidades </t>
  </si>
  <si>
    <t>uno</t>
  </si>
  <si>
    <t>dos</t>
  </si>
  <si>
    <t>tres</t>
  </si>
  <si>
    <t>cuatro</t>
  </si>
  <si>
    <t>cinco</t>
  </si>
  <si>
    <t>seis</t>
  </si>
  <si>
    <t>siete</t>
  </si>
  <si>
    <t>ocho</t>
  </si>
  <si>
    <t>nueve</t>
  </si>
  <si>
    <t>diez</t>
  </si>
  <si>
    <t>once</t>
  </si>
  <si>
    <t>doce</t>
  </si>
  <si>
    <t>trece</t>
  </si>
  <si>
    <t>catrorce</t>
  </si>
  <si>
    <t>quince</t>
  </si>
  <si>
    <t>dieciseis</t>
  </si>
  <si>
    <t>diecisiete</t>
  </si>
  <si>
    <t>dieciocho</t>
  </si>
  <si>
    <t>diecinueve</t>
  </si>
  <si>
    <t>veinte</t>
  </si>
  <si>
    <t>veintiun</t>
  </si>
  <si>
    <t>veintidos</t>
  </si>
  <si>
    <t>veintitres</t>
  </si>
  <si>
    <t>veinticuatro</t>
  </si>
  <si>
    <t>veinticinco</t>
  </si>
  <si>
    <t>veintiseis</t>
  </si>
  <si>
    <t>veintisiete</t>
  </si>
  <si>
    <t>veintiocho</t>
  </si>
  <si>
    <t>veintinueve</t>
  </si>
  <si>
    <t>treinta</t>
  </si>
  <si>
    <t>cuarenta</t>
  </si>
  <si>
    <t>cincuenta</t>
  </si>
  <si>
    <t>sesenta</t>
  </si>
  <si>
    <t>setenta</t>
  </si>
  <si>
    <t>ochenta</t>
  </si>
  <si>
    <t>noventa</t>
  </si>
  <si>
    <t>cien</t>
  </si>
  <si>
    <t>doscientos</t>
  </si>
  <si>
    <t>trescientos</t>
  </si>
  <si>
    <t>cuatrocientos</t>
  </si>
  <si>
    <t>quinientos</t>
  </si>
  <si>
    <t>seiscientos</t>
  </si>
  <si>
    <t>setecientos</t>
  </si>
  <si>
    <t>ochocientos</t>
  </si>
  <si>
    <t>novecientos</t>
  </si>
  <si>
    <t>mil</t>
  </si>
  <si>
    <t>/100 soles</t>
  </si>
  <si>
    <t>Contacto: Gustavo@excelnegocios.com</t>
  </si>
  <si>
    <t>LIQUIDACIÓN DE DEPÓSITO SEMESTRAL DE CTS</t>
  </si>
  <si>
    <t xml:space="preserve">1- CONCEPTOS REMUNERATIVOS COMPUTABLES </t>
  </si>
  <si>
    <t>PERIODO COMPUTABLE :</t>
  </si>
  <si>
    <t>2- REMUNERACION  COMPUTABLE</t>
  </si>
  <si>
    <t>EMPRESA</t>
  </si>
  <si>
    <t>RUC</t>
  </si>
  <si>
    <t>DOMICILIO FISCAL</t>
  </si>
  <si>
    <t>GERENTE GENERAL</t>
  </si>
  <si>
    <t>CIUDAD</t>
  </si>
  <si>
    <t>Lima</t>
  </si>
  <si>
    <t>MES</t>
  </si>
  <si>
    <t>▼</t>
  </si>
  <si>
    <t>Archivo descargado de:</t>
  </si>
  <si>
    <t>AÑO</t>
  </si>
  <si>
    <t>DÍA (depósito)</t>
  </si>
  <si>
    <t>Av. Metropolitana 1102</t>
  </si>
  <si>
    <t>Excel Negocios</t>
  </si>
  <si>
    <t>Gustavo Sebastiani</t>
  </si>
  <si>
    <t>REMUNERACIÓN  COMPUTABLE</t>
  </si>
  <si>
    <t>1.- PERIODO COMPUTABLE :</t>
  </si>
  <si>
    <t>3- CÁLCULO DEL DEPÓSITO :</t>
  </si>
  <si>
    <t>Mayo</t>
  </si>
  <si>
    <t>PLANTILLA PARA CÁLCULO DE CTS - NOV 2018 - ABR 2019</t>
  </si>
  <si>
    <r>
      <t xml:space="preserve">para ello debe modificarse el </t>
    </r>
    <r>
      <rPr>
        <b/>
        <sz val="10"/>
        <rFont val="Calibri"/>
        <family val="2"/>
        <scheme val="minor"/>
      </rPr>
      <t>Periodo Inicial de Cómputo</t>
    </r>
    <r>
      <rPr>
        <sz val="10"/>
        <rFont val="Calibri"/>
        <family val="2"/>
        <scheme val="minor"/>
      </rPr>
      <t>, que para éste caso es el 01-11-2018 (Columna 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</si>
</sst>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 #,##0.00_ ;_ * \-#,##0.00_ ;_ * &quot;-&quot;??_ ;_ @_ "/>
    <numFmt numFmtId="164" formatCode="_([$€-2]\ * #,##0.00_);_([$€-2]\ * \(#,##0.00\);_([$€-2]\ * &quot;-&quot;??_)"/>
    <numFmt numFmtId="165" formatCode="dd\-mm\-yy;@"/>
    <numFmt numFmtId="166" formatCode="&quot;€&quot;#,##0.00"/>
    <numFmt numFmtId="167" formatCode="_-* #,##0.00_-;\-* #,##0.00_-;_-* &quot;-&quot;??_-;_-@_-"/>
    <numFmt numFmtId="168" formatCode="[$-F800]dddd\,\ mmmm\ dd\,\ yyyy"/>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alibri"/>
      <family val="2"/>
      <scheme val="minor"/>
    </font>
    <font>
      <b/>
      <sz val="7"/>
      <name val="Calibri"/>
      <family val="2"/>
      <scheme val="minor"/>
    </font>
    <font>
      <sz val="7"/>
      <name val="Calibri"/>
      <family val="2"/>
      <scheme val="minor"/>
    </font>
    <font>
      <b/>
      <sz val="10"/>
      <name val="Calibri"/>
      <family val="2"/>
      <scheme val="minor"/>
    </font>
    <font>
      <b/>
      <u/>
      <sz val="10"/>
      <name val="Calibri"/>
      <family val="2"/>
      <scheme val="minor"/>
    </font>
    <font>
      <b/>
      <i/>
      <sz val="10"/>
      <name val="Calibri"/>
      <family val="2"/>
      <scheme val="minor"/>
    </font>
    <font>
      <b/>
      <sz val="12"/>
      <name val="Calibri"/>
      <family val="2"/>
      <scheme val="minor"/>
    </font>
    <font>
      <u/>
      <sz val="10"/>
      <name val="Calibri"/>
      <family val="2"/>
      <scheme val="minor"/>
    </font>
    <font>
      <sz val="10"/>
      <color theme="0" tint="-0.34998626667073579"/>
      <name val="Calibri"/>
      <family val="2"/>
      <scheme val="minor"/>
    </font>
    <font>
      <b/>
      <u/>
      <sz val="20"/>
      <name val="Calibri"/>
      <family val="2"/>
      <scheme val="minor"/>
    </font>
    <font>
      <sz val="10"/>
      <color rgb="FFFF0000"/>
      <name val="Calibri"/>
      <family val="2"/>
      <scheme val="minor"/>
    </font>
    <font>
      <u/>
      <sz val="10"/>
      <color theme="10"/>
      <name val="Arial"/>
      <family val="2"/>
    </font>
    <font>
      <b/>
      <sz val="10"/>
      <color rgb="FFFF0000"/>
      <name val="Calibri"/>
      <family val="2"/>
      <scheme val="minor"/>
    </font>
    <font>
      <b/>
      <u/>
      <sz val="20"/>
      <color rgb="FF0070C0"/>
      <name val="Calibri"/>
      <family val="2"/>
    </font>
    <font>
      <b/>
      <sz val="11"/>
      <color rgb="FF002060"/>
      <name val="Arial"/>
      <family val="2"/>
    </font>
    <font>
      <b/>
      <sz val="18"/>
      <color theme="0"/>
      <name val="Calibri"/>
      <family val="2"/>
      <scheme val="minor"/>
    </font>
    <font>
      <b/>
      <sz val="20"/>
      <color theme="0"/>
      <name val="Calibri"/>
      <family val="2"/>
      <scheme val="minor"/>
    </font>
    <font>
      <sz val="10"/>
      <color theme="0"/>
      <name val="Calibri"/>
      <family val="2"/>
      <scheme val="minor"/>
    </font>
    <font>
      <b/>
      <sz val="11"/>
      <color indexed="10"/>
      <name val="Arial"/>
      <family val="2"/>
    </font>
    <font>
      <sz val="10"/>
      <color indexed="9"/>
      <name val="Arial"/>
      <family val="2"/>
    </font>
    <font>
      <u/>
      <sz val="10"/>
      <color indexed="12"/>
      <name val="Arial"/>
      <family val="2"/>
    </font>
    <font>
      <b/>
      <u/>
      <sz val="11"/>
      <color rgb="FF1108C0"/>
      <name val="Calibri"/>
      <family val="2"/>
      <scheme val="minor"/>
    </font>
    <font>
      <sz val="12"/>
      <name val="Calibri"/>
      <family val="2"/>
      <scheme val="minor"/>
    </font>
    <font>
      <b/>
      <sz val="11"/>
      <color theme="0"/>
      <name val="Calibri"/>
      <family val="2"/>
      <scheme val="minor"/>
    </font>
    <font>
      <b/>
      <sz val="11"/>
      <color theme="1"/>
      <name val="Calibri"/>
      <family val="2"/>
      <scheme val="minor"/>
    </font>
    <font>
      <sz val="10"/>
      <color indexed="8"/>
      <name val="MS Sans Serif"/>
      <family val="2"/>
    </font>
    <font>
      <sz val="11"/>
      <color rgb="FF000000"/>
      <name val="Tahoma"/>
      <family val="2"/>
    </font>
    <font>
      <b/>
      <sz val="10"/>
      <color indexed="8"/>
      <name val="Calibri"/>
      <family val="2"/>
      <scheme val="minor"/>
    </font>
    <font>
      <b/>
      <i/>
      <sz val="12"/>
      <name val="Calibri"/>
      <family val="2"/>
      <scheme val="minor"/>
    </font>
    <font>
      <sz val="12"/>
      <name val="Calibri"/>
      <family val="2"/>
    </font>
  </fonts>
  <fills count="14">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2"/>
        <bgColor indexed="64"/>
      </patternFill>
    </fill>
    <fill>
      <patternFill patternType="solid">
        <fgColor rgb="FFFF0000"/>
        <bgColor indexed="64"/>
      </patternFill>
    </fill>
    <fill>
      <patternFill patternType="solid">
        <fgColor rgb="FFFFFF00"/>
        <bgColor indexed="64"/>
      </patternFill>
    </fill>
    <fill>
      <patternFill patternType="solid">
        <fgColor rgb="FF0070C0"/>
        <bgColor indexed="64"/>
      </patternFill>
    </fill>
    <fill>
      <patternFill patternType="solid">
        <fgColor rgb="FFFFFFCC"/>
        <bgColor indexed="64"/>
      </patternFill>
    </fill>
    <fill>
      <patternFill patternType="solid">
        <fgColor indexed="13"/>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tint="-4.9989318521683403E-2"/>
        <bgColor indexed="64"/>
      </patternFill>
    </fill>
  </fills>
  <borders count="3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style="medium">
        <color indexed="64"/>
      </bottom>
      <diagonal/>
    </border>
    <border>
      <left style="hair">
        <color indexed="64"/>
      </left>
      <right/>
      <top style="hair">
        <color indexed="64"/>
      </top>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medium">
        <color theme="1"/>
      </left>
      <right style="thin">
        <color indexed="64"/>
      </right>
      <top style="thin">
        <color theme="1"/>
      </top>
      <bottom style="thin">
        <color indexed="64"/>
      </bottom>
      <diagonal/>
    </border>
    <border>
      <left style="thin">
        <color indexed="64"/>
      </left>
      <right style="thin">
        <color indexed="64"/>
      </right>
      <top style="thin">
        <color theme="1"/>
      </top>
      <bottom style="thin">
        <color indexed="64"/>
      </bottom>
      <diagonal/>
    </border>
    <border>
      <left style="thin">
        <color indexed="64"/>
      </left>
      <right style="medium">
        <color theme="1"/>
      </right>
      <top style="thin">
        <color theme="1"/>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top/>
      <bottom/>
      <diagonal/>
    </border>
    <border>
      <left/>
      <right style="medium">
        <color theme="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s>
  <cellStyleXfs count="10">
    <xf numFmtId="0" fontId="0" fillId="0" borderId="0"/>
    <xf numFmtId="164" fontId="4" fillId="0" borderId="0" applyFont="0" applyFill="0" applyBorder="0" applyAlignment="0" applyProtection="0"/>
    <xf numFmtId="43" fontId="4" fillId="0" borderId="0" applyFont="0" applyFill="0" applyBorder="0" applyAlignment="0" applyProtection="0"/>
    <xf numFmtId="0" fontId="3" fillId="0" borderId="0"/>
    <xf numFmtId="0" fontId="16" fillId="0" borderId="0" applyNumberFormat="0" applyFill="0" applyBorder="0" applyAlignment="0" applyProtection="0"/>
    <xf numFmtId="0" fontId="2" fillId="0" borderId="0"/>
    <xf numFmtId="0" fontId="25" fillId="0" borderId="0" applyNumberFormat="0" applyFill="0" applyBorder="0" applyAlignment="0" applyProtection="0">
      <alignment vertical="top"/>
      <protection locked="0"/>
    </xf>
    <xf numFmtId="0" fontId="30" fillId="0" borderId="0"/>
    <xf numFmtId="0" fontId="1" fillId="0" borderId="0"/>
    <xf numFmtId="0" fontId="4" fillId="0" borderId="0"/>
  </cellStyleXfs>
  <cellXfs count="183">
    <xf numFmtId="0" fontId="0" fillId="0" borderId="0" xfId="0"/>
    <xf numFmtId="0" fontId="5" fillId="3" borderId="0" xfId="0" applyFont="1" applyFill="1"/>
    <xf numFmtId="0" fontId="8" fillId="3" borderId="0" xfId="0" applyFont="1" applyFill="1"/>
    <xf numFmtId="0" fontId="8" fillId="3" borderId="0" xfId="0" applyFont="1" applyFill="1" applyAlignment="1">
      <alignment horizontal="center"/>
    </xf>
    <xf numFmtId="14" fontId="8" fillId="3" borderId="0" xfId="0" applyNumberFormat="1" applyFont="1" applyFill="1" applyAlignment="1">
      <alignment horizontal="left"/>
    </xf>
    <xf numFmtId="0" fontId="8" fillId="3" borderId="0" xfId="0" applyFont="1" applyFill="1" applyBorder="1"/>
    <xf numFmtId="0" fontId="5" fillId="3" borderId="0" xfId="0" applyFont="1" applyFill="1" applyBorder="1"/>
    <xf numFmtId="0" fontId="5" fillId="3" borderId="0" xfId="0" applyFont="1" applyFill="1" applyAlignment="1">
      <alignment horizontal="right"/>
    </xf>
    <xf numFmtId="2" fontId="5" fillId="3" borderId="0" xfId="0" applyNumberFormat="1" applyFont="1" applyFill="1" applyBorder="1"/>
    <xf numFmtId="16" fontId="5" fillId="3" borderId="0" xfId="0" applyNumberFormat="1" applyFont="1" applyFill="1" applyAlignment="1">
      <alignment horizontal="right"/>
    </xf>
    <xf numFmtId="43" fontId="5" fillId="3" borderId="0" xfId="0" applyNumberFormat="1" applyFont="1" applyFill="1"/>
    <xf numFmtId="0" fontId="5" fillId="3" borderId="0" xfId="0" applyFont="1" applyFill="1" applyAlignment="1">
      <alignment vertical="center" wrapText="1"/>
    </xf>
    <xf numFmtId="0" fontId="5" fillId="3" borderId="0" xfId="0" applyFont="1" applyFill="1" applyAlignment="1">
      <alignment horizontal="center" vertical="center"/>
    </xf>
    <xf numFmtId="1" fontId="5" fillId="3" borderId="3" xfId="0" applyNumberFormat="1" applyFont="1" applyFill="1" applyBorder="1" applyAlignment="1">
      <alignment horizontal="center" vertical="center"/>
    </xf>
    <xf numFmtId="43" fontId="5" fillId="3" borderId="3" xfId="2" applyFont="1" applyFill="1" applyBorder="1" applyAlignment="1">
      <alignment horizontal="center" vertical="center"/>
    </xf>
    <xf numFmtId="0" fontId="5" fillId="3" borderId="3" xfId="0" applyFont="1" applyFill="1" applyBorder="1" applyAlignment="1">
      <alignment horizontal="center" vertical="center"/>
    </xf>
    <xf numFmtId="43" fontId="8" fillId="3" borderId="3" xfId="2" applyNumberFormat="1" applyFont="1" applyFill="1" applyBorder="1"/>
    <xf numFmtId="43" fontId="8" fillId="3" borderId="0" xfId="2" applyNumberFormat="1" applyFont="1" applyFill="1" applyBorder="1"/>
    <xf numFmtId="0" fontId="10" fillId="3" borderId="0" xfId="0" applyFont="1" applyFill="1"/>
    <xf numFmtId="14" fontId="8" fillId="3" borderId="0" xfId="0" applyNumberFormat="1" applyFont="1" applyFill="1"/>
    <xf numFmtId="0" fontId="8" fillId="3" borderId="0" xfId="0" applyFont="1" applyFill="1" applyAlignment="1">
      <alignment horizontal="left"/>
    </xf>
    <xf numFmtId="0" fontId="11" fillId="3" borderId="0" xfId="0" applyFont="1" applyFill="1" applyAlignment="1">
      <alignment horizontal="left"/>
    </xf>
    <xf numFmtId="2" fontId="5" fillId="3" borderId="0" xfId="0" applyNumberFormat="1" applyFont="1" applyFill="1" applyAlignment="1">
      <alignment horizontal="right"/>
    </xf>
    <xf numFmtId="2" fontId="5" fillId="3" borderId="0" xfId="0" applyNumberFormat="1" applyFont="1" applyFill="1" applyBorder="1" applyAlignment="1">
      <alignment horizontal="right"/>
    </xf>
    <xf numFmtId="2" fontId="8" fillId="3" borderId="0" xfId="0" applyNumberFormat="1" applyFont="1" applyFill="1" applyAlignment="1">
      <alignment horizontal="right"/>
    </xf>
    <xf numFmtId="2" fontId="5" fillId="3" borderId="0" xfId="2" applyNumberFormat="1" applyFont="1" applyFill="1" applyAlignment="1">
      <alignment horizontal="right"/>
    </xf>
    <xf numFmtId="17" fontId="11" fillId="3" borderId="0" xfId="0" applyNumberFormat="1" applyFont="1" applyFill="1" applyAlignment="1">
      <alignment horizontal="left"/>
    </xf>
    <xf numFmtId="16" fontId="8" fillId="3" borderId="0" xfId="0" applyNumberFormat="1" applyFont="1" applyFill="1" applyAlignment="1">
      <alignment horizontal="right"/>
    </xf>
    <xf numFmtId="0" fontId="8" fillId="3" borderId="0" xfId="0" applyFont="1" applyFill="1" applyAlignment="1">
      <alignment vertical="center" wrapText="1"/>
    </xf>
    <xf numFmtId="0" fontId="8" fillId="3" borderId="0" xfId="0" applyFont="1" applyFill="1" applyAlignment="1">
      <alignment horizontal="center" vertical="center"/>
    </xf>
    <xf numFmtId="43" fontId="8" fillId="2" borderId="2" xfId="2" applyFont="1" applyFill="1" applyBorder="1"/>
    <xf numFmtId="0" fontId="5" fillId="3" borderId="1" xfId="0" applyFont="1" applyFill="1" applyBorder="1"/>
    <xf numFmtId="2" fontId="5" fillId="3" borderId="1" xfId="0" applyNumberFormat="1" applyFont="1" applyFill="1" applyBorder="1" applyAlignment="1">
      <alignment horizontal="right"/>
    </xf>
    <xf numFmtId="0" fontId="5" fillId="3" borderId="0" xfId="0" applyFont="1" applyFill="1" applyAlignment="1">
      <alignment vertical="center"/>
    </xf>
    <xf numFmtId="0" fontId="5" fillId="2" borderId="3" xfId="0" applyFont="1" applyFill="1" applyBorder="1" applyAlignment="1">
      <alignment horizontal="center" vertical="center"/>
    </xf>
    <xf numFmtId="166" fontId="5" fillId="2" borderId="3" xfId="0" applyNumberFormat="1" applyFont="1" applyFill="1" applyBorder="1" applyAlignment="1">
      <alignment vertical="center"/>
    </xf>
    <xf numFmtId="14" fontId="5" fillId="2" borderId="3" xfId="0" applyNumberFormat="1" applyFont="1" applyFill="1" applyBorder="1" applyAlignment="1">
      <alignment vertical="center"/>
    </xf>
    <xf numFmtId="4" fontId="5" fillId="2" borderId="3" xfId="0" applyNumberFormat="1" applyFont="1" applyFill="1" applyBorder="1" applyAlignment="1">
      <alignment horizontal="center" vertical="center"/>
    </xf>
    <xf numFmtId="4" fontId="5" fillId="2" borderId="3" xfId="0" applyNumberFormat="1" applyFont="1" applyFill="1" applyBorder="1" applyAlignment="1">
      <alignment vertical="center"/>
    </xf>
    <xf numFmtId="0" fontId="5" fillId="2" borderId="3" xfId="0" applyFont="1" applyFill="1" applyBorder="1" applyAlignment="1">
      <alignment vertical="center"/>
    </xf>
    <xf numFmtId="0" fontId="5" fillId="2" borderId="3" xfId="0" applyNumberFormat="1" applyFont="1" applyFill="1" applyBorder="1" applyAlignment="1">
      <alignment horizontal="center" vertical="center"/>
    </xf>
    <xf numFmtId="0" fontId="9" fillId="3" borderId="0" xfId="0" applyFont="1" applyFill="1" applyAlignment="1">
      <alignment vertical="center"/>
    </xf>
    <xf numFmtId="1" fontId="5" fillId="3" borderId="0" xfId="0" applyNumberFormat="1" applyFont="1" applyFill="1" applyBorder="1" applyAlignment="1">
      <alignment horizontal="center" vertical="center"/>
    </xf>
    <xf numFmtId="0" fontId="5" fillId="3" borderId="0" xfId="0" applyFont="1" applyFill="1" applyAlignment="1">
      <alignment horizontal="left"/>
    </xf>
    <xf numFmtId="43" fontId="13" fillId="3" borderId="2" xfId="0" applyNumberFormat="1" applyFont="1" applyFill="1" applyBorder="1"/>
    <xf numFmtId="0" fontId="14" fillId="3" borderId="0" xfId="0" applyFont="1" applyFill="1" applyAlignment="1">
      <alignment horizontal="center"/>
    </xf>
    <xf numFmtId="1" fontId="15" fillId="3" borderId="0" xfId="0" applyNumberFormat="1" applyFont="1" applyFill="1" applyBorder="1" applyAlignment="1">
      <alignment horizontal="center" vertical="center"/>
    </xf>
    <xf numFmtId="0" fontId="15" fillId="3" borderId="0" xfId="0" applyFont="1" applyFill="1" applyBorder="1" applyAlignment="1">
      <alignment vertical="center"/>
    </xf>
    <xf numFmtId="14" fontId="5" fillId="5" borderId="3" xfId="0" applyNumberFormat="1" applyFont="1" applyFill="1" applyBorder="1" applyAlignment="1">
      <alignment vertical="center"/>
    </xf>
    <xf numFmtId="0" fontId="5" fillId="5" borderId="3" xfId="0" applyFont="1" applyFill="1" applyBorder="1" applyAlignment="1">
      <alignment horizontal="center" vertical="center"/>
    </xf>
    <xf numFmtId="0" fontId="16" fillId="3" borderId="0" xfId="4" applyFill="1" applyAlignment="1">
      <alignment vertical="center"/>
    </xf>
    <xf numFmtId="0" fontId="17" fillId="7" borderId="6" xfId="0" applyFont="1" applyFill="1" applyBorder="1" applyAlignment="1">
      <alignment horizontal="center" vertical="center"/>
    </xf>
    <xf numFmtId="1" fontId="22" fillId="6" borderId="0" xfId="0" applyNumberFormat="1" applyFont="1" applyFill="1" applyBorder="1" applyAlignment="1">
      <alignment horizontal="center" vertical="center"/>
    </xf>
    <xf numFmtId="0" fontId="5" fillId="9" borderId="0" xfId="0" applyFont="1" applyFill="1" applyAlignment="1">
      <alignment vertical="center"/>
    </xf>
    <xf numFmtId="0" fontId="5" fillId="9" borderId="0" xfId="0" applyFont="1" applyFill="1" applyAlignment="1">
      <alignment horizontal="center" vertical="center"/>
    </xf>
    <xf numFmtId="0" fontId="12" fillId="9" borderId="0" xfId="0" applyFont="1" applyFill="1" applyAlignment="1">
      <alignment vertical="center"/>
    </xf>
    <xf numFmtId="0" fontId="9" fillId="9" borderId="0" xfId="0" applyFont="1" applyFill="1" applyAlignment="1">
      <alignment vertical="center"/>
    </xf>
    <xf numFmtId="1" fontId="5" fillId="9" borderId="0" xfId="0" applyNumberFormat="1" applyFont="1" applyFill="1" applyBorder="1" applyAlignment="1">
      <alignment horizontal="center" vertical="center"/>
    </xf>
    <xf numFmtId="0" fontId="0" fillId="0" borderId="0" xfId="0" applyProtection="1">
      <protection hidden="1"/>
    </xf>
    <xf numFmtId="0" fontId="4" fillId="0" borderId="0" xfId="0" applyFont="1" applyProtection="1">
      <protection locked="0"/>
    </xf>
    <xf numFmtId="0" fontId="4" fillId="0" borderId="0" xfId="0" applyFont="1" applyProtection="1">
      <protection hidden="1"/>
    </xf>
    <xf numFmtId="167" fontId="23" fillId="0" borderId="6" xfId="2" applyNumberFormat="1" applyFont="1" applyBorder="1" applyProtection="1">
      <protection locked="0"/>
    </xf>
    <xf numFmtId="167" fontId="24" fillId="0" borderId="0" xfId="0" applyNumberFormat="1" applyFont="1" applyProtection="1">
      <protection hidden="1"/>
    </xf>
    <xf numFmtId="0" fontId="24" fillId="0" borderId="0" xfId="0" applyFont="1" applyProtection="1">
      <protection hidden="1"/>
    </xf>
    <xf numFmtId="1" fontId="0" fillId="0" borderId="0" xfId="0" applyNumberFormat="1" applyProtection="1">
      <protection hidden="1"/>
    </xf>
    <xf numFmtId="0" fontId="0" fillId="10" borderId="0" xfId="0" applyFill="1" applyAlignment="1" applyProtection="1">
      <alignment horizontal="right"/>
      <protection hidden="1"/>
    </xf>
    <xf numFmtId="0" fontId="0" fillId="10" borderId="0" xfId="0" applyFill="1" applyProtection="1">
      <protection hidden="1"/>
    </xf>
    <xf numFmtId="0" fontId="0" fillId="0" borderId="0" xfId="0" applyAlignment="1" applyProtection="1">
      <alignment horizontal="left"/>
      <protection hidden="1"/>
    </xf>
    <xf numFmtId="1" fontId="4" fillId="0" borderId="0" xfId="0" applyNumberFormat="1" applyFont="1" applyProtection="1">
      <protection hidden="1"/>
    </xf>
    <xf numFmtId="0" fontId="0" fillId="0" borderId="0" xfId="0" applyAlignment="1" applyProtection="1">
      <protection hidden="1"/>
    </xf>
    <xf numFmtId="0" fontId="4" fillId="0" borderId="0" xfId="0" quotePrefix="1" applyFont="1" applyProtection="1">
      <protection locked="0"/>
    </xf>
    <xf numFmtId="0" fontId="2" fillId="0" borderId="0" xfId="5"/>
    <xf numFmtId="0" fontId="2" fillId="0" borderId="18" xfId="5" applyBorder="1"/>
    <xf numFmtId="0" fontId="2" fillId="0" borderId="19" xfId="5" applyBorder="1"/>
    <xf numFmtId="0" fontId="2" fillId="0" borderId="20" xfId="5" applyBorder="1"/>
    <xf numFmtId="0" fontId="2" fillId="0" borderId="21" xfId="5" applyBorder="1"/>
    <xf numFmtId="0" fontId="2" fillId="0" borderId="0" xfId="5" applyBorder="1"/>
    <xf numFmtId="0" fontId="2" fillId="0" borderId="22" xfId="5" applyBorder="1"/>
    <xf numFmtId="0" fontId="2" fillId="0" borderId="23" xfId="5" applyBorder="1"/>
    <xf numFmtId="0" fontId="2" fillId="0" borderId="24" xfId="5" applyBorder="1"/>
    <xf numFmtId="0" fontId="2" fillId="0" borderId="25" xfId="5" applyBorder="1"/>
    <xf numFmtId="43" fontId="5" fillId="3" borderId="9" xfId="0" applyNumberFormat="1" applyFont="1" applyFill="1" applyBorder="1" applyAlignment="1">
      <alignment horizontal="center" vertical="center"/>
    </xf>
    <xf numFmtId="0" fontId="30" fillId="0" borderId="0" xfId="7"/>
    <xf numFmtId="0" fontId="30" fillId="3" borderId="31" xfId="7" applyFill="1" applyBorder="1"/>
    <xf numFmtId="0" fontId="30" fillId="3" borderId="0" xfId="7" applyFill="1" applyBorder="1"/>
    <xf numFmtId="0" fontId="30" fillId="3" borderId="32" xfId="7" applyFill="1" applyBorder="1"/>
    <xf numFmtId="0" fontId="30" fillId="13" borderId="0" xfId="7" applyFill="1" applyBorder="1"/>
    <xf numFmtId="0" fontId="29" fillId="3" borderId="31" xfId="7" applyFont="1" applyFill="1" applyBorder="1" applyAlignment="1">
      <alignment horizontal="center"/>
    </xf>
    <xf numFmtId="0" fontId="29" fillId="3" borderId="0" xfId="7" applyFont="1" applyFill="1" applyBorder="1" applyAlignment="1">
      <alignment horizontal="center"/>
    </xf>
    <xf numFmtId="0" fontId="30" fillId="3" borderId="0" xfId="7" applyFill="1" applyBorder="1" applyAlignment="1">
      <alignment horizontal="center"/>
    </xf>
    <xf numFmtId="0" fontId="31" fillId="0" borderId="0" xfId="8" applyFont="1"/>
    <xf numFmtId="0" fontId="32" fillId="3" borderId="0" xfId="7" applyFont="1" applyFill="1" applyBorder="1"/>
    <xf numFmtId="0" fontId="25" fillId="3" borderId="0" xfId="6" applyFill="1" applyBorder="1" applyAlignment="1" applyProtection="1"/>
    <xf numFmtId="0" fontId="30" fillId="3" borderId="36" xfId="7" applyFill="1" applyBorder="1"/>
    <xf numFmtId="0" fontId="30" fillId="3" borderId="37" xfId="7" applyFill="1" applyBorder="1"/>
    <xf numFmtId="0" fontId="30" fillId="3" borderId="38" xfId="7" applyFill="1" applyBorder="1"/>
    <xf numFmtId="0" fontId="14" fillId="3" borderId="0" xfId="0" applyFont="1" applyFill="1" applyAlignment="1">
      <alignment horizontal="center"/>
    </xf>
    <xf numFmtId="0" fontId="8" fillId="3" borderId="0" xfId="0" applyFont="1" applyFill="1" applyAlignment="1">
      <alignment horizontal="center" vertical="center"/>
    </xf>
    <xf numFmtId="0" fontId="11" fillId="3" borderId="0" xfId="0" applyFont="1" applyFill="1"/>
    <xf numFmtId="0" fontId="11" fillId="3" borderId="0" xfId="0" applyFont="1" applyFill="1" applyAlignment="1">
      <alignment horizontal="center"/>
    </xf>
    <xf numFmtId="0" fontId="27" fillId="3" borderId="0" xfId="0" applyFont="1" applyFill="1"/>
    <xf numFmtId="14" fontId="11" fillId="3" borderId="0" xfId="0" applyNumberFormat="1" applyFont="1" applyFill="1" applyAlignment="1">
      <alignment horizontal="left"/>
    </xf>
    <xf numFmtId="14" fontId="11" fillId="3" borderId="0" xfId="0" applyNumberFormat="1" applyFont="1" applyFill="1"/>
    <xf numFmtId="0" fontId="27" fillId="3" borderId="0" xfId="0" applyFont="1" applyFill="1" applyAlignment="1">
      <alignment horizontal="right"/>
    </xf>
    <xf numFmtId="0" fontId="27" fillId="3" borderId="0" xfId="0" applyFont="1" applyFill="1" applyBorder="1"/>
    <xf numFmtId="2" fontId="27" fillId="3" borderId="0" xfId="0" applyNumberFormat="1" applyFont="1" applyFill="1" applyBorder="1" applyAlignment="1">
      <alignment horizontal="right"/>
    </xf>
    <xf numFmtId="2" fontId="11" fillId="3" borderId="0" xfId="0" applyNumberFormat="1" applyFont="1" applyFill="1" applyAlignment="1">
      <alignment horizontal="right"/>
    </xf>
    <xf numFmtId="2" fontId="27" fillId="3" borderId="0" xfId="2" applyNumberFormat="1" applyFont="1" applyFill="1" applyAlignment="1">
      <alignment horizontal="right"/>
    </xf>
    <xf numFmtId="2" fontId="27" fillId="3" borderId="0" xfId="0" applyNumberFormat="1" applyFont="1" applyFill="1" applyAlignment="1">
      <alignment horizontal="right"/>
    </xf>
    <xf numFmtId="43" fontId="27" fillId="3" borderId="0" xfId="0" applyNumberFormat="1" applyFont="1" applyFill="1"/>
    <xf numFmtId="43" fontId="11" fillId="3" borderId="2" xfId="2" applyFont="1" applyFill="1" applyBorder="1"/>
    <xf numFmtId="0" fontId="27" fillId="3" borderId="0" xfId="0" applyFont="1" applyFill="1" applyAlignment="1">
      <alignment vertical="center" wrapText="1"/>
    </xf>
    <xf numFmtId="0" fontId="27" fillId="3" borderId="2" xfId="0" applyFont="1" applyFill="1" applyBorder="1" applyAlignment="1">
      <alignment horizontal="center" vertical="center"/>
    </xf>
    <xf numFmtId="43" fontId="27" fillId="3" borderId="2" xfId="2" applyFont="1" applyFill="1" applyBorder="1" applyAlignment="1">
      <alignment horizontal="center" vertical="center"/>
    </xf>
    <xf numFmtId="0" fontId="27" fillId="3" borderId="0" xfId="0" applyFont="1" applyFill="1" applyAlignment="1">
      <alignment horizontal="center" vertical="center"/>
    </xf>
    <xf numFmtId="43" fontId="11" fillId="3" borderId="3" xfId="2" applyNumberFormat="1" applyFont="1" applyFill="1" applyBorder="1"/>
    <xf numFmtId="43" fontId="11" fillId="3" borderId="0" xfId="2" applyNumberFormat="1" applyFont="1" applyFill="1" applyBorder="1"/>
    <xf numFmtId="0" fontId="33" fillId="3" borderId="0" xfId="0" applyFont="1" applyFill="1"/>
    <xf numFmtId="168" fontId="27" fillId="3" borderId="0" xfId="0" applyNumberFormat="1" applyFont="1" applyFill="1"/>
    <xf numFmtId="16" fontId="27" fillId="3" borderId="0" xfId="0" applyNumberFormat="1" applyFont="1" applyFill="1"/>
    <xf numFmtId="0" fontId="27" fillId="3" borderId="0" xfId="0" applyFont="1" applyFill="1" applyBorder="1" applyAlignment="1">
      <alignment horizontal="center"/>
    </xf>
    <xf numFmtId="0" fontId="27" fillId="3" borderId="1" xfId="0" applyFont="1" applyFill="1" applyBorder="1" applyAlignment="1">
      <alignment horizontal="center"/>
    </xf>
    <xf numFmtId="0" fontId="27" fillId="3" borderId="1" xfId="0" applyFont="1" applyFill="1" applyBorder="1"/>
    <xf numFmtId="0" fontId="11" fillId="3" borderId="0" xfId="0" applyFont="1" applyFill="1" applyBorder="1" applyAlignment="1">
      <alignment horizontal="center"/>
    </xf>
    <xf numFmtId="0" fontId="11" fillId="3" borderId="17" xfId="0" applyFont="1" applyFill="1" applyBorder="1" applyAlignment="1">
      <alignment horizontal="center"/>
    </xf>
    <xf numFmtId="0" fontId="11" fillId="3" borderId="0" xfId="0" applyFont="1" applyFill="1" applyAlignment="1">
      <alignment horizontal="center" vertical="center"/>
    </xf>
    <xf numFmtId="2" fontId="27" fillId="3" borderId="2" xfId="2" applyNumberFormat="1" applyFont="1" applyFill="1" applyBorder="1" applyAlignment="1">
      <alignment horizontal="center" vertical="center"/>
    </xf>
    <xf numFmtId="0" fontId="18" fillId="0" borderId="0" xfId="6" applyFont="1" applyFill="1" applyBorder="1" applyAlignment="1" applyProtection="1">
      <alignment horizontal="center" vertical="top"/>
    </xf>
    <xf numFmtId="0" fontId="19" fillId="0" borderId="13" xfId="5" applyFont="1" applyFill="1" applyBorder="1" applyAlignment="1">
      <alignment horizontal="left" vertical="center" indent="3"/>
    </xf>
    <xf numFmtId="0" fontId="19" fillId="0" borderId="0" xfId="5" applyFont="1" applyFill="1" applyBorder="1" applyAlignment="1">
      <alignment horizontal="left" vertical="center" indent="3"/>
    </xf>
    <xf numFmtId="0" fontId="26" fillId="0" borderId="0" xfId="6" applyFont="1" applyFill="1" applyBorder="1" applyAlignment="1" applyProtection="1">
      <alignment horizontal="center" vertical="center"/>
    </xf>
    <xf numFmtId="0" fontId="26" fillId="0" borderId="22" xfId="6" applyFont="1" applyFill="1" applyBorder="1" applyAlignment="1" applyProtection="1">
      <alignment horizontal="center" vertical="center"/>
    </xf>
    <xf numFmtId="0" fontId="29" fillId="12" borderId="31" xfId="7" applyFont="1" applyFill="1" applyBorder="1" applyAlignment="1">
      <alignment horizontal="center" vertical="center" wrapText="1"/>
    </xf>
    <xf numFmtId="0" fontId="29" fillId="12" borderId="0" xfId="7" applyFont="1" applyFill="1" applyBorder="1" applyAlignment="1">
      <alignment horizontal="center" vertical="center" wrapText="1"/>
    </xf>
    <xf numFmtId="0" fontId="28" fillId="11" borderId="33" xfId="7" applyFont="1" applyFill="1" applyBorder="1" applyAlignment="1">
      <alignment horizontal="center" vertical="center" wrapText="1"/>
    </xf>
    <xf numFmtId="0" fontId="28" fillId="11" borderId="34" xfId="7" applyFont="1" applyFill="1" applyBorder="1" applyAlignment="1">
      <alignment horizontal="center" vertical="center" wrapText="1"/>
    </xf>
    <xf numFmtId="0" fontId="28" fillId="11" borderId="35" xfId="7" applyFont="1" applyFill="1" applyBorder="1" applyAlignment="1">
      <alignment horizontal="center" vertical="center" wrapText="1"/>
    </xf>
    <xf numFmtId="0" fontId="21" fillId="11" borderId="26" xfId="7" applyFont="1" applyFill="1" applyBorder="1" applyAlignment="1">
      <alignment horizontal="center" vertical="center"/>
    </xf>
    <xf numFmtId="0" fontId="21" fillId="11" borderId="27" xfId="7" applyFont="1" applyFill="1" applyBorder="1" applyAlignment="1">
      <alignment horizontal="center" vertical="center"/>
    </xf>
    <xf numFmtId="0" fontId="21" fillId="11" borderId="28" xfId="7" applyFont="1" applyFill="1" applyBorder="1" applyAlignment="1">
      <alignment horizontal="center" vertical="center"/>
    </xf>
    <xf numFmtId="0" fontId="21" fillId="11" borderId="29" xfId="7" applyFont="1" applyFill="1" applyBorder="1" applyAlignment="1">
      <alignment horizontal="center" vertical="center"/>
    </xf>
    <xf numFmtId="0" fontId="21" fillId="11" borderId="2" xfId="7" applyFont="1" applyFill="1" applyBorder="1" applyAlignment="1">
      <alignment horizontal="center" vertical="center"/>
    </xf>
    <xf numFmtId="0" fontId="21" fillId="11" borderId="30" xfId="7" applyFont="1" applyFill="1" applyBorder="1" applyAlignment="1">
      <alignment horizontal="center" vertical="center"/>
    </xf>
    <xf numFmtId="0" fontId="29" fillId="12" borderId="31" xfId="7" applyFont="1" applyFill="1" applyBorder="1" applyAlignment="1">
      <alignment horizontal="center"/>
    </xf>
    <xf numFmtId="0" fontId="29" fillId="12" borderId="10" xfId="7" applyFont="1" applyFill="1" applyBorder="1" applyAlignment="1">
      <alignment horizontal="center"/>
    </xf>
    <xf numFmtId="0" fontId="28" fillId="11" borderId="33" xfId="7" applyFont="1" applyFill="1" applyBorder="1" applyAlignment="1">
      <alignment horizontal="center"/>
    </xf>
    <xf numFmtId="0" fontId="28" fillId="11" borderId="35" xfId="7" applyFont="1" applyFill="1" applyBorder="1" applyAlignment="1">
      <alignment horizontal="center"/>
    </xf>
    <xf numFmtId="0" fontId="29" fillId="12" borderId="0" xfId="7" applyFont="1" applyFill="1" applyBorder="1" applyAlignment="1">
      <alignment horizontal="center"/>
    </xf>
    <xf numFmtId="0" fontId="21" fillId="8" borderId="0" xfId="0" applyFont="1" applyFill="1" applyBorder="1" applyAlignment="1">
      <alignment horizontal="center" vertical="center"/>
    </xf>
    <xf numFmtId="0" fontId="21" fillId="8" borderId="10" xfId="0" applyFont="1" applyFill="1" applyBorder="1" applyAlignment="1">
      <alignment horizontal="center" vertical="center"/>
    </xf>
    <xf numFmtId="0" fontId="6" fillId="4" borderId="3" xfId="0" applyFont="1" applyFill="1" applyBorder="1" applyAlignment="1">
      <alignment horizontal="center" vertical="center"/>
    </xf>
    <xf numFmtId="0" fontId="7"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5" xfId="0" applyFont="1" applyFill="1" applyBorder="1" applyAlignment="1">
      <alignment horizontal="center" vertical="center"/>
    </xf>
    <xf numFmtId="165" fontId="6" fillId="4" borderId="3" xfId="0" applyNumberFormat="1" applyFont="1" applyFill="1" applyBorder="1" applyAlignment="1">
      <alignment horizontal="center" vertical="center" wrapText="1"/>
    </xf>
    <xf numFmtId="4" fontId="6" fillId="4" borderId="3" xfId="0" applyNumberFormat="1" applyFont="1" applyFill="1" applyBorder="1" applyAlignment="1">
      <alignment horizontal="center" vertical="center"/>
    </xf>
    <xf numFmtId="4" fontId="6" fillId="4" borderId="3" xfId="0" applyNumberFormat="1" applyFont="1" applyFill="1" applyBorder="1" applyAlignment="1">
      <alignment horizontal="center" vertical="center" wrapText="1"/>
    </xf>
    <xf numFmtId="4" fontId="6" fillId="4" borderId="4" xfId="0" applyNumberFormat="1" applyFont="1" applyFill="1" applyBorder="1" applyAlignment="1">
      <alignment horizontal="center" vertical="center" wrapText="1"/>
    </xf>
    <xf numFmtId="0" fontId="7" fillId="4" borderId="5" xfId="0" applyFont="1" applyFill="1" applyBorder="1" applyAlignment="1">
      <alignment horizontal="center" vertical="center" wrapText="1"/>
    </xf>
    <xf numFmtId="0" fontId="20" fillId="6" borderId="11" xfId="0" applyFont="1" applyFill="1" applyBorder="1" applyAlignment="1">
      <alignment horizontal="center" vertical="center" wrapText="1"/>
    </xf>
    <xf numFmtId="0" fontId="20" fillId="6" borderId="12" xfId="0" applyFont="1" applyFill="1" applyBorder="1" applyAlignment="1">
      <alignment horizontal="center" vertical="center" wrapText="1"/>
    </xf>
    <xf numFmtId="0" fontId="20" fillId="6" borderId="13" xfId="0" applyFont="1" applyFill="1" applyBorder="1" applyAlignment="1">
      <alignment horizontal="center" vertical="center" wrapText="1"/>
    </xf>
    <xf numFmtId="0" fontId="20" fillId="6" borderId="14" xfId="0" applyFont="1" applyFill="1" applyBorder="1" applyAlignment="1">
      <alignment horizontal="center" vertical="center" wrapText="1"/>
    </xf>
    <xf numFmtId="0" fontId="20" fillId="6" borderId="15" xfId="0" applyFont="1" applyFill="1" applyBorder="1" applyAlignment="1">
      <alignment horizontal="center" vertical="center" wrapText="1"/>
    </xf>
    <xf numFmtId="0" fontId="20" fillId="6" borderId="16" xfId="0" applyFont="1" applyFill="1" applyBorder="1" applyAlignment="1">
      <alignment horizontal="center" vertical="center" wrapText="1"/>
    </xf>
    <xf numFmtId="0" fontId="6" fillId="3" borderId="0" xfId="0" applyFont="1" applyFill="1" applyBorder="1" applyAlignment="1">
      <alignment horizontal="center" vertical="center"/>
    </xf>
    <xf numFmtId="0" fontId="7" fillId="3" borderId="0" xfId="0" applyFont="1" applyFill="1" applyBorder="1" applyAlignment="1">
      <alignment horizontal="center" vertical="center"/>
    </xf>
    <xf numFmtId="165" fontId="6" fillId="3" borderId="0" xfId="0" applyNumberFormat="1" applyFont="1" applyFill="1" applyBorder="1" applyAlignment="1">
      <alignment horizontal="center" vertical="center" wrapText="1"/>
    </xf>
    <xf numFmtId="4" fontId="6" fillId="3" borderId="0" xfId="0" applyNumberFormat="1" applyFont="1" applyFill="1" applyBorder="1" applyAlignment="1">
      <alignment horizontal="center" vertical="center" wrapText="1"/>
    </xf>
    <xf numFmtId="0" fontId="8" fillId="2" borderId="7"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5" fillId="2" borderId="3" xfId="0" applyFont="1" applyFill="1" applyBorder="1" applyAlignment="1">
      <alignment horizontal="center" vertical="center" wrapText="1"/>
    </xf>
    <xf numFmtId="4" fontId="16" fillId="3" borderId="0" xfId="4" applyNumberFormat="1" applyFill="1" applyBorder="1" applyAlignment="1">
      <alignment horizontal="center" vertical="center"/>
    </xf>
    <xf numFmtId="0" fontId="11" fillId="3" borderId="0" xfId="0" applyFont="1" applyFill="1" applyAlignment="1">
      <alignment horizontal="center" vertical="center"/>
    </xf>
    <xf numFmtId="0" fontId="33" fillId="3" borderId="0" xfId="0" applyFont="1" applyFill="1" applyAlignment="1">
      <alignment horizontal="center"/>
    </xf>
    <xf numFmtId="0" fontId="11" fillId="2" borderId="2" xfId="0" applyFont="1" applyFill="1" applyBorder="1" applyAlignment="1">
      <alignment horizontal="center" vertical="center" wrapText="1"/>
    </xf>
    <xf numFmtId="0" fontId="27" fillId="2" borderId="2" xfId="0" applyFont="1" applyFill="1" applyBorder="1" applyAlignment="1">
      <alignment horizontal="center" vertical="center" wrapText="1"/>
    </xf>
    <xf numFmtId="0" fontId="11" fillId="3" borderId="0" xfId="0" applyFont="1" applyFill="1" applyAlignment="1">
      <alignment horizontal="center"/>
    </xf>
    <xf numFmtId="0" fontId="11" fillId="3" borderId="10" xfId="0" applyFont="1" applyFill="1" applyBorder="1" applyAlignment="1">
      <alignment horizontal="center"/>
    </xf>
    <xf numFmtId="0" fontId="34" fillId="0" borderId="0" xfId="9" applyFont="1" applyAlignment="1">
      <alignment horizontal="justify" wrapText="1"/>
    </xf>
    <xf numFmtId="0" fontId="14" fillId="3" borderId="0" xfId="0" applyFont="1" applyFill="1" applyAlignment="1">
      <alignment horizontal="center"/>
    </xf>
    <xf numFmtId="0" fontId="0" fillId="0" borderId="0" xfId="0" applyAlignment="1" applyProtection="1">
      <alignment horizontal="left"/>
      <protection hidden="1"/>
    </xf>
  </cellXfs>
  <cellStyles count="10">
    <cellStyle name="Euro" xfId="1"/>
    <cellStyle name="Hipervínculo" xfId="4" builtinId="8"/>
    <cellStyle name="Hipervínculo 2" xfId="6"/>
    <cellStyle name="Millares" xfId="2" builtinId="3"/>
    <cellStyle name="Normal" xfId="0" builtinId="0"/>
    <cellStyle name="Normal 10" xfId="9"/>
    <cellStyle name="Normal 2" xfId="3"/>
    <cellStyle name="Normal 2 2" xfId="7"/>
    <cellStyle name="Normal 3" xfId="5"/>
    <cellStyle name="Normal 4" xfId="8"/>
  </cellStyles>
  <dxfs count="4">
    <dxf>
      <font>
        <b/>
        <i val="0"/>
      </font>
    </dxf>
    <dxf>
      <font>
        <color rgb="FF9C0006"/>
      </font>
      <fill>
        <patternFill>
          <bgColor rgb="FFFFC7CE"/>
        </patternFill>
      </fill>
    </dxf>
    <dxf>
      <font>
        <color rgb="FF9C0006"/>
      </font>
      <fill>
        <patternFill>
          <bgColor rgb="FFFFC7CE"/>
        </patternFill>
      </fill>
    </dxf>
    <dxf>
      <font>
        <b val="0"/>
        <i val="0"/>
      </font>
    </dxf>
  </dxfs>
  <tableStyles count="0" defaultTableStyle="TableStyleMedium9"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user/Sebaxtiani" TargetMode="External"/><Relationship Id="rId7" Type="http://schemas.openxmlformats.org/officeDocument/2006/relationships/hyperlink" Target="https://www.facebook.com/groups/491707207676630/?fref=ts" TargetMode="External"/><Relationship Id="rId2" Type="http://schemas.openxmlformats.org/officeDocument/2006/relationships/image" Target="../media/image1.png"/><Relationship Id="rId1" Type="http://schemas.openxmlformats.org/officeDocument/2006/relationships/hyperlink" Target="http://bit.ly/1NfE652" TargetMode="External"/><Relationship Id="rId6" Type="http://schemas.openxmlformats.org/officeDocument/2006/relationships/image" Target="../media/image3.png"/><Relationship Id="rId5" Type="http://schemas.openxmlformats.org/officeDocument/2006/relationships/hyperlink" Target="https://www.facebook.com/ExcelNegocios" TargetMode="External"/><Relationship Id="rId10" Type="http://schemas.openxmlformats.org/officeDocument/2006/relationships/image" Target="../media/image5.png"/><Relationship Id="rId4" Type="http://schemas.openxmlformats.org/officeDocument/2006/relationships/image" Target="../media/image2.jpeg"/><Relationship Id="rId9" Type="http://schemas.openxmlformats.org/officeDocument/2006/relationships/hyperlink" Target="http://www.excelnegocios.com/descarga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http://www.excelnegocios.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1</xdr:row>
      <xdr:rowOff>180975</xdr:rowOff>
    </xdr:from>
    <xdr:to>
      <xdr:col>8</xdr:col>
      <xdr:colOff>266700</xdr:colOff>
      <xdr:row>5</xdr:row>
      <xdr:rowOff>152400</xdr:rowOff>
    </xdr:to>
    <xdr:pic>
      <xdr:nvPicPr>
        <xdr:cNvPr id="2" name="Imagen 8">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6775" y="257175"/>
          <a:ext cx="48196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8</xdr:row>
      <xdr:rowOff>28575</xdr:rowOff>
    </xdr:from>
    <xdr:to>
      <xdr:col>2</xdr:col>
      <xdr:colOff>447675</xdr:colOff>
      <xdr:row>11</xdr:row>
      <xdr:rowOff>171450</xdr:rowOff>
    </xdr:to>
    <xdr:pic>
      <xdr:nvPicPr>
        <xdr:cNvPr id="3" name="Imagen 7">
          <a:hlinkClick xmlns:r="http://schemas.openxmlformats.org/officeDocument/2006/relationships" r:id="rId3"/>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1450" y="1438275"/>
          <a:ext cx="11239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523875</xdr:colOff>
      <xdr:row>8</xdr:row>
      <xdr:rowOff>161925</xdr:rowOff>
    </xdr:from>
    <xdr:to>
      <xdr:col>5</xdr:col>
      <xdr:colOff>57150</xdr:colOff>
      <xdr:row>11</xdr:row>
      <xdr:rowOff>114300</xdr:rowOff>
    </xdr:to>
    <xdr:pic>
      <xdr:nvPicPr>
        <xdr:cNvPr id="4" name="Imagen 8">
          <a:hlinkClick xmlns:r="http://schemas.openxmlformats.org/officeDocument/2006/relationships" r:id="rId5"/>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71600" y="1571625"/>
          <a:ext cx="18192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190500</xdr:colOff>
      <xdr:row>8</xdr:row>
      <xdr:rowOff>171450</xdr:rowOff>
    </xdr:from>
    <xdr:to>
      <xdr:col>7</xdr:col>
      <xdr:colOff>190500</xdr:colOff>
      <xdr:row>11</xdr:row>
      <xdr:rowOff>104775</xdr:rowOff>
    </xdr:to>
    <xdr:pic>
      <xdr:nvPicPr>
        <xdr:cNvPr id="5" name="Imagen 9">
          <a:hlinkClick xmlns:r="http://schemas.openxmlformats.org/officeDocument/2006/relationships" r:id="rId7"/>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324225" y="1581150"/>
          <a:ext cx="15240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278131</xdr:colOff>
      <xdr:row>8</xdr:row>
      <xdr:rowOff>180975</xdr:rowOff>
    </xdr:from>
    <xdr:to>
      <xdr:col>10</xdr:col>
      <xdr:colOff>95251</xdr:colOff>
      <xdr:row>11</xdr:row>
      <xdr:rowOff>113587</xdr:rowOff>
    </xdr:to>
    <xdr:pic>
      <xdr:nvPicPr>
        <xdr:cNvPr id="7" name="Imagen 6">
          <a:hlinkClick xmlns:r="http://schemas.openxmlformats.org/officeDocument/2006/relationships" r:id="rId9"/>
          <a:extLst>
            <a:ext uri="{FF2B5EF4-FFF2-40B4-BE49-F238E27FC236}">
              <a16:creationId xmlns:a16="http://schemas.microsoft.com/office/drawing/2014/main" id="{F8C9CC55-869E-40A3-9519-07E2E3F8C27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935856" y="1590675"/>
          <a:ext cx="1626870" cy="5041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5</xdr:col>
      <xdr:colOff>15240</xdr:colOff>
      <xdr:row>12</xdr:row>
      <xdr:rowOff>144780</xdr:rowOff>
    </xdr:from>
    <xdr:ext cx="2387301" cy="888889"/>
    <xdr:pic>
      <xdr:nvPicPr>
        <xdr:cNvPr id="2" name="Imagen 1">
          <a:hlinkClick xmlns:r="http://schemas.openxmlformats.org/officeDocument/2006/relationships" r:id="rId1"/>
          <a:extLst>
            <a:ext uri="{FF2B5EF4-FFF2-40B4-BE49-F238E27FC236}">
              <a16:creationId xmlns:a16="http://schemas.microsoft.com/office/drawing/2014/main" id="{2771D521-3F30-4B2D-B5C8-08805BB711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72865" y="2021205"/>
          <a:ext cx="2387301" cy="88888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11</xdr:col>
      <xdr:colOff>270934</xdr:colOff>
      <xdr:row>4</xdr:row>
      <xdr:rowOff>160866</xdr:rowOff>
    </xdr:from>
    <xdr:to>
      <xdr:col>12</xdr:col>
      <xdr:colOff>567267</xdr:colOff>
      <xdr:row>10</xdr:row>
      <xdr:rowOff>59266</xdr:rowOff>
    </xdr:to>
    <xdr:sp macro="" textlink="">
      <xdr:nvSpPr>
        <xdr:cNvPr id="2" name="Flecha derecha 1">
          <a:extLst>
            <a:ext uri="{FF2B5EF4-FFF2-40B4-BE49-F238E27FC236}">
              <a16:creationId xmlns:a16="http://schemas.microsoft.com/office/drawing/2014/main" id="{00000000-0008-0000-0100-000002000000}"/>
            </a:ext>
          </a:extLst>
        </xdr:cNvPr>
        <xdr:cNvSpPr/>
      </xdr:nvSpPr>
      <xdr:spPr>
        <a:xfrm rot="10800000">
          <a:off x="10490201" y="1049866"/>
          <a:ext cx="1422399" cy="965200"/>
        </a:xfrm>
        <a:prstGeom prst="rightArrow">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s-PE"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847725</xdr:colOff>
      <xdr:row>5</xdr:row>
      <xdr:rowOff>104775</xdr:rowOff>
    </xdr:from>
    <xdr:to>
      <xdr:col>6</xdr:col>
      <xdr:colOff>504825</xdr:colOff>
      <xdr:row>5</xdr:row>
      <xdr:rowOff>104775</xdr:rowOff>
    </xdr:to>
    <xdr:cxnSp macro="">
      <xdr:nvCxnSpPr>
        <xdr:cNvPr id="2" name="8 Conector recto de flecha">
          <a:extLst>
            <a:ext uri="{FF2B5EF4-FFF2-40B4-BE49-F238E27FC236}">
              <a16:creationId xmlns:a16="http://schemas.microsoft.com/office/drawing/2014/main" id="{DAA13F84-1175-4CFA-B8F5-3BFA9DAF093C}"/>
            </a:ext>
          </a:extLst>
        </xdr:cNvPr>
        <xdr:cNvCxnSpPr/>
      </xdr:nvCxnSpPr>
      <xdr:spPr>
        <a:xfrm>
          <a:off x="5210175" y="1095375"/>
          <a:ext cx="73342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847725</xdr:colOff>
      <xdr:row>5</xdr:row>
      <xdr:rowOff>104775</xdr:rowOff>
    </xdr:from>
    <xdr:to>
      <xdr:col>6</xdr:col>
      <xdr:colOff>504825</xdr:colOff>
      <xdr:row>5</xdr:row>
      <xdr:rowOff>104775</xdr:rowOff>
    </xdr:to>
    <xdr:cxnSp macro="">
      <xdr:nvCxnSpPr>
        <xdr:cNvPr id="9" name="8 Conector recto de flecha">
          <a:extLst>
            <a:ext uri="{FF2B5EF4-FFF2-40B4-BE49-F238E27FC236}">
              <a16:creationId xmlns:a16="http://schemas.microsoft.com/office/drawing/2014/main" id="{00000000-0008-0000-0200-000009000000}"/>
            </a:ext>
          </a:extLst>
        </xdr:cNvPr>
        <xdr:cNvCxnSpPr/>
      </xdr:nvCxnSpPr>
      <xdr:spPr>
        <a:xfrm>
          <a:off x="5981700" y="1028700"/>
          <a:ext cx="96202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7</xdr:row>
      <xdr:rowOff>123825</xdr:rowOff>
    </xdr:from>
    <xdr:to>
      <xdr:col>3</xdr:col>
      <xdr:colOff>1076325</xdr:colOff>
      <xdr:row>11</xdr:row>
      <xdr:rowOff>95250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1356360" y="1320165"/>
          <a:ext cx="1076325" cy="641985"/>
        </a:xfrm>
        <a:prstGeom prst="rect">
          <a:avLst/>
        </a:prstGeom>
        <a:solidFill>
          <a:srgbClr val="CCFFFF"/>
        </a:solidFill>
        <a:ln w="9525">
          <a:solidFill>
            <a:srgbClr val="000000"/>
          </a:solidFill>
          <a:miter lim="800000"/>
          <a:headEnd/>
          <a:tailEnd/>
        </a:ln>
      </xdr:spPr>
      <xdr:txBody>
        <a:bodyPr vertOverflow="clip" wrap="square" lIns="36576" tIns="27432" rIns="36576" bIns="0" anchor="t" upright="1"/>
        <a:lstStyle/>
        <a:p>
          <a:pPr algn="ctr" rtl="1">
            <a:defRPr sz="1000"/>
          </a:pPr>
          <a:r>
            <a:rPr lang="es-AR" sz="1200" b="1" i="0" strike="noStrike">
              <a:solidFill>
                <a:srgbClr val="0000FF"/>
              </a:solidFill>
              <a:latin typeface="Arial"/>
              <a:cs typeface="Arial"/>
            </a:rPr>
            <a:t>Ponga aquí su</a:t>
          </a:r>
        </a:p>
        <a:p>
          <a:pPr algn="ctr" rtl="1">
            <a:defRPr sz="1000"/>
          </a:pPr>
          <a:r>
            <a:rPr lang="es-AR" sz="1200" b="1" i="0" strike="noStrike">
              <a:solidFill>
                <a:srgbClr val="0000FF"/>
              </a:solidFill>
              <a:latin typeface="Arial"/>
              <a:cs typeface="Arial"/>
            </a:rPr>
            <a:t>Numero</a:t>
          </a:r>
        </a:p>
      </xdr:txBody>
    </xdr:sp>
    <xdr:clientData/>
  </xdr:twoCellAnchor>
  <xdr:twoCellAnchor>
    <xdr:from>
      <xdr:col>3</xdr:col>
      <xdr:colOff>552450</xdr:colOff>
      <xdr:row>4</xdr:row>
      <xdr:rowOff>95250</xdr:rowOff>
    </xdr:from>
    <xdr:to>
      <xdr:col>3</xdr:col>
      <xdr:colOff>561975</xdr:colOff>
      <xdr:row>7</xdr:row>
      <xdr:rowOff>104775</xdr:rowOff>
    </xdr:to>
    <xdr:sp macro="" textlink="">
      <xdr:nvSpPr>
        <xdr:cNvPr id="3" name="Line 2">
          <a:extLst>
            <a:ext uri="{FF2B5EF4-FFF2-40B4-BE49-F238E27FC236}">
              <a16:creationId xmlns:a16="http://schemas.microsoft.com/office/drawing/2014/main" id="{00000000-0008-0000-0300-000003000000}"/>
            </a:ext>
          </a:extLst>
        </xdr:cNvPr>
        <xdr:cNvSpPr>
          <a:spLocks noChangeShapeType="1"/>
        </xdr:cNvSpPr>
      </xdr:nvSpPr>
      <xdr:spPr bwMode="auto">
        <a:xfrm flipV="1">
          <a:off x="1908810" y="788670"/>
          <a:ext cx="9525" cy="512445"/>
        </a:xfrm>
        <a:prstGeom prst="line">
          <a:avLst/>
        </a:prstGeom>
        <a:noFill/>
        <a:ln w="38100">
          <a:solidFill>
            <a:srgbClr val="0000FF"/>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SA-PC\Users\Mis%20documentos\E.LL.L\FLUJOS.PX\FLUJO%202005\FLUJO%20DE%20CAJA%202005-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A-PC\Users\PLC%20CONSULTORIA\ELL\PERSONAL\Mis%20documentos\E.LL.L\FLUJOS.PX\REG.AUX.OBLIG\R.COMP.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asa/Downloads/Calculo-de-participacion-de-utilidades-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LUJO  "/>
      <sheetName val="FLUJO PPTO"/>
      <sheetName val="FACT COBRAR"/>
      <sheetName val="PROVEE"/>
      <sheetName val="SERVIC"/>
      <sheetName val="OTRAS CTASXPAG"/>
      <sheetName val="GTS GRALS"/>
      <sheetName val="INV. ACT"/>
      <sheetName val="PROVISIONES"/>
      <sheetName val="PLL CARG SOC"/>
      <sheetName val="SUEL Y HONOR"/>
      <sheetName val="TRIBUTOS"/>
      <sheetName val="BENEF. SOC."/>
      <sheetName val="PREST A PERS.-TERC"/>
      <sheetName val="COB. PREST. PERSONAL"/>
      <sheetName val="PREST. DE TERCEROS"/>
      <sheetName val="G FINANC"/>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E"/>
      <sheetName val="FEB"/>
      <sheetName val="MAR"/>
      <sheetName val="ABR"/>
      <sheetName val="MAY"/>
      <sheetName val="JUN"/>
      <sheetName val="JUL"/>
      <sheetName val="AGO"/>
      <sheetName val="SET"/>
      <sheetName val="OCT"/>
      <sheetName val="NOV"/>
      <sheetName val="BASE PROV"/>
      <sheetName val="DIC"/>
    </sheetNames>
    <sheetDataSet>
      <sheetData sheetId="0" refreshError="1"/>
      <sheetData sheetId="1" refreshError="1"/>
      <sheetData sheetId="2" refreshError="1"/>
      <sheetData sheetId="3" refreshError="1"/>
      <sheetData sheetId="4">
        <row r="4">
          <cell r="L4">
            <v>33</v>
          </cell>
          <cell r="M4">
            <v>60</v>
          </cell>
          <cell r="N4">
            <v>63</v>
          </cell>
          <cell r="O4">
            <v>65</v>
          </cell>
          <cell r="P4">
            <v>99</v>
          </cell>
        </row>
      </sheetData>
      <sheetData sheetId="5" refreshError="1"/>
      <sheetData sheetId="6" refreshError="1"/>
      <sheetData sheetId="7" refreshError="1"/>
      <sheetData sheetId="8" refreshError="1"/>
      <sheetData sheetId="9" refreshError="1"/>
      <sheetData sheetId="10" refreshError="1"/>
      <sheetData sheetId="11">
        <row r="3">
          <cell r="A3" t="str">
            <v>RUC</v>
          </cell>
          <cell r="B3" t="str">
            <v>PROVEEDORES</v>
          </cell>
        </row>
        <row r="4">
          <cell r="A4" t="str">
            <v>20112273922</v>
          </cell>
          <cell r="B4" t="str">
            <v>ACE PERU SAC - Compras varias</v>
          </cell>
        </row>
        <row r="5">
          <cell r="A5" t="str">
            <v>20503034892</v>
          </cell>
          <cell r="B5" t="str">
            <v xml:space="preserve">AF EDITORIAL EIRL - libros </v>
          </cell>
        </row>
        <row r="6">
          <cell r="A6" t="str">
            <v>10106374240</v>
          </cell>
          <cell r="B6" t="str">
            <v>ALEJANDRO L. TERRE. T. - Tarjeta telefonica</v>
          </cell>
        </row>
        <row r="7">
          <cell r="A7" t="str">
            <v>10082386039</v>
          </cell>
          <cell r="B7" t="str">
            <v>ALFONSO BENAVIDES DE LA PUENTE - Notario</v>
          </cell>
        </row>
        <row r="8">
          <cell r="A8" t="str">
            <v>20100920272</v>
          </cell>
          <cell r="B8" t="str">
            <v>ALPIESA S.A. - Combustible</v>
          </cell>
        </row>
        <row r="9">
          <cell r="A9" t="str">
            <v>20349669821</v>
          </cell>
          <cell r="B9" t="str">
            <v>ALTA GRAF SA - Impresiones procoimex</v>
          </cell>
        </row>
        <row r="10">
          <cell r="A10" t="str">
            <v>20109284786</v>
          </cell>
          <cell r="B10" t="str">
            <v>ANEGADA SAC - Combustible</v>
          </cell>
        </row>
        <row r="11">
          <cell r="A11" t="str">
            <v>10098213533</v>
          </cell>
          <cell r="B11" t="str">
            <v>AQUILES CHECCO HEREDIA. - Fotocopias</v>
          </cell>
        </row>
        <row r="12">
          <cell r="A12" t="str">
            <v>20474751121</v>
          </cell>
          <cell r="B12" t="str">
            <v xml:space="preserve">ARIES SAC - Servicios </v>
          </cell>
        </row>
        <row r="13">
          <cell r="A13" t="str">
            <v>20100170508</v>
          </cell>
          <cell r="B13" t="str">
            <v>ARTICULOS PLASTICOS SAC - Suministros</v>
          </cell>
        </row>
        <row r="14">
          <cell r="A14" t="str">
            <v>20100094569</v>
          </cell>
          <cell r="B14" t="str">
            <v>ASESORIA COMERCIAL SAC - Combustible</v>
          </cell>
        </row>
        <row r="15">
          <cell r="A15" t="str">
            <v>20305476324</v>
          </cell>
          <cell r="B15" t="str">
            <v xml:space="preserve">ASOCIACIÓN BUEN PASTOR… - </v>
          </cell>
        </row>
        <row r="16">
          <cell r="A16" t="str">
            <v>20100365341</v>
          </cell>
          <cell r="B16" t="str">
            <v>ASOCIACION DE EXPORTADORES - Suscripción</v>
          </cell>
        </row>
        <row r="17">
          <cell r="A17" t="str">
            <v>20504263780</v>
          </cell>
          <cell r="B17" t="str">
            <v>AUTOMARKET DEL PERÚ S.A - Combustible</v>
          </cell>
        </row>
        <row r="18">
          <cell r="A18" t="str">
            <v>10066365668</v>
          </cell>
          <cell r="B18" t="str">
            <v>AVALOS VILCHEZ Willy - Consumo</v>
          </cell>
        </row>
        <row r="19">
          <cell r="A19" t="str">
            <v>20123241038</v>
          </cell>
          <cell r="B19" t="str">
            <v>AYMARA EIRL - Utiles de escritorio</v>
          </cell>
        </row>
        <row r="20">
          <cell r="A20" t="str">
            <v>10091530274</v>
          </cell>
          <cell r="B20" t="str">
            <v>BAUTISTA APARICIO MAKARIO - Utiles de Escrit</v>
          </cell>
        </row>
        <row r="21">
          <cell r="A21" t="str">
            <v>10093544655</v>
          </cell>
          <cell r="B21" t="str">
            <v>BERTHA S. ANAYA GUERRA - Artículos ferreteros</v>
          </cell>
        </row>
        <row r="22">
          <cell r="A22" t="str">
            <v>20139875991</v>
          </cell>
          <cell r="B22" t="str">
            <v>BERUDISA SA - Insumos.</v>
          </cell>
        </row>
        <row r="23">
          <cell r="A23" t="str">
            <v>10401581729</v>
          </cell>
          <cell r="B23" t="str">
            <v>BLAS PRINCIPE N. - Reparación de vehiculos</v>
          </cell>
        </row>
        <row r="24">
          <cell r="A24" t="str">
            <v>20384891943</v>
          </cell>
          <cell r="B24" t="str">
            <v>BOTICAS Y SALUD SAC - Guantes de Panaderia</v>
          </cell>
        </row>
        <row r="25">
          <cell r="A25" t="str">
            <v>20100426588</v>
          </cell>
          <cell r="B25" t="str">
            <v>BUSRAY - Combustible</v>
          </cell>
        </row>
        <row r="26">
          <cell r="A26" t="str">
            <v>20304985420</v>
          </cell>
          <cell r="B26" t="str">
            <v>C.PAEDDI SCRL - Gastos de instalación de planta</v>
          </cell>
        </row>
        <row r="27">
          <cell r="A27" t="str">
            <v>20423571030</v>
          </cell>
          <cell r="B27" t="str">
            <v>CAFÉ-CAFÉ SAC - Consumo</v>
          </cell>
        </row>
        <row r="28">
          <cell r="A28" t="str">
            <v>20100315751</v>
          </cell>
          <cell r="B28" t="str">
            <v>CAFETERIA HAITI M. SA. - Consumo</v>
          </cell>
        </row>
        <row r="29">
          <cell r="A29" t="str">
            <v>10256487069</v>
          </cell>
          <cell r="B29" t="str">
            <v>JULIA T. AGUILAR R. - Articulos ferreteros</v>
          </cell>
        </row>
        <row r="30">
          <cell r="A30" t="str">
            <v>20100904404</v>
          </cell>
          <cell r="B30" t="str">
            <v>CARTON CORRUGADO &amp; ENVASES SRL</v>
          </cell>
        </row>
        <row r="31">
          <cell r="A31" t="str">
            <v>20251964573</v>
          </cell>
          <cell r="B31" t="str">
            <v xml:space="preserve">CASAS Y COSAS - Telas </v>
          </cell>
        </row>
        <row r="32">
          <cell r="A32" t="str">
            <v>10074959755</v>
          </cell>
          <cell r="B32" t="str">
            <v>CCANTO CHOCCA JUAN - Vasos descartables</v>
          </cell>
        </row>
        <row r="33">
          <cell r="A33" t="str">
            <v>20330033313</v>
          </cell>
          <cell r="B33" t="str">
            <v>CHEVRON LUBRICANTS DEL PERU SAC - Combustible</v>
          </cell>
        </row>
        <row r="34">
          <cell r="A34" t="str">
            <v>15473483235</v>
          </cell>
          <cell r="B34" t="str">
            <v>CHIFA COSTA SUR  - Consumo</v>
          </cell>
        </row>
        <row r="35">
          <cell r="A35" t="str">
            <v>10256199012</v>
          </cell>
          <cell r="B35" t="str">
            <v>CHOCTAYO QUISPE - Abarrotes</v>
          </cell>
        </row>
        <row r="36">
          <cell r="A36" t="str">
            <v>20100322294</v>
          </cell>
          <cell r="B36" t="str">
            <v xml:space="preserve">CIA HOTELERA SA - Ss consumo </v>
          </cell>
        </row>
        <row r="37">
          <cell r="A37" t="str">
            <v>20102427891</v>
          </cell>
          <cell r="B37" t="str">
            <v>CIVA SAC - Ss de mensaje</v>
          </cell>
        </row>
        <row r="38">
          <cell r="A38" t="str">
            <v>20428974698</v>
          </cell>
          <cell r="B38" t="str">
            <v>COCORZA S.A - Combustible</v>
          </cell>
        </row>
        <row r="39">
          <cell r="A39" t="str">
            <v>20127765279</v>
          </cell>
          <cell r="B39" t="str">
            <v>COESTI SA - Combustible</v>
          </cell>
        </row>
        <row r="40">
          <cell r="A40" t="str">
            <v>20109514960</v>
          </cell>
          <cell r="B40" t="str">
            <v>COFYTSA - Articulos ferreteros</v>
          </cell>
        </row>
        <row r="41">
          <cell r="A41" t="str">
            <v>20419757331</v>
          </cell>
          <cell r="B41" t="str">
            <v>COGORNA SA - Insumo para panetones</v>
          </cell>
        </row>
        <row r="42">
          <cell r="A42" t="str">
            <v>20467729978</v>
          </cell>
          <cell r="B42" t="str">
            <v>COLOMBA SAC - Mantenimiento y Rep equipos</v>
          </cell>
        </row>
        <row r="43">
          <cell r="A43" t="str">
            <v>20101164901</v>
          </cell>
          <cell r="B43" t="str">
            <v>COMERCIAL LI SA - Útiles de escritorio</v>
          </cell>
        </row>
        <row r="44">
          <cell r="A44" t="str">
            <v>10070038001</v>
          </cell>
          <cell r="B44" t="str">
            <v>COMERCIAL MIKY - Articulos de Limpieza</v>
          </cell>
        </row>
        <row r="45">
          <cell r="A45" t="str">
            <v>10088883336</v>
          </cell>
          <cell r="B45" t="str">
            <v>CONCHAS NEGRAS - Consumo</v>
          </cell>
        </row>
        <row r="46">
          <cell r="A46" t="str">
            <v>20123241038</v>
          </cell>
          <cell r="B46" t="str">
            <v>CONVERSIONES AYMARA EIRL - Gasto</v>
          </cell>
        </row>
        <row r="47">
          <cell r="A47" t="str">
            <v>20100021766</v>
          </cell>
          <cell r="B47" t="str">
            <v>COPESA - Combustible</v>
          </cell>
        </row>
        <row r="48">
          <cell r="A48" t="str">
            <v>10409661514</v>
          </cell>
          <cell r="B48" t="str">
            <v>COPY TYPE SERVICE - Copias</v>
          </cell>
        </row>
        <row r="49">
          <cell r="A49" t="str">
            <v>20502850491</v>
          </cell>
          <cell r="B49" t="str">
            <v>COPYPLUS SAC - Serv  fotocopias</v>
          </cell>
        </row>
        <row r="50">
          <cell r="A50" t="str">
            <v>10258051501</v>
          </cell>
          <cell r="B50" t="str">
            <v>CORAZÓN DE JESUS - Suministros de cocina</v>
          </cell>
        </row>
        <row r="51">
          <cell r="A51" t="str">
            <v>20505020660</v>
          </cell>
          <cell r="B51" t="str">
            <v>CORPORACION SAC</v>
          </cell>
        </row>
        <row r="52">
          <cell r="A52" t="str">
            <v>20329790682</v>
          </cell>
          <cell r="B52" t="str">
            <v>CREPIER SRL - mochila</v>
          </cell>
        </row>
        <row r="53">
          <cell r="A53" t="str">
            <v>20430030036</v>
          </cell>
          <cell r="B53" t="str">
            <v>CRUZ DE SUR SA - Servicio de embalaje</v>
          </cell>
        </row>
        <row r="54">
          <cell r="A54" t="str">
            <v>20458092771</v>
          </cell>
          <cell r="B54" t="str">
            <v>DIGIGRAF SA - Servicios de Impresión</v>
          </cell>
        </row>
        <row r="55">
          <cell r="A55" t="str">
            <v>20123489323</v>
          </cell>
          <cell r="B55" t="str">
            <v>DISTRIBUIDORA MICHELL EIRL - Utiles de limpieza</v>
          </cell>
        </row>
        <row r="56">
          <cell r="A56" t="str">
            <v>10102264181</v>
          </cell>
          <cell r="B56" t="str">
            <v>DORA FANNY CHIRINOS O. - Vasos descartables</v>
          </cell>
        </row>
        <row r="57">
          <cell r="A57" t="str">
            <v>10064449759</v>
          </cell>
          <cell r="B57" t="str">
            <v>DORA TOMA TAGUATA - Vasos descartables</v>
          </cell>
        </row>
        <row r="58">
          <cell r="A58" t="str">
            <v>20292832223</v>
          </cell>
          <cell r="B58" t="str">
            <v>E&amp;A INVERSIONES SA - Combustible</v>
          </cell>
        </row>
        <row r="59">
          <cell r="A59" t="str">
            <v>20100106915</v>
          </cell>
          <cell r="B59" t="str">
            <v xml:space="preserve">E. WONG SA - Utiles de limpieza </v>
          </cell>
        </row>
        <row r="60">
          <cell r="A60" t="str">
            <v>20137868955</v>
          </cell>
          <cell r="B60" t="str">
            <v>EAN PERU - Inscripción de códigos</v>
          </cell>
        </row>
        <row r="61">
          <cell r="A61" t="str">
            <v>10076985273</v>
          </cell>
          <cell r="B61" t="str">
            <v>EDGAR NAPAN QUIROZ-Habilitación de elevador</v>
          </cell>
        </row>
        <row r="62">
          <cell r="A62" t="str">
            <v>20100072751</v>
          </cell>
          <cell r="B62" t="str">
            <v>EDITORA PERU - Registro de marcas de Prod.</v>
          </cell>
        </row>
        <row r="63">
          <cell r="A63" t="str">
            <v>20426185351</v>
          </cell>
          <cell r="B63" t="str">
            <v>El GALPON SRL - Consumo de personal</v>
          </cell>
        </row>
        <row r="64">
          <cell r="A64" t="str">
            <v>20140913431</v>
          </cell>
          <cell r="B64" t="str">
            <v>EL GOLF SRL - Combustible</v>
          </cell>
        </row>
        <row r="65">
          <cell r="A65" t="str">
            <v>20346680351</v>
          </cell>
          <cell r="B65" t="str">
            <v>EL PINO EIRL - Combustible</v>
          </cell>
        </row>
        <row r="66">
          <cell r="A66" t="str">
            <v>20503966736</v>
          </cell>
          <cell r="B66" t="str">
            <v>EL VICTORIOSO SRL - Combustible</v>
          </cell>
        </row>
        <row r="67">
          <cell r="A67" t="str">
            <v>10069886715</v>
          </cell>
          <cell r="B67" t="str">
            <v>ELBA ESPICHAN T. - Abarrotes</v>
          </cell>
        </row>
        <row r="68">
          <cell r="A68" t="str">
            <v>10105943143</v>
          </cell>
          <cell r="B68" t="str">
            <v>ELECTRO COMERCIAL C&amp;M- Articulos ferreteros</v>
          </cell>
        </row>
        <row r="69">
          <cell r="A69" t="str">
            <v>10108333800</v>
          </cell>
          <cell r="B69" t="str">
            <v xml:space="preserve">ELECTRO FERRETERO - Articulos ferreteros </v>
          </cell>
        </row>
        <row r="70">
          <cell r="A70" t="str">
            <v>20131380951</v>
          </cell>
          <cell r="B70" t="str">
            <v>EMAPE SA - Peaje</v>
          </cell>
        </row>
        <row r="71">
          <cell r="A71" t="str">
            <v>20463867365</v>
          </cell>
          <cell r="B71" t="str">
            <v>EMP. DE TRANS. PIVES S.A. - Servicio de movilidad</v>
          </cell>
        </row>
        <row r="72">
          <cell r="A72" t="str">
            <v>20136507720</v>
          </cell>
          <cell r="B72" t="str">
            <v>ESSAM - Capacitación de directores</v>
          </cell>
        </row>
        <row r="73">
          <cell r="A73" t="str">
            <v>20502565452</v>
          </cell>
          <cell r="B73" t="str">
            <v>ESTACIONES AULY SAC - Combustibles</v>
          </cell>
        </row>
        <row r="74">
          <cell r="A74" t="str">
            <v>20269007789</v>
          </cell>
          <cell r="B74" t="str">
            <v>FAVAL SRL - Gastos</v>
          </cell>
        </row>
        <row r="75">
          <cell r="A75" t="str">
            <v>10082089182</v>
          </cell>
          <cell r="B75" t="str">
            <v>FÉLIX MARTÍN T. ARGÜELLES - Medicinas</v>
          </cell>
        </row>
        <row r="76">
          <cell r="A76" t="str">
            <v>20502469658</v>
          </cell>
          <cell r="B76" t="str">
            <v>FERGRI SAC - Combustible</v>
          </cell>
        </row>
        <row r="77">
          <cell r="A77" t="str">
            <v>10419707002</v>
          </cell>
          <cell r="B77" t="str">
            <v>FERNANDO DURAN RIVERA - Útiles de oficina</v>
          </cell>
        </row>
        <row r="78">
          <cell r="A78" t="str">
            <v>10068756141</v>
          </cell>
          <cell r="B78" t="str">
            <v>FERRETERIA DANY - Articulos ferreteros</v>
          </cell>
        </row>
        <row r="79">
          <cell r="A79" t="str">
            <v>10070311602</v>
          </cell>
          <cell r="B79" t="str">
            <v>FLORINDA VASQUEZ MORA - Copias</v>
          </cell>
        </row>
        <row r="80">
          <cell r="A80" t="str">
            <v>10076403690</v>
          </cell>
          <cell r="B80" t="str">
            <v>FRANCK J. ARELLANO QUIROZ - Artículos ferret.</v>
          </cell>
        </row>
        <row r="81">
          <cell r="A81" t="str">
            <v>10069906325</v>
          </cell>
          <cell r="B81" t="str">
            <v>GARCIA SANTOS PEDRO - Aceíte panadería</v>
          </cell>
        </row>
        <row r="82">
          <cell r="A82" t="str">
            <v>20101313833</v>
          </cell>
          <cell r="B82" t="str">
            <v>GASOLINERAS SAC - Combustible</v>
          </cell>
        </row>
        <row r="83">
          <cell r="A83" t="str">
            <v>10068221426</v>
          </cell>
          <cell r="B83" t="str">
            <v>GAUDENCIO OROSCO CARRILLO. Servicio</v>
          </cell>
        </row>
        <row r="84">
          <cell r="A84" t="str">
            <v>20504957447</v>
          </cell>
          <cell r="B84" t="str">
            <v>GR E.I.R.L. - Ss de reparación de ventanas</v>
          </cell>
        </row>
        <row r="85">
          <cell r="A85" t="str">
            <v>20101658814</v>
          </cell>
          <cell r="B85" t="str">
            <v>GRAFICA LIMA SA</v>
          </cell>
        </row>
        <row r="86">
          <cell r="A86" t="str">
            <v>20127745758</v>
          </cell>
          <cell r="B86" t="str">
            <v xml:space="preserve">GRAVIPO EIRL - Servicio impresión NC ND </v>
          </cell>
        </row>
        <row r="87">
          <cell r="A87" t="str">
            <v>10087732059</v>
          </cell>
          <cell r="B87" t="str">
            <v>GRIFO BENAVIDES - Combustible</v>
          </cell>
        </row>
        <row r="88">
          <cell r="A88" t="str">
            <v>10075480119</v>
          </cell>
          <cell r="B88" t="str">
            <v>GRIFO EL PACIFICO - Combustible</v>
          </cell>
        </row>
        <row r="89">
          <cell r="A89" t="str">
            <v>20108803194</v>
          </cell>
          <cell r="B89" t="str">
            <v>GRIFO LA PAZ - Combustible</v>
          </cell>
        </row>
        <row r="90">
          <cell r="A90" t="str">
            <v>20117509665</v>
          </cell>
          <cell r="B90" t="str">
            <v>GRIFOS VITO SA - Combustible</v>
          </cell>
        </row>
        <row r="91">
          <cell r="A91" t="str">
            <v>20122209106</v>
          </cell>
          <cell r="B91" t="str">
            <v>GROBEEL SRL - Ss de impresiones</v>
          </cell>
        </row>
        <row r="92">
          <cell r="A92" t="str">
            <v>10069777479</v>
          </cell>
          <cell r="B92" t="str">
            <v>HERNAN GANBOA CH. - Ss de Fax</v>
          </cell>
        </row>
        <row r="93">
          <cell r="A93" t="str">
            <v>10075294340</v>
          </cell>
          <cell r="B93" t="str">
            <v xml:space="preserve">Hidalgo Aponte Carol Mila </v>
          </cell>
        </row>
        <row r="94">
          <cell r="A94" t="str">
            <v>20109072177</v>
          </cell>
          <cell r="B94" t="str">
            <v>HIPERMERCADOS METRO SA - Suministro cocina</v>
          </cell>
        </row>
        <row r="95">
          <cell r="A95" t="str">
            <v>20100016681</v>
          </cell>
          <cell r="B95" t="str">
            <v>HIRAOKA SAC - Rollos p.</v>
          </cell>
        </row>
        <row r="96">
          <cell r="A96" t="str">
            <v>20349845220</v>
          </cell>
          <cell r="B96" t="str">
            <v>ID TOPGRAPHIC EIRL - Utiles de escritorio</v>
          </cell>
        </row>
        <row r="97">
          <cell r="A97" t="str">
            <v>10091787763</v>
          </cell>
          <cell r="B97" t="str">
            <v xml:space="preserve">IMESA - bandeja </v>
          </cell>
        </row>
        <row r="98">
          <cell r="A98" t="str">
            <v>20117813143</v>
          </cell>
          <cell r="B98" t="str">
            <v>IMP, EXP SAN LUIS SA - Combustible</v>
          </cell>
        </row>
        <row r="99">
          <cell r="A99" t="str">
            <v>20133840533</v>
          </cell>
          <cell r="B99" t="str">
            <v>INDECOPI - Regsitro de marca de productos</v>
          </cell>
        </row>
        <row r="100">
          <cell r="A100" t="str">
            <v>20100046831</v>
          </cell>
          <cell r="B100" t="str">
            <v>INDUSTRIAS TEAL SA - Insumos de panadería</v>
          </cell>
        </row>
        <row r="101">
          <cell r="A101" t="str">
            <v>20100339421</v>
          </cell>
          <cell r="B101" t="str">
            <v>INVERSIONE LA CARRETA SA - Consumo</v>
          </cell>
        </row>
        <row r="102">
          <cell r="A102" t="str">
            <v>10062237584</v>
          </cell>
          <cell r="B102" t="str">
            <v>J.Fco GUTIERREZ MIRAVAL - Escritura publica</v>
          </cell>
        </row>
        <row r="103">
          <cell r="A103" t="str">
            <v>20505580371</v>
          </cell>
          <cell r="B103" t="str">
            <v xml:space="preserve">JAQUEBA EIRL - Consumo </v>
          </cell>
        </row>
        <row r="104">
          <cell r="A104" t="str">
            <v>10076045033</v>
          </cell>
          <cell r="B104" t="str">
            <v>JESUS MATUMAY CHUMPITAZ - Ss en contabilidad</v>
          </cell>
        </row>
        <row r="105">
          <cell r="A105" t="str">
            <v>20383747861</v>
          </cell>
          <cell r="B105" t="str">
            <v>JORMAN SRL - Articulos ferreteros</v>
          </cell>
        </row>
        <row r="106">
          <cell r="A106" t="str">
            <v>10012810984</v>
          </cell>
          <cell r="B106" t="str">
            <v>JOSÉ HUMBERTO BÉJAR U. - Por Consumo</v>
          </cell>
        </row>
        <row r="107">
          <cell r="A107" t="str">
            <v>10108689957</v>
          </cell>
          <cell r="B107" t="str">
            <v>JUAN J. SOTO CHAVARRI - Transporte</v>
          </cell>
        </row>
        <row r="108">
          <cell r="A108" t="str">
            <v>10081998642</v>
          </cell>
          <cell r="B108" t="str">
            <v>JULIO ANTONIO DEL POZAO VALDEZ - Notario</v>
          </cell>
        </row>
        <row r="109">
          <cell r="A109" t="str">
            <v>20265773738</v>
          </cell>
          <cell r="B109" t="str">
            <v>LA CASA DEL PINO SA - Escritorios</v>
          </cell>
        </row>
        <row r="110">
          <cell r="A110" t="str">
            <v>20363795537</v>
          </cell>
          <cell r="B110" t="str">
            <v>LA CASONA SRL - Consumo</v>
          </cell>
        </row>
        <row r="111">
          <cell r="A111" t="str">
            <v>20505331070</v>
          </cell>
          <cell r="B111" t="str">
            <v>LA CHIRA SAC - Combustible</v>
          </cell>
        </row>
        <row r="112">
          <cell r="A112" t="str">
            <v>20341841357</v>
          </cell>
          <cell r="B112" t="str">
            <v>LAN PERU - Viaje nacional</v>
          </cell>
        </row>
        <row r="113">
          <cell r="A113" t="str">
            <v>20375755344</v>
          </cell>
          <cell r="B113" t="str">
            <v>LG ELECTRONICS SA - Televisor</v>
          </cell>
        </row>
        <row r="114">
          <cell r="A114" t="str">
            <v>20501577252</v>
          </cell>
          <cell r="B114" t="str">
            <v>LIMA AIRPORT PARTNES SRL - Estacionamiento</v>
          </cell>
        </row>
        <row r="115">
          <cell r="A115" t="str">
            <v>20330033313</v>
          </cell>
          <cell r="B115" t="str">
            <v>LUBRICANTES DEL PERU SAC - Combustible</v>
          </cell>
        </row>
        <row r="116">
          <cell r="A116" t="str">
            <v>20331898008</v>
          </cell>
          <cell r="B116" t="str">
            <v>LUZ DEL SUR - Servicios</v>
          </cell>
        </row>
        <row r="117">
          <cell r="A117" t="str">
            <v>20378547947</v>
          </cell>
          <cell r="B117" t="str">
            <v>MAB DATA S.A.</v>
          </cell>
        </row>
        <row r="118">
          <cell r="A118" t="str">
            <v>20504390030</v>
          </cell>
          <cell r="B118" t="str">
            <v>MACK SAC - Servicio de enmarcado</v>
          </cell>
        </row>
        <row r="119">
          <cell r="A119" t="str">
            <v>20101552072</v>
          </cell>
          <cell r="B119" t="str">
            <v xml:space="preserve">MADERERA CARBAJAL SRL - </v>
          </cell>
        </row>
        <row r="120">
          <cell r="A120" t="str">
            <v>20160404796</v>
          </cell>
          <cell r="B120" t="str">
            <v>MAKA SAC - Combustible</v>
          </cell>
        </row>
        <row r="121">
          <cell r="A121" t="str">
            <v>10098280796</v>
          </cell>
          <cell r="B121" t="str">
            <v>MARIA RABANAL HIDALGO - Consumo</v>
          </cell>
        </row>
        <row r="122">
          <cell r="A122" t="str">
            <v>20507160311</v>
          </cell>
          <cell r="B122" t="str">
            <v>MASTER MIX SAC - Insumos</v>
          </cell>
        </row>
        <row r="123">
          <cell r="A123" t="str">
            <v>20385810076</v>
          </cell>
          <cell r="B123" t="str">
            <v>MATIZADOS EMYLY SRL - Pinturas</v>
          </cell>
        </row>
        <row r="124">
          <cell r="A124" t="str">
            <v>10074951894</v>
          </cell>
          <cell r="B124" t="str">
            <v>MAXI GRAPHICA - Imp Suministros</v>
          </cell>
        </row>
        <row r="125">
          <cell r="A125" t="str">
            <v>20385296411</v>
          </cell>
          <cell r="B125" t="str">
            <v>MERCANTIL BOHER SRL - Fotocopias</v>
          </cell>
        </row>
        <row r="126">
          <cell r="A126" t="str">
            <v>10088208850</v>
          </cell>
          <cell r="B126" t="str">
            <v>MERCEDES ESPADIN H. - Suministros de Limpieza</v>
          </cell>
        </row>
        <row r="127">
          <cell r="A127" t="str">
            <v>10070308318</v>
          </cell>
          <cell r="B127" t="str">
            <v>MERCEDES VERANO DE CASTILLA - Abarrotes</v>
          </cell>
        </row>
        <row r="128">
          <cell r="A128" t="str">
            <v>10106318633</v>
          </cell>
          <cell r="B128" t="str">
            <v>MIGUEL A. PORTOCORRERO O. - Insumos de Panad.</v>
          </cell>
        </row>
        <row r="129">
          <cell r="A129" t="str">
            <v>20131373237</v>
          </cell>
          <cell r="B129" t="str">
            <v>MINISTERIO DE SALUD DIGESA - Registro sanitario</v>
          </cell>
        </row>
        <row r="130">
          <cell r="A130" t="str">
            <v>20131895365</v>
          </cell>
          <cell r="B130" t="str">
            <v>MOLINERA INCA S.A. - Insumo de panadereria</v>
          </cell>
        </row>
        <row r="131">
          <cell r="A131" t="str">
            <v>20387151274</v>
          </cell>
          <cell r="B131" t="str">
            <v>MONTEFIORI - Consumo</v>
          </cell>
        </row>
        <row r="132">
          <cell r="A132" t="str">
            <v>10093720771</v>
          </cell>
          <cell r="B132" t="str">
            <v>MOSER IMPRESOS - servicios</v>
          </cell>
        </row>
        <row r="133">
          <cell r="A133" t="str">
            <v>20304072025</v>
          </cell>
          <cell r="B133" t="str">
            <v>MOSQUERA EIRL - Envases dest.</v>
          </cell>
        </row>
        <row r="134">
          <cell r="A134" t="str">
            <v>20335202805</v>
          </cell>
          <cell r="B134" t="str">
            <v>MUEBLERIA ECMASA - Activo (escritorios-silla)</v>
          </cell>
        </row>
        <row r="135">
          <cell r="A135" t="str">
            <v>20476092320</v>
          </cell>
          <cell r="B135" t="str">
            <v>MULTISERV - Combustible</v>
          </cell>
        </row>
        <row r="136">
          <cell r="A136" t="str">
            <v>20254635287</v>
          </cell>
          <cell r="B136" t="str">
            <v>MULTISERVIGRAF - Servicios de barnizados</v>
          </cell>
        </row>
        <row r="137">
          <cell r="A137" t="str">
            <v>10064947058</v>
          </cell>
          <cell r="B137" t="str">
            <v>MUSSO MARCOVICH JOSE ANTONIO - Alquiler</v>
          </cell>
        </row>
        <row r="138">
          <cell r="A138" t="str">
            <v>20379355731</v>
          </cell>
          <cell r="B138" t="str">
            <v>NEXFYS S.A. - Servicio de fumigacion</v>
          </cell>
        </row>
        <row r="139">
          <cell r="A139" t="str">
            <v>20106897914</v>
          </cell>
          <cell r="B139" t="str">
            <v>NEXTEL DEL PERU SA - Ss telefonico</v>
          </cell>
        </row>
        <row r="140">
          <cell r="A140" t="str">
            <v>10079141092</v>
          </cell>
          <cell r="B140" t="str">
            <v>NORA CHANG W.W - Tirafones</v>
          </cell>
        </row>
        <row r="141">
          <cell r="A141" t="str">
            <v>20107840266</v>
          </cell>
          <cell r="B141" t="str">
            <v>OFINCENTRO EIRL - Utiles de escritorio</v>
          </cell>
        </row>
        <row r="142">
          <cell r="A142" t="str">
            <v>10070096388</v>
          </cell>
          <cell r="B142" t="str">
            <v>OSCAR SOPLA GALOC - Articulos ferreteros</v>
          </cell>
        </row>
        <row r="143">
          <cell r="A143" t="str">
            <v>20457160233</v>
          </cell>
          <cell r="B143" t="str">
            <v>P.C. LETICIA E.I.R.L. - Monitores</v>
          </cell>
        </row>
        <row r="144">
          <cell r="A144" t="str">
            <v>20100551561</v>
          </cell>
          <cell r="B144" t="str">
            <v>PADILLA SRL - Impresiones</v>
          </cell>
        </row>
        <row r="145">
          <cell r="A145" t="str">
            <v>10081434536</v>
          </cell>
          <cell r="B145" t="str">
            <v>PEDRO L. RUIZ FERNANDEZ - Teclado</v>
          </cell>
        </row>
        <row r="146">
          <cell r="A146" t="str">
            <v>20107254375</v>
          </cell>
          <cell r="B146" t="str">
            <v>PIEMONTESA SRL - Articulos Ferreteros</v>
          </cell>
        </row>
        <row r="147">
          <cell r="A147" t="str">
            <v>20301494590</v>
          </cell>
          <cell r="B147" t="str">
            <v>PISO PAC PERU SAC - Melanina</v>
          </cell>
        </row>
        <row r="148">
          <cell r="A148" t="str">
            <v>20191317697</v>
          </cell>
          <cell r="B148" t="str">
            <v>PLAYA SANTA CATALINA - Estacionamiento</v>
          </cell>
        </row>
        <row r="149">
          <cell r="A149" t="str">
            <v>10105533280</v>
          </cell>
          <cell r="B149" t="str">
            <v>PORFIRIO M. VILCA ARANA - Pelota</v>
          </cell>
        </row>
        <row r="150">
          <cell r="A150" t="str">
            <v>20334089941</v>
          </cell>
          <cell r="B150" t="str">
            <v>PRAXIS SAC - Utiles de escritorio</v>
          </cell>
        </row>
        <row r="151">
          <cell r="A151" t="str">
            <v>20100553695</v>
          </cell>
          <cell r="B151" t="str">
            <v>PRODUCTOS DIVERSOS EIRL - Etiquetas</v>
          </cell>
        </row>
        <row r="152">
          <cell r="A152" t="str">
            <v>20202540334</v>
          </cell>
          <cell r="B152" t="str">
            <v>PRODUCTOS VLADY SRL</v>
          </cell>
        </row>
        <row r="153">
          <cell r="A153" t="str">
            <v>20372227045</v>
          </cell>
          <cell r="B153" t="str">
            <v>PROVIPAN SAC - Insumos de panaderia</v>
          </cell>
        </row>
        <row r="154">
          <cell r="A154" t="str">
            <v>20100976901</v>
          </cell>
          <cell r="B154" t="str">
            <v>RAICES SAC - Consumo</v>
          </cell>
        </row>
        <row r="155">
          <cell r="A155" t="str">
            <v>20503840121</v>
          </cell>
          <cell r="B155" t="str">
            <v>REPSOL SAC - Combustible</v>
          </cell>
        </row>
        <row r="156">
          <cell r="A156" t="str">
            <v>20427311296</v>
          </cell>
          <cell r="B156" t="str">
            <v>RINCON CERVECERO S.A. - Consumo</v>
          </cell>
        </row>
        <row r="157">
          <cell r="A157" t="str">
            <v>20305063674</v>
          </cell>
          <cell r="B157" t="str">
            <v>RISCLA SA - Combustible</v>
          </cell>
        </row>
        <row r="158">
          <cell r="A158" t="str">
            <v>10072156183</v>
          </cell>
          <cell r="B158" t="str">
            <v>ROBERTO ARRÓSPIDE ALIAGA - Combustible</v>
          </cell>
        </row>
        <row r="159">
          <cell r="A159" t="str">
            <v>10073874195</v>
          </cell>
          <cell r="B159" t="str">
            <v>ROBERTO YPARRAGUIRRE M. - Combustible</v>
          </cell>
        </row>
        <row r="160">
          <cell r="A160" t="str">
            <v>20100128056</v>
          </cell>
          <cell r="B160" t="str">
            <v>SAGA FALABELLA SA - Utiles de oficina</v>
          </cell>
        </row>
        <row r="161">
          <cell r="A161" t="str">
            <v>20101056849</v>
          </cell>
          <cell r="B161" t="str">
            <v>SAN CEFERINO SA - Consumo</v>
          </cell>
        </row>
        <row r="162">
          <cell r="A162" t="str">
            <v>20269499711</v>
          </cell>
          <cell r="B162" t="str">
            <v>SAN FRANCISCO DE ASIS SAC - Utiles de esc.</v>
          </cell>
        </row>
        <row r="163">
          <cell r="A163" t="str">
            <v>20117813143</v>
          </cell>
          <cell r="B163" t="str">
            <v>SAN LUIS SA - Combustible</v>
          </cell>
        </row>
        <row r="164">
          <cell r="A164" t="str">
            <v>20117559506</v>
          </cell>
          <cell r="B164" t="str">
            <v>SAN MIGUEL SRL - Combustible</v>
          </cell>
        </row>
        <row r="165">
          <cell r="A165" t="str">
            <v>20384776419</v>
          </cell>
          <cell r="B165" t="str">
            <v>SANCHEZ CARRION SA - Petroleo</v>
          </cell>
        </row>
        <row r="166">
          <cell r="A166" t="str">
            <v>20100152356</v>
          </cell>
          <cell r="B166" t="str">
            <v>SEDAPAL - Servicios</v>
          </cell>
        </row>
        <row r="167">
          <cell r="A167" t="str">
            <v>20503482020</v>
          </cell>
          <cell r="B167" t="str">
            <v>SEGURIDAD INDUSTRIAL SAC - Extintores</v>
          </cell>
        </row>
        <row r="168">
          <cell r="A168" t="str">
            <v>20502190203</v>
          </cell>
          <cell r="B168" t="str">
            <v>SEÑOR CAUTIVO EIRL - Articulos ferreteros</v>
          </cell>
        </row>
        <row r="169">
          <cell r="A169" t="str">
            <v>10067715433</v>
          </cell>
          <cell r="B169" t="str">
            <v>SERVICIOS GENERALES - Serv. Varios</v>
          </cell>
        </row>
        <row r="170">
          <cell r="A170" t="str">
            <v>20101193242</v>
          </cell>
          <cell r="B170" t="str">
            <v>SOMACSA - Artículos ferreteros</v>
          </cell>
        </row>
        <row r="171">
          <cell r="A171" t="str">
            <v>20100070970</v>
          </cell>
          <cell r="B171" t="str">
            <v>STA ISABEL SA - Utiles de limpieza</v>
          </cell>
        </row>
        <row r="172">
          <cell r="A172" t="str">
            <v>20505248091</v>
          </cell>
          <cell r="B172" t="str">
            <v>SUPERA - Capacitación</v>
          </cell>
        </row>
        <row r="173">
          <cell r="A173" t="str">
            <v>20100049181</v>
          </cell>
          <cell r="B173" t="str">
            <v>TAY LOY SA - Útiles de Escritorio</v>
          </cell>
        </row>
        <row r="174">
          <cell r="A174" t="str">
            <v>20100017491</v>
          </cell>
          <cell r="B174" t="str">
            <v>TELEFONICA DEL PERU SAA - Servicio</v>
          </cell>
        </row>
        <row r="175">
          <cell r="A175" t="str">
            <v>10327348034</v>
          </cell>
          <cell r="B175" t="str">
            <v>TEXACO - Ss de reparación</v>
          </cell>
        </row>
        <row r="176">
          <cell r="A176" t="str">
            <v>20333707646</v>
          </cell>
          <cell r="B176" t="str">
            <v>TEXAS PRODUCTS SA - Combustible</v>
          </cell>
        </row>
        <row r="177">
          <cell r="A177" t="str">
            <v>20467534026</v>
          </cell>
          <cell r="B177" t="str">
            <v>TIM PERÚ SAC - Ss telefónico</v>
          </cell>
        </row>
        <row r="178">
          <cell r="A178" t="str">
            <v>20110778466</v>
          </cell>
          <cell r="B178" t="str">
            <v>TON S.A. - Combustible</v>
          </cell>
        </row>
        <row r="179">
          <cell r="A179" t="str">
            <v>20506021767</v>
          </cell>
          <cell r="B179" t="str">
            <v>TOWERS COMPUTER SAC - Servicio</v>
          </cell>
        </row>
        <row r="180">
          <cell r="A180" t="str">
            <v>20387968360</v>
          </cell>
          <cell r="B180" t="str">
            <v>TRIGAM SAC - Combustible</v>
          </cell>
        </row>
        <row r="181">
          <cell r="A181" t="str">
            <v>20286169458</v>
          </cell>
          <cell r="B181" t="str">
            <v>U.P.IYPRAEH - Conservas filete y mouse</v>
          </cell>
        </row>
        <row r="182">
          <cell r="A182" t="str">
            <v>10106346076</v>
          </cell>
          <cell r="B182" t="str">
            <v>UNIVERSAL - Abarrotes</v>
          </cell>
        </row>
        <row r="183">
          <cell r="A183" t="str">
            <v>20502198522</v>
          </cell>
          <cell r="B183" t="str">
            <v>V&amp;L QUALITY WORD - Analisis quimicos</v>
          </cell>
        </row>
        <row r="184">
          <cell r="A184" t="str">
            <v>20337245600</v>
          </cell>
          <cell r="B184" t="str">
            <v>VELEZ-VAUPEL Y ASOCIADOS SA - Seguros.</v>
          </cell>
        </row>
        <row r="185">
          <cell r="A185" t="str">
            <v>10069921197</v>
          </cell>
          <cell r="B185" t="str">
            <v>VICTOR FLORES MARTINEZ - Levaduras</v>
          </cell>
        </row>
        <row r="186">
          <cell r="A186" t="str">
            <v>10191266680</v>
          </cell>
          <cell r="B186" t="str">
            <v>VICTORIA - Abarrotes</v>
          </cell>
        </row>
        <row r="187">
          <cell r="A187" t="str">
            <v>10076401981</v>
          </cell>
          <cell r="B187" t="str">
            <v>Vilma Arguedas -  Consumo</v>
          </cell>
        </row>
        <row r="188">
          <cell r="A188" t="str">
            <v>20503793459</v>
          </cell>
          <cell r="B188" t="str">
            <v>VISIÓN CB SAC - Servicio de informatica</v>
          </cell>
        </row>
        <row r="189">
          <cell r="A189" t="str">
            <v>20335757697</v>
          </cell>
          <cell r="B189" t="str">
            <v>WO SA - Combustible</v>
          </cell>
        </row>
        <row r="190">
          <cell r="A190" t="str">
            <v>20333541778</v>
          </cell>
          <cell r="B190" t="str">
            <v>LIP - SUR PACIFICO SRL - Útiles de Escritorio</v>
          </cell>
        </row>
        <row r="191">
          <cell r="A191" t="str">
            <v>20100032881</v>
          </cell>
          <cell r="B191" t="str">
            <v>ABA SINGER &amp; CIA SAC - Combustible</v>
          </cell>
        </row>
        <row r="192">
          <cell r="A192" t="str">
            <v>20100826683</v>
          </cell>
          <cell r="B192" t="str">
            <v>SERVICIOS FLOCAR SA - Combustible</v>
          </cell>
        </row>
        <row r="193">
          <cell r="A193" t="str">
            <v>10103289039</v>
          </cell>
          <cell r="B193" t="str">
            <v>MERCEDES AVALOS DE SOLANO - Insumos</v>
          </cell>
        </row>
        <row r="194">
          <cell r="A194" t="str">
            <v>20263019807</v>
          </cell>
          <cell r="B194" t="str">
            <v>GRANOTEC PERÚ SA - Insumos</v>
          </cell>
        </row>
        <row r="195">
          <cell r="A195" t="str">
            <v>10098336490</v>
          </cell>
          <cell r="B195" t="str">
            <v>ZOILA FAUSTINA HURTADO HUARI - Insumos</v>
          </cell>
        </row>
        <row r="196">
          <cell r="A196" t="str">
            <v>10070253751</v>
          </cell>
          <cell r="B196" t="str">
            <v>OBDULIA ALVARADO CAMPUZANO - Insumos</v>
          </cell>
        </row>
        <row r="197">
          <cell r="A197" t="str">
            <v>10069905801</v>
          </cell>
          <cell r="B197" t="str">
            <v>JOSE MARTINEZ PORTOCARRERO - Insumos</v>
          </cell>
        </row>
        <row r="198">
          <cell r="A198" t="str">
            <v>10094894455</v>
          </cell>
          <cell r="B198" t="str">
            <v>EUFEMIA S. CAMPUZANO ALVARADO - Insumos</v>
          </cell>
        </row>
        <row r="199">
          <cell r="A199" t="str">
            <v>20327804821</v>
          </cell>
          <cell r="B199" t="str">
            <v>CATTESAC - Tasa de Embarque</v>
          </cell>
        </row>
        <row r="200">
          <cell r="A200" t="str">
            <v>20100049361</v>
          </cell>
          <cell r="B200" t="str">
            <v xml:space="preserve">ORMEÑO SA - Transporte </v>
          </cell>
        </row>
        <row r="201">
          <cell r="A201" t="str">
            <v>10012337138</v>
          </cell>
          <cell r="B201" t="str">
            <v>MARIA A. LUQUE MENDIZABAL - Utiles</v>
          </cell>
        </row>
        <row r="202">
          <cell r="A202" t="str">
            <v>20425791576</v>
          </cell>
          <cell r="B202" t="str">
            <v>MARCELO SAC - Distribuidora Maderera</v>
          </cell>
        </row>
        <row r="203">
          <cell r="A203" t="str">
            <v>20136203003</v>
          </cell>
          <cell r="B203" t="str">
            <v xml:space="preserve">CTRAL COOP. AGRARIAS - TE HUYRO LTDA. </v>
          </cell>
        </row>
        <row r="204">
          <cell r="A204" t="str">
            <v>10106329210</v>
          </cell>
          <cell r="B204" t="str">
            <v>RICARDIAN HURTADO HUARI - Insumos</v>
          </cell>
        </row>
        <row r="205">
          <cell r="A205" t="str">
            <v>10069786362</v>
          </cell>
          <cell r="B205" t="str">
            <v>GERONIMO E. YUPANQUI - Utiles Oficina.</v>
          </cell>
        </row>
        <row r="206">
          <cell r="A206" t="str">
            <v>10099705138</v>
          </cell>
          <cell r="B206" t="str">
            <v>GERBER HUAMAN ORTIZ - Ss de Imprenta</v>
          </cell>
        </row>
        <row r="207">
          <cell r="A207" t="str">
            <v>20342010211</v>
          </cell>
          <cell r="B207" t="str">
            <v>COPY CLUB EIRL - Útiles de oficina</v>
          </cell>
        </row>
        <row r="208">
          <cell r="A208" t="str">
            <v>20100304717</v>
          </cell>
          <cell r="B208" t="str">
            <v>CENTRO COPIAS SA - Servicios</v>
          </cell>
        </row>
        <row r="209">
          <cell r="A209" t="str">
            <v>10078165737</v>
          </cell>
          <cell r="B209" t="str">
            <v>MARIO J. ARRIBAS CHIMPÉN - Mantenimto Vehículo</v>
          </cell>
        </row>
        <row r="210">
          <cell r="A210" t="str">
            <v>10090888108</v>
          </cell>
          <cell r="B210" t="str">
            <v>FÉLIX A. SUÁREZ BUSTAMANTE - Art. ferreteros</v>
          </cell>
        </row>
        <row r="211">
          <cell r="A211" t="str">
            <v>10003001769</v>
          </cell>
          <cell r="B211" t="str">
            <v>BENJAMÍN R. ARAUJO SÁNCHEZ - Art. Ferreteros</v>
          </cell>
        </row>
        <row r="212">
          <cell r="A212" t="str">
            <v>10406199148</v>
          </cell>
          <cell r="B212" t="str">
            <v>JAYLANE S. LÓPEZ AGUILAR - Mercerias</v>
          </cell>
        </row>
        <row r="213">
          <cell r="A213" t="str">
            <v>100933346618</v>
          </cell>
          <cell r="B213" t="str">
            <v>CORINA NIETO MORA - Utencilios y herramientas varias</v>
          </cell>
        </row>
        <row r="214">
          <cell r="A214" t="str">
            <v>10042208944</v>
          </cell>
          <cell r="B214" t="str">
            <v>MINAYA JAVIER MERCEDES - Abarrotes en gral</v>
          </cell>
        </row>
        <row r="215">
          <cell r="A215" t="str">
            <v>20131369981</v>
          </cell>
          <cell r="B215" t="str">
            <v>INEI - Ss de Reproducción de Planos</v>
          </cell>
        </row>
        <row r="216">
          <cell r="A216" t="str">
            <v>20333707846</v>
          </cell>
          <cell r="B216" t="str">
            <v>EST. Ss TEXAS PRODUCTS SA - Combustible</v>
          </cell>
        </row>
        <row r="217">
          <cell r="A217" t="str">
            <v>20101256356</v>
          </cell>
          <cell r="B217" t="str">
            <v>LUBRI-SUR S.A. - Combustible</v>
          </cell>
        </row>
        <row r="218">
          <cell r="A218" t="str">
            <v>20423204801</v>
          </cell>
          <cell r="B218" t="str">
            <v>CORPORACIÓN SAN LI S.A. - Combustible</v>
          </cell>
        </row>
        <row r="219">
          <cell r="A219" t="str">
            <v>20131368071</v>
          </cell>
          <cell r="B219" t="str">
            <v>MUNICIPALIDAD LA VICTORIA - Estacionamiento</v>
          </cell>
        </row>
        <row r="220">
          <cell r="A220" t="str">
            <v>20142477697</v>
          </cell>
          <cell r="B220" t="str">
            <v>As MERCADO VALLE SAGRADO - Estacionamiento</v>
          </cell>
        </row>
        <row r="221">
          <cell r="A221" t="str">
            <v>17179621321</v>
          </cell>
          <cell r="B221" t="str">
            <v>ELENA ARZUBIAGA M./ SIMBOLPRINT- Ss diseño.</v>
          </cell>
        </row>
        <row r="222">
          <cell r="A222" t="str">
            <v>10078102999</v>
          </cell>
          <cell r="B222" t="str">
            <v>MERCEDES LUDOWIEG DE BUENDÍA - Consumo</v>
          </cell>
        </row>
        <row r="223">
          <cell r="A223" t="str">
            <v>20100416434</v>
          </cell>
          <cell r="B223" t="str">
            <v>LA BOUTIQUE DE LAS PASTAS - Consumo</v>
          </cell>
        </row>
        <row r="224">
          <cell r="A224" t="str">
            <v>20467489055</v>
          </cell>
          <cell r="B224" t="str">
            <v>JACANBUS SAC - Ss de Transporte.</v>
          </cell>
        </row>
        <row r="225">
          <cell r="A225" t="str">
            <v>20501414621</v>
          </cell>
          <cell r="B225" t="str">
            <v>"LA EUROPEA" EIRL - Articulos Ferreteros</v>
          </cell>
        </row>
        <row r="226">
          <cell r="A226" t="str">
            <v>20462009004</v>
          </cell>
          <cell r="B226" t="str">
            <v>CONSORCIO ALESTE SRL - Consumo</v>
          </cell>
        </row>
        <row r="227">
          <cell r="A227" t="str">
            <v>20100942675</v>
          </cell>
          <cell r="B227" t="str">
            <v>ADM. 06 DE AGOSTO SA - Combustible</v>
          </cell>
        </row>
        <row r="228">
          <cell r="A228" t="str">
            <v>20100100551</v>
          </cell>
          <cell r="B228" t="str">
            <v>A.B.G. S.A.C - Combustible</v>
          </cell>
        </row>
        <row r="229">
          <cell r="A229" t="str">
            <v>20428543875</v>
          </cell>
          <cell r="B229" t="str">
            <v>DERK S.A.C. - Combustible</v>
          </cell>
        </row>
        <row r="230">
          <cell r="A230" t="str">
            <v>20100294576</v>
          </cell>
          <cell r="B230" t="str">
            <v>REPROX SA - Copias A3</v>
          </cell>
        </row>
        <row r="231">
          <cell r="A231" t="str">
            <v>20131367776</v>
          </cell>
          <cell r="B231" t="str">
            <v>MUNI. DE BARRANCO - Estacionamiento</v>
          </cell>
        </row>
        <row r="232">
          <cell r="A232" t="str">
            <v>20131367857</v>
          </cell>
          <cell r="B232" t="str">
            <v>MUNI. DE LINCE - Estacionamiento</v>
          </cell>
        </row>
        <row r="233">
          <cell r="A233" t="str">
            <v>20136904991</v>
          </cell>
          <cell r="B233" t="str">
            <v>FERCOMSA - Estacionamiento</v>
          </cell>
        </row>
        <row r="234">
          <cell r="A234" t="str">
            <v>20502365879</v>
          </cell>
          <cell r="B234" t="str">
            <v>INDUSTRIAS TOOLS S.A.C - Equipos y Ss.</v>
          </cell>
        </row>
        <row r="235">
          <cell r="A235" t="str">
            <v>20130534211</v>
          </cell>
          <cell r="B235" t="str">
            <v>MUNICIPALIDAD DE SAN ISIDRO - Arbitrios</v>
          </cell>
        </row>
        <row r="236">
          <cell r="A236" t="str">
            <v>20100910633</v>
          </cell>
          <cell r="B236" t="str">
            <v>LOS PUCCI S.A. - Enseres</v>
          </cell>
        </row>
        <row r="237">
          <cell r="A237" t="str">
            <v>20269315688</v>
          </cell>
          <cell r="B237" t="str">
            <v>MESAJIL HNOS S.A. - Suministros de Equipos</v>
          </cell>
        </row>
        <row r="238">
          <cell r="A238" t="str">
            <v>10084979428</v>
          </cell>
          <cell r="B238" t="str">
            <v>PAYANO MARTINEZ HILARIO - Herramientas</v>
          </cell>
        </row>
        <row r="239">
          <cell r="A239" t="str">
            <v>10093097209</v>
          </cell>
          <cell r="B239" t="str">
            <v>RAFAEL A. RISCO - Ss de Fotocopias</v>
          </cell>
        </row>
        <row r="240">
          <cell r="A240" t="str">
            <v>10096655784</v>
          </cell>
          <cell r="B240" t="str">
            <v>GINO HILARIO HUAYAS - Licencia Software</v>
          </cell>
        </row>
        <row r="241">
          <cell r="A241" t="str">
            <v>10069985829</v>
          </cell>
          <cell r="B241" t="str">
            <v>MARIA ALAGÓN DE ARTEAGA - Mercerias</v>
          </cell>
        </row>
        <row r="242">
          <cell r="A242" t="str">
            <v>10084224290</v>
          </cell>
          <cell r="B242" t="str">
            <v xml:space="preserve">MATIAS A. NAPAN B. - Abarrotes </v>
          </cell>
        </row>
        <row r="243">
          <cell r="A243" t="str">
            <v>10400762614</v>
          </cell>
          <cell r="B243" t="str">
            <v>RAUL GARCIA LAVADO - Articulos Ferreteros</v>
          </cell>
        </row>
        <row r="244">
          <cell r="A244" t="str">
            <v>20471722171</v>
          </cell>
          <cell r="B244" t="str">
            <v>FULL COLOR DIGITAL EIRL - Ss Impresiones</v>
          </cell>
        </row>
        <row r="245">
          <cell r="A245" t="str">
            <v>10085109176</v>
          </cell>
          <cell r="B245" t="str">
            <v>FELIX ROJAS DOROTEO - Frutas</v>
          </cell>
        </row>
        <row r="246">
          <cell r="A246" t="str">
            <v>10090638764</v>
          </cell>
          <cell r="B246" t="str">
            <v>YARANGA BARRIONUEVO F.- Frutas</v>
          </cell>
        </row>
        <row r="247">
          <cell r="A247" t="str">
            <v>10069921944</v>
          </cell>
          <cell r="B247" t="str">
            <v xml:space="preserve">NESTOR CASTILLA ATENCIO - Materiales </v>
          </cell>
        </row>
        <row r="248">
          <cell r="A248" t="str">
            <v>10406151315</v>
          </cell>
          <cell r="B248" t="str">
            <v>JOSE L. REQUEJO SANCHEZ - Artículos ferreteros</v>
          </cell>
        </row>
        <row r="249">
          <cell r="A249" t="str">
            <v>20100722713</v>
          </cell>
          <cell r="B249" t="str">
            <v>COMERCIAL JCG SA - Artículos ferreteros</v>
          </cell>
        </row>
        <row r="250">
          <cell r="A250" t="str">
            <v>10075055388</v>
          </cell>
          <cell r="B250" t="str">
            <v>ANITA DAMIAN CH. - Mantenimiento vehículos</v>
          </cell>
        </row>
        <row r="251">
          <cell r="A251" t="str">
            <v>10094929054</v>
          </cell>
          <cell r="B251" t="str">
            <v>MARILÚ C. MEJÍA GÓMEZ - Artículos Ferreteros</v>
          </cell>
        </row>
        <row r="252">
          <cell r="A252" t="str">
            <v>20504327851</v>
          </cell>
          <cell r="B252" t="str">
            <v>BUCANERO PUB SAC - Consumo</v>
          </cell>
        </row>
        <row r="253">
          <cell r="A253" t="str">
            <v>20502428897</v>
          </cell>
          <cell r="B253" t="str">
            <v>GRUPO LA GAVIOTA SAC - Artículos Ferreteros</v>
          </cell>
        </row>
        <row r="254">
          <cell r="A254" t="str">
            <v>10088166090</v>
          </cell>
          <cell r="B254" t="str">
            <v>ROGER S. FALCON BARRETO - Artículos F.</v>
          </cell>
        </row>
        <row r="255">
          <cell r="A255" t="str">
            <v>20298276217</v>
          </cell>
          <cell r="B255" t="str">
            <v>SECTRIL SRL - Ss de Impresiones</v>
          </cell>
        </row>
        <row r="256">
          <cell r="A256" t="str">
            <v>10322760375</v>
          </cell>
          <cell r="B256" t="str">
            <v>CERNA FLORES RICHARD - Mercerias</v>
          </cell>
        </row>
        <row r="257">
          <cell r="A257" t="str">
            <v>20179665027</v>
          </cell>
          <cell r="B257" t="str">
            <v>TEXTILCO SAC - Estacionamiento</v>
          </cell>
        </row>
        <row r="258">
          <cell r="A258" t="str">
            <v>20143229816</v>
          </cell>
          <cell r="B258" t="str">
            <v>EMP. EDITORA EL COMERCIO SA - Publicaciones</v>
          </cell>
        </row>
        <row r="259">
          <cell r="A259" t="str">
            <v>20503235448</v>
          </cell>
          <cell r="B259" t="str">
            <v>SAN JUDAS TADEO SAC - Ss de Repuestos</v>
          </cell>
        </row>
        <row r="260">
          <cell r="A260" t="str">
            <v>20389239195</v>
          </cell>
          <cell r="B260" t="str">
            <v>CHAVIM LINER PC SAC - Herramientas de Equip</v>
          </cell>
        </row>
        <row r="261">
          <cell r="A261" t="str">
            <v>20422144936</v>
          </cell>
          <cell r="B261" t="str">
            <v>AMERICA OFFSET SRL - Compra Suministros</v>
          </cell>
        </row>
        <row r="262">
          <cell r="A262" t="str">
            <v>20505841272</v>
          </cell>
          <cell r="B262" t="str">
            <v>ETIQ. Y EMBOLTURAS SAC - C. Suministros</v>
          </cell>
        </row>
        <row r="263">
          <cell r="A263" t="str">
            <v>20263435266</v>
          </cell>
          <cell r="B263" t="str">
            <v>OXSA SRL - Regulador de valvula</v>
          </cell>
        </row>
        <row r="264">
          <cell r="A264" t="str">
            <v>10098250544</v>
          </cell>
          <cell r="B264" t="str">
            <v>IRMA R. MEJIA RODRIGUEZ - Insumos</v>
          </cell>
        </row>
        <row r="265">
          <cell r="A265" t="str">
            <v>20428788711</v>
          </cell>
          <cell r="B265" t="str">
            <v xml:space="preserve">FERRETERIA TABOADA E HIJOS SAC </v>
          </cell>
        </row>
        <row r="266">
          <cell r="A266" t="str">
            <v>20100821533</v>
          </cell>
          <cell r="B266" t="str">
            <v>SALAVERRY SAC - Reptos y Manmto Vehiculo</v>
          </cell>
        </row>
        <row r="267">
          <cell r="A267" t="str">
            <v>20123468679</v>
          </cell>
          <cell r="B267" t="str">
            <v>COESAC - Suministros para panetones</v>
          </cell>
        </row>
        <row r="268">
          <cell r="A268" t="str">
            <v>10313522691</v>
          </cell>
          <cell r="B268" t="str">
            <v>INOCENCIO ALARCÓN C. - Articulos Ferreteros</v>
          </cell>
        </row>
        <row r="269">
          <cell r="A269" t="str">
            <v>10077475988</v>
          </cell>
          <cell r="B269" t="str">
            <v>RAMIREZ CANCHARI ABILIA - Consumo</v>
          </cell>
        </row>
        <row r="270">
          <cell r="A270" t="str">
            <v>20506730148</v>
          </cell>
          <cell r="B270" t="str">
            <v>COLOR COMPUTER EIRL - Útiles de Escritorio</v>
          </cell>
        </row>
        <row r="271">
          <cell r="A271" t="str">
            <v>20383459401</v>
          </cell>
          <cell r="B271" t="str">
            <v xml:space="preserve">COMERCIAL TAMAYO Y SALGADO SRL </v>
          </cell>
        </row>
        <row r="272">
          <cell r="A272" t="str">
            <v>20251482234</v>
          </cell>
          <cell r="B272" t="str">
            <v>JFS IMPORT EIRL - Mantenimiento Vehículo</v>
          </cell>
        </row>
        <row r="273">
          <cell r="A273" t="str">
            <v>20430857861</v>
          </cell>
          <cell r="B273" t="str">
            <v>GRIFOS DIANA SAC - Combustible</v>
          </cell>
        </row>
        <row r="274">
          <cell r="A274" t="str">
            <v>10077346339</v>
          </cell>
          <cell r="B274" t="str">
            <v>JAVIER R. COLLAZOS A. - Fabricación Mobi.</v>
          </cell>
        </row>
        <row r="275">
          <cell r="A275" t="str">
            <v>10162913706</v>
          </cell>
          <cell r="B275" t="str">
            <v>NICOLAS T. CAMPUZANO P - Insumos</v>
          </cell>
        </row>
        <row r="276">
          <cell r="A276" t="str">
            <v>20136626575</v>
          </cell>
          <cell r="B276" t="str">
            <v>IVANNA EIRL - Sum. Huevos</v>
          </cell>
        </row>
        <row r="277">
          <cell r="A277" t="str">
            <v>20100075858</v>
          </cell>
          <cell r="B277" t="str">
            <v>SAN IGNACIO SAC - Combustible</v>
          </cell>
        </row>
        <row r="278">
          <cell r="A278" t="str">
            <v>10106089162</v>
          </cell>
          <cell r="B278" t="str">
            <v xml:space="preserve">EDDY R. GUTIERREZ G. - Herramientas </v>
          </cell>
        </row>
        <row r="279">
          <cell r="A279" t="str">
            <v>10403413734</v>
          </cell>
          <cell r="B279" t="str">
            <v>SAMUEL E. ALCA. - Articulos Ferreteros</v>
          </cell>
        </row>
        <row r="280">
          <cell r="A280" t="str">
            <v>10292111679</v>
          </cell>
          <cell r="B280" t="str">
            <v>CARMEN P. CABRERA P. - Art. Ferreteros</v>
          </cell>
        </row>
        <row r="281">
          <cell r="A281" t="str">
            <v>20505648197</v>
          </cell>
          <cell r="B281" t="str">
            <v>PROFEIN SRL - Art. Ferreteros</v>
          </cell>
        </row>
        <row r="282">
          <cell r="A282" t="str">
            <v>20100075181</v>
          </cell>
          <cell r="B282" t="str">
            <v>GRIFOS IBERIA S.A. - Combustible</v>
          </cell>
        </row>
        <row r="283">
          <cell r="A283" t="str">
            <v>10408577191</v>
          </cell>
          <cell r="B283" t="str">
            <v>CARLOS A. LUQUE P. - Uniformes personal</v>
          </cell>
        </row>
        <row r="284">
          <cell r="A284" t="str">
            <v>10104595753</v>
          </cell>
          <cell r="B284" t="str">
            <v>CIRO FÉLIX RIVERA BAILON - Uniformes personal</v>
          </cell>
        </row>
        <row r="285">
          <cell r="A285" t="str">
            <v>20101112421</v>
          </cell>
          <cell r="B285" t="str">
            <v>DELICIAS PERUANAS S.A. - Consumo</v>
          </cell>
        </row>
        <row r="286">
          <cell r="A286" t="str">
            <v>10093526240</v>
          </cell>
          <cell r="B286" t="str">
            <v>MANUEL GUTIERREZ C. - Materiales Electricos</v>
          </cell>
        </row>
        <row r="287">
          <cell r="A287" t="str">
            <v>10069942071</v>
          </cell>
          <cell r="B287" t="str">
            <v>BRITALDO VILLALOBOS H. - Consumo</v>
          </cell>
        </row>
        <row r="288">
          <cell r="A288" t="str">
            <v>10073363999</v>
          </cell>
          <cell r="B288" t="str">
            <v xml:space="preserve">FRANC. VEGA MONTESINOS - Materiales </v>
          </cell>
        </row>
        <row r="289">
          <cell r="A289" t="str">
            <v>20108068281</v>
          </cell>
          <cell r="B289" t="str">
            <v>APART. HOTEL LAS AMERICAS - Consumo</v>
          </cell>
        </row>
        <row r="290">
          <cell r="A290" t="str">
            <v>20173131691</v>
          </cell>
          <cell r="B290" t="str">
            <v>CARTONERIA MEDINA SRL - Herramientas</v>
          </cell>
        </row>
        <row r="291">
          <cell r="A291" t="str">
            <v>20171986967</v>
          </cell>
          <cell r="B291" t="str">
            <v>TRANSAM - SRL - Ss de Transporte.</v>
          </cell>
        </row>
        <row r="292">
          <cell r="A292" t="str">
            <v>20213630904</v>
          </cell>
          <cell r="B292" t="str">
            <v>MARUINSAC - Suministros</v>
          </cell>
        </row>
        <row r="293">
          <cell r="A293" t="str">
            <v>10083751474</v>
          </cell>
          <cell r="B293" t="str">
            <v>ASCENCIO CARRIZALES M. - Art. Ferreteros</v>
          </cell>
        </row>
        <row r="294">
          <cell r="A294" t="str">
            <v>10416437985</v>
          </cell>
          <cell r="B294" t="str">
            <v>PEDRO R. ALARCON - Ss de Computo</v>
          </cell>
        </row>
        <row r="295">
          <cell r="A295" t="str">
            <v>15503581351</v>
          </cell>
          <cell r="B295" t="str">
            <v>MARTIN A. ANDÍA N. - Art. De Limpieza</v>
          </cell>
        </row>
        <row r="296">
          <cell r="A296" t="str">
            <v>10089016946</v>
          </cell>
          <cell r="B296" t="str">
            <v>SANTOS GUERREROS - Utiles de oficina</v>
          </cell>
        </row>
        <row r="297">
          <cell r="A297" t="str">
            <v>20434327611</v>
          </cell>
          <cell r="B297" t="str">
            <v>SUPERTEC S.A.C. - Suministro de Equip. Computo</v>
          </cell>
        </row>
        <row r="298">
          <cell r="A298" t="str">
            <v>20198242684</v>
          </cell>
          <cell r="B298" t="str">
            <v>INV. SAN ROQUE EIRL - Insumos Pant.</v>
          </cell>
        </row>
        <row r="299">
          <cell r="A299" t="str">
            <v>20462544902</v>
          </cell>
          <cell r="B299" t="str">
            <v>LA MURALLA SAC - Insumos Pant.</v>
          </cell>
        </row>
        <row r="300">
          <cell r="A300" t="str">
            <v>20330032422</v>
          </cell>
          <cell r="B300" t="str">
            <v>FACTORIA LUBRITO EIRL - Ss de Rep. Y Mantmto</v>
          </cell>
        </row>
      </sheetData>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CION"/>
      <sheetName val="DATOS"/>
      <sheetName val="CALCULO UTILIDADES"/>
      <sheetName val="LIQUIDACION"/>
    </sheetNames>
    <sheetDataSet>
      <sheetData sheetId="0"/>
      <sheetData sheetId="1"/>
      <sheetData sheetId="2">
        <row r="12">
          <cell r="A12">
            <v>1</v>
          </cell>
        </row>
        <row r="13">
          <cell r="A13">
            <v>2</v>
          </cell>
        </row>
        <row r="14">
          <cell r="A14">
            <v>3</v>
          </cell>
        </row>
        <row r="15">
          <cell r="A15">
            <v>4</v>
          </cell>
        </row>
        <row r="16">
          <cell r="A16">
            <v>5</v>
          </cell>
        </row>
        <row r="17">
          <cell r="A17">
            <v>6</v>
          </cell>
        </row>
        <row r="18">
          <cell r="A18">
            <v>7</v>
          </cell>
        </row>
        <row r="19">
          <cell r="A19">
            <v>8</v>
          </cell>
        </row>
        <row r="20">
          <cell r="A20">
            <v>9</v>
          </cell>
        </row>
        <row r="21">
          <cell r="A21">
            <v>10</v>
          </cell>
        </row>
        <row r="22">
          <cell r="A22">
            <v>11</v>
          </cell>
        </row>
        <row r="23">
          <cell r="A23">
            <v>12</v>
          </cell>
        </row>
        <row r="24">
          <cell r="A24">
            <v>13</v>
          </cell>
        </row>
        <row r="25">
          <cell r="A25">
            <v>14</v>
          </cell>
        </row>
        <row r="26">
          <cell r="A26">
            <v>15</v>
          </cell>
        </row>
        <row r="27">
          <cell r="A27">
            <v>16</v>
          </cell>
        </row>
        <row r="28">
          <cell r="A28">
            <v>17</v>
          </cell>
        </row>
        <row r="29">
          <cell r="A29">
            <v>18</v>
          </cell>
        </row>
        <row r="30">
          <cell r="A30">
            <v>19</v>
          </cell>
        </row>
        <row r="31">
          <cell r="A31">
            <v>20</v>
          </cell>
        </row>
        <row r="32">
          <cell r="A32">
            <v>21</v>
          </cell>
        </row>
        <row r="33">
          <cell r="A33">
            <v>22</v>
          </cell>
        </row>
        <row r="34">
          <cell r="A34">
            <v>23</v>
          </cell>
        </row>
        <row r="35">
          <cell r="A35">
            <v>24</v>
          </cell>
        </row>
        <row r="36">
          <cell r="A36">
            <v>25</v>
          </cell>
        </row>
        <row r="37">
          <cell r="A37">
            <v>26</v>
          </cell>
        </row>
        <row r="38">
          <cell r="A38">
            <v>27</v>
          </cell>
        </row>
        <row r="39">
          <cell r="A39">
            <v>28</v>
          </cell>
        </row>
        <row r="40">
          <cell r="A40">
            <v>29</v>
          </cell>
        </row>
        <row r="41">
          <cell r="A41">
            <v>30</v>
          </cell>
        </row>
        <row r="42">
          <cell r="A42">
            <v>31</v>
          </cell>
        </row>
        <row r="43">
          <cell r="A43">
            <v>32</v>
          </cell>
        </row>
        <row r="44">
          <cell r="A44">
            <v>33</v>
          </cell>
        </row>
        <row r="45">
          <cell r="A45">
            <v>34</v>
          </cell>
        </row>
        <row r="46">
          <cell r="A46">
            <v>35</v>
          </cell>
        </row>
        <row r="47">
          <cell r="A47">
            <v>36</v>
          </cell>
        </row>
        <row r="48">
          <cell r="A48">
            <v>37</v>
          </cell>
        </row>
        <row r="49">
          <cell r="A49">
            <v>38</v>
          </cell>
        </row>
        <row r="50">
          <cell r="A50">
            <v>39</v>
          </cell>
        </row>
        <row r="51">
          <cell r="A51">
            <v>40</v>
          </cell>
        </row>
        <row r="52">
          <cell r="A52">
            <v>41</v>
          </cell>
        </row>
        <row r="53">
          <cell r="A53">
            <v>42</v>
          </cell>
        </row>
      </sheetData>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Gustavo@excelnegocios.com" TargetMode="External"/><Relationship Id="rId1" Type="http://schemas.openxmlformats.org/officeDocument/2006/relationships/hyperlink" Target="http://www.excelnegocio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www.excelnegocios.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www.excelnegocios.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www.excelnegocios.com/"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www.excelnegocios.com/"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WVT21"/>
  <sheetViews>
    <sheetView showGridLines="0" tabSelected="1" workbookViewId="0">
      <selection activeCell="B3" sqref="B3"/>
    </sheetView>
  </sheetViews>
  <sheetFormatPr baseColWidth="10" defaultColWidth="0" defaultRowHeight="15" customHeight="1" zeroHeight="1" x14ac:dyDescent="0.25"/>
  <cols>
    <col min="1" max="1" width="1.28515625" style="71" customWidth="1"/>
    <col min="2" max="9" width="11.42578125" style="71" customWidth="1"/>
    <col min="10" max="10" width="4.28515625" style="71" customWidth="1"/>
    <col min="11" max="11" width="2.42578125" style="71" customWidth="1"/>
    <col min="12" max="12" width="1.7109375" style="71" customWidth="1"/>
    <col min="13" max="256" width="11.42578125" style="71" hidden="1"/>
    <col min="257" max="257" width="1.28515625" style="71" hidden="1"/>
    <col min="258" max="265" width="11.42578125" style="71" hidden="1"/>
    <col min="266" max="266" width="4.28515625" style="71" hidden="1"/>
    <col min="267" max="267" width="2.42578125" style="71" hidden="1"/>
    <col min="268" max="268" width="1.7109375" style="71" hidden="1"/>
    <col min="269" max="512" width="11.42578125" style="71" hidden="1"/>
    <col min="513" max="513" width="1.28515625" style="71" hidden="1"/>
    <col min="514" max="521" width="11.42578125" style="71" hidden="1"/>
    <col min="522" max="522" width="4.28515625" style="71" hidden="1"/>
    <col min="523" max="523" width="2.42578125" style="71" hidden="1"/>
    <col min="524" max="524" width="1.7109375" style="71" hidden="1"/>
    <col min="525" max="768" width="11.42578125" style="71" hidden="1"/>
    <col min="769" max="769" width="1.28515625" style="71" hidden="1"/>
    <col min="770" max="777" width="11.42578125" style="71" hidden="1"/>
    <col min="778" max="778" width="4.28515625" style="71" hidden="1"/>
    <col min="779" max="779" width="2.42578125" style="71" hidden="1"/>
    <col min="780" max="780" width="1.7109375" style="71" hidden="1"/>
    <col min="781" max="1024" width="11.42578125" style="71" hidden="1"/>
    <col min="1025" max="1025" width="1.28515625" style="71" hidden="1"/>
    <col min="1026" max="1033" width="11.42578125" style="71" hidden="1"/>
    <col min="1034" max="1034" width="4.28515625" style="71" hidden="1"/>
    <col min="1035" max="1035" width="2.42578125" style="71" hidden="1"/>
    <col min="1036" max="1036" width="1.7109375" style="71" hidden="1"/>
    <col min="1037" max="1280" width="11.42578125" style="71" hidden="1"/>
    <col min="1281" max="1281" width="1.28515625" style="71" hidden="1"/>
    <col min="1282" max="1289" width="11.42578125" style="71" hidden="1"/>
    <col min="1290" max="1290" width="4.28515625" style="71" hidden="1"/>
    <col min="1291" max="1291" width="2.42578125" style="71" hidden="1"/>
    <col min="1292" max="1292" width="1.7109375" style="71" hidden="1"/>
    <col min="1293" max="1536" width="11.42578125" style="71" hidden="1"/>
    <col min="1537" max="1537" width="1.28515625" style="71" hidden="1"/>
    <col min="1538" max="1545" width="11.42578125" style="71" hidden="1"/>
    <col min="1546" max="1546" width="4.28515625" style="71" hidden="1"/>
    <col min="1547" max="1547" width="2.42578125" style="71" hidden="1"/>
    <col min="1548" max="1548" width="1.7109375" style="71" hidden="1"/>
    <col min="1549" max="1792" width="11.42578125" style="71" hidden="1"/>
    <col min="1793" max="1793" width="1.28515625" style="71" hidden="1"/>
    <col min="1794" max="1801" width="11.42578125" style="71" hidden="1"/>
    <col min="1802" max="1802" width="4.28515625" style="71" hidden="1"/>
    <col min="1803" max="1803" width="2.42578125" style="71" hidden="1"/>
    <col min="1804" max="1804" width="1.7109375" style="71" hidden="1"/>
    <col min="1805" max="2048" width="11.42578125" style="71" hidden="1"/>
    <col min="2049" max="2049" width="1.28515625" style="71" hidden="1"/>
    <col min="2050" max="2057" width="11.42578125" style="71" hidden="1"/>
    <col min="2058" max="2058" width="4.28515625" style="71" hidden="1"/>
    <col min="2059" max="2059" width="2.42578125" style="71" hidden="1"/>
    <col min="2060" max="2060" width="1.7109375" style="71" hidden="1"/>
    <col min="2061" max="2304" width="11.42578125" style="71" hidden="1"/>
    <col min="2305" max="2305" width="1.28515625" style="71" hidden="1"/>
    <col min="2306" max="2313" width="11.42578125" style="71" hidden="1"/>
    <col min="2314" max="2314" width="4.28515625" style="71" hidden="1"/>
    <col min="2315" max="2315" width="2.42578125" style="71" hidden="1"/>
    <col min="2316" max="2316" width="1.7109375" style="71" hidden="1"/>
    <col min="2317" max="2560" width="11.42578125" style="71" hidden="1"/>
    <col min="2561" max="2561" width="1.28515625" style="71" hidden="1"/>
    <col min="2562" max="2569" width="11.42578125" style="71" hidden="1"/>
    <col min="2570" max="2570" width="4.28515625" style="71" hidden="1"/>
    <col min="2571" max="2571" width="2.42578125" style="71" hidden="1"/>
    <col min="2572" max="2572" width="1.7109375" style="71" hidden="1"/>
    <col min="2573" max="2816" width="11.42578125" style="71" hidden="1"/>
    <col min="2817" max="2817" width="1.28515625" style="71" hidden="1"/>
    <col min="2818" max="2825" width="11.42578125" style="71" hidden="1"/>
    <col min="2826" max="2826" width="4.28515625" style="71" hidden="1"/>
    <col min="2827" max="2827" width="2.42578125" style="71" hidden="1"/>
    <col min="2828" max="2828" width="1.7109375" style="71" hidden="1"/>
    <col min="2829" max="3072" width="11.42578125" style="71" hidden="1"/>
    <col min="3073" max="3073" width="1.28515625" style="71" hidden="1"/>
    <col min="3074" max="3081" width="11.42578125" style="71" hidden="1"/>
    <col min="3082" max="3082" width="4.28515625" style="71" hidden="1"/>
    <col min="3083" max="3083" width="2.42578125" style="71" hidden="1"/>
    <col min="3084" max="3084" width="1.7109375" style="71" hidden="1"/>
    <col min="3085" max="3328" width="11.42578125" style="71" hidden="1"/>
    <col min="3329" max="3329" width="1.28515625" style="71" hidden="1"/>
    <col min="3330" max="3337" width="11.42578125" style="71" hidden="1"/>
    <col min="3338" max="3338" width="4.28515625" style="71" hidden="1"/>
    <col min="3339" max="3339" width="2.42578125" style="71" hidden="1"/>
    <col min="3340" max="3340" width="1.7109375" style="71" hidden="1"/>
    <col min="3341" max="3584" width="11.42578125" style="71" hidden="1"/>
    <col min="3585" max="3585" width="1.28515625" style="71" hidden="1"/>
    <col min="3586" max="3593" width="11.42578125" style="71" hidden="1"/>
    <col min="3594" max="3594" width="4.28515625" style="71" hidden="1"/>
    <col min="3595" max="3595" width="2.42578125" style="71" hidden="1"/>
    <col min="3596" max="3596" width="1.7109375" style="71" hidden="1"/>
    <col min="3597" max="3840" width="11.42578125" style="71" hidden="1"/>
    <col min="3841" max="3841" width="1.28515625" style="71" hidden="1"/>
    <col min="3842" max="3849" width="11.42578125" style="71" hidden="1"/>
    <col min="3850" max="3850" width="4.28515625" style="71" hidden="1"/>
    <col min="3851" max="3851" width="2.42578125" style="71" hidden="1"/>
    <col min="3852" max="3852" width="1.7109375" style="71" hidden="1"/>
    <col min="3853" max="4096" width="11.42578125" style="71" hidden="1"/>
    <col min="4097" max="4097" width="1.28515625" style="71" hidden="1"/>
    <col min="4098" max="4105" width="11.42578125" style="71" hidden="1"/>
    <col min="4106" max="4106" width="4.28515625" style="71" hidden="1"/>
    <col min="4107" max="4107" width="2.42578125" style="71" hidden="1"/>
    <col min="4108" max="4108" width="1.7109375" style="71" hidden="1"/>
    <col min="4109" max="4352" width="11.42578125" style="71" hidden="1"/>
    <col min="4353" max="4353" width="1.28515625" style="71" hidden="1"/>
    <col min="4354" max="4361" width="11.42578125" style="71" hidden="1"/>
    <col min="4362" max="4362" width="4.28515625" style="71" hidden="1"/>
    <col min="4363" max="4363" width="2.42578125" style="71" hidden="1"/>
    <col min="4364" max="4364" width="1.7109375" style="71" hidden="1"/>
    <col min="4365" max="4608" width="11.42578125" style="71" hidden="1"/>
    <col min="4609" max="4609" width="1.28515625" style="71" hidden="1"/>
    <col min="4610" max="4617" width="11.42578125" style="71" hidden="1"/>
    <col min="4618" max="4618" width="4.28515625" style="71" hidden="1"/>
    <col min="4619" max="4619" width="2.42578125" style="71" hidden="1"/>
    <col min="4620" max="4620" width="1.7109375" style="71" hidden="1"/>
    <col min="4621" max="4864" width="11.42578125" style="71" hidden="1"/>
    <col min="4865" max="4865" width="1.28515625" style="71" hidden="1"/>
    <col min="4866" max="4873" width="11.42578125" style="71" hidden="1"/>
    <col min="4874" max="4874" width="4.28515625" style="71" hidden="1"/>
    <col min="4875" max="4875" width="2.42578125" style="71" hidden="1"/>
    <col min="4876" max="4876" width="1.7109375" style="71" hidden="1"/>
    <col min="4877" max="5120" width="11.42578125" style="71" hidden="1"/>
    <col min="5121" max="5121" width="1.28515625" style="71" hidden="1"/>
    <col min="5122" max="5129" width="11.42578125" style="71" hidden="1"/>
    <col min="5130" max="5130" width="4.28515625" style="71" hidden="1"/>
    <col min="5131" max="5131" width="2.42578125" style="71" hidden="1"/>
    <col min="5132" max="5132" width="1.7109375" style="71" hidden="1"/>
    <col min="5133" max="5376" width="11.42578125" style="71" hidden="1"/>
    <col min="5377" max="5377" width="1.28515625" style="71" hidden="1"/>
    <col min="5378" max="5385" width="11.42578125" style="71" hidden="1"/>
    <col min="5386" max="5386" width="4.28515625" style="71" hidden="1"/>
    <col min="5387" max="5387" width="2.42578125" style="71" hidden="1"/>
    <col min="5388" max="5388" width="1.7109375" style="71" hidden="1"/>
    <col min="5389" max="5632" width="11.42578125" style="71" hidden="1"/>
    <col min="5633" max="5633" width="1.28515625" style="71" hidden="1"/>
    <col min="5634" max="5641" width="11.42578125" style="71" hidden="1"/>
    <col min="5642" max="5642" width="4.28515625" style="71" hidden="1"/>
    <col min="5643" max="5643" width="2.42578125" style="71" hidden="1"/>
    <col min="5644" max="5644" width="1.7109375" style="71" hidden="1"/>
    <col min="5645" max="5888" width="11.42578125" style="71" hidden="1"/>
    <col min="5889" max="5889" width="1.28515625" style="71" hidden="1"/>
    <col min="5890" max="5897" width="11.42578125" style="71" hidden="1"/>
    <col min="5898" max="5898" width="4.28515625" style="71" hidden="1"/>
    <col min="5899" max="5899" width="2.42578125" style="71" hidden="1"/>
    <col min="5900" max="5900" width="1.7109375" style="71" hidden="1"/>
    <col min="5901" max="6144" width="11.42578125" style="71" hidden="1"/>
    <col min="6145" max="6145" width="1.28515625" style="71" hidden="1"/>
    <col min="6146" max="6153" width="11.42578125" style="71" hidden="1"/>
    <col min="6154" max="6154" width="4.28515625" style="71" hidden="1"/>
    <col min="6155" max="6155" width="2.42578125" style="71" hidden="1"/>
    <col min="6156" max="6156" width="1.7109375" style="71" hidden="1"/>
    <col min="6157" max="6400" width="11.42578125" style="71" hidden="1"/>
    <col min="6401" max="6401" width="1.28515625" style="71" hidden="1"/>
    <col min="6402" max="6409" width="11.42578125" style="71" hidden="1"/>
    <col min="6410" max="6410" width="4.28515625" style="71" hidden="1"/>
    <col min="6411" max="6411" width="2.42578125" style="71" hidden="1"/>
    <col min="6412" max="6412" width="1.7109375" style="71" hidden="1"/>
    <col min="6413" max="6656" width="11.42578125" style="71" hidden="1"/>
    <col min="6657" max="6657" width="1.28515625" style="71" hidden="1"/>
    <col min="6658" max="6665" width="11.42578125" style="71" hidden="1"/>
    <col min="6666" max="6666" width="4.28515625" style="71" hidden="1"/>
    <col min="6667" max="6667" width="2.42578125" style="71" hidden="1"/>
    <col min="6668" max="6668" width="1.7109375" style="71" hidden="1"/>
    <col min="6669" max="6912" width="11.42578125" style="71" hidden="1"/>
    <col min="6913" max="6913" width="1.28515625" style="71" hidden="1"/>
    <col min="6914" max="6921" width="11.42578125" style="71" hidden="1"/>
    <col min="6922" max="6922" width="4.28515625" style="71" hidden="1"/>
    <col min="6923" max="6923" width="2.42578125" style="71" hidden="1"/>
    <col min="6924" max="6924" width="1.7109375" style="71" hidden="1"/>
    <col min="6925" max="7168" width="11.42578125" style="71" hidden="1"/>
    <col min="7169" max="7169" width="1.28515625" style="71" hidden="1"/>
    <col min="7170" max="7177" width="11.42578125" style="71" hidden="1"/>
    <col min="7178" max="7178" width="4.28515625" style="71" hidden="1"/>
    <col min="7179" max="7179" width="2.42578125" style="71" hidden="1"/>
    <col min="7180" max="7180" width="1.7109375" style="71" hidden="1"/>
    <col min="7181" max="7424" width="11.42578125" style="71" hidden="1"/>
    <col min="7425" max="7425" width="1.28515625" style="71" hidden="1"/>
    <col min="7426" max="7433" width="11.42578125" style="71" hidden="1"/>
    <col min="7434" max="7434" width="4.28515625" style="71" hidden="1"/>
    <col min="7435" max="7435" width="2.42578125" style="71" hidden="1"/>
    <col min="7436" max="7436" width="1.7109375" style="71" hidden="1"/>
    <col min="7437" max="7680" width="11.42578125" style="71" hidden="1"/>
    <col min="7681" max="7681" width="1.28515625" style="71" hidden="1"/>
    <col min="7682" max="7689" width="11.42578125" style="71" hidden="1"/>
    <col min="7690" max="7690" width="4.28515625" style="71" hidden="1"/>
    <col min="7691" max="7691" width="2.42578125" style="71" hidden="1"/>
    <col min="7692" max="7692" width="1.7109375" style="71" hidden="1"/>
    <col min="7693" max="7936" width="11.42578125" style="71" hidden="1"/>
    <col min="7937" max="7937" width="1.28515625" style="71" hidden="1"/>
    <col min="7938" max="7945" width="11.42578125" style="71" hidden="1"/>
    <col min="7946" max="7946" width="4.28515625" style="71" hidden="1"/>
    <col min="7947" max="7947" width="2.42578125" style="71" hidden="1"/>
    <col min="7948" max="7948" width="1.7109375" style="71" hidden="1"/>
    <col min="7949" max="8192" width="11.42578125" style="71" hidden="1"/>
    <col min="8193" max="8193" width="1.28515625" style="71" hidden="1"/>
    <col min="8194" max="8201" width="11.42578125" style="71" hidden="1"/>
    <col min="8202" max="8202" width="4.28515625" style="71" hidden="1"/>
    <col min="8203" max="8203" width="2.42578125" style="71" hidden="1"/>
    <col min="8204" max="8204" width="1.7109375" style="71" hidden="1"/>
    <col min="8205" max="8448" width="11.42578125" style="71" hidden="1"/>
    <col min="8449" max="8449" width="1.28515625" style="71" hidden="1"/>
    <col min="8450" max="8457" width="11.42578125" style="71" hidden="1"/>
    <col min="8458" max="8458" width="4.28515625" style="71" hidden="1"/>
    <col min="8459" max="8459" width="2.42578125" style="71" hidden="1"/>
    <col min="8460" max="8460" width="1.7109375" style="71" hidden="1"/>
    <col min="8461" max="8704" width="11.42578125" style="71" hidden="1"/>
    <col min="8705" max="8705" width="1.28515625" style="71" hidden="1"/>
    <col min="8706" max="8713" width="11.42578125" style="71" hidden="1"/>
    <col min="8714" max="8714" width="4.28515625" style="71" hidden="1"/>
    <col min="8715" max="8715" width="2.42578125" style="71" hidden="1"/>
    <col min="8716" max="8716" width="1.7109375" style="71" hidden="1"/>
    <col min="8717" max="8960" width="11.42578125" style="71" hidden="1"/>
    <col min="8961" max="8961" width="1.28515625" style="71" hidden="1"/>
    <col min="8962" max="8969" width="11.42578125" style="71" hidden="1"/>
    <col min="8970" max="8970" width="4.28515625" style="71" hidden="1"/>
    <col min="8971" max="8971" width="2.42578125" style="71" hidden="1"/>
    <col min="8972" max="8972" width="1.7109375" style="71" hidden="1"/>
    <col min="8973" max="9216" width="11.42578125" style="71" hidden="1"/>
    <col min="9217" max="9217" width="1.28515625" style="71" hidden="1"/>
    <col min="9218" max="9225" width="11.42578125" style="71" hidden="1"/>
    <col min="9226" max="9226" width="4.28515625" style="71" hidden="1"/>
    <col min="9227" max="9227" width="2.42578125" style="71" hidden="1"/>
    <col min="9228" max="9228" width="1.7109375" style="71" hidden="1"/>
    <col min="9229" max="9472" width="11.42578125" style="71" hidden="1"/>
    <col min="9473" max="9473" width="1.28515625" style="71" hidden="1"/>
    <col min="9474" max="9481" width="11.42578125" style="71" hidden="1"/>
    <col min="9482" max="9482" width="4.28515625" style="71" hidden="1"/>
    <col min="9483" max="9483" width="2.42578125" style="71" hidden="1"/>
    <col min="9484" max="9484" width="1.7109375" style="71" hidden="1"/>
    <col min="9485" max="9728" width="11.42578125" style="71" hidden="1"/>
    <col min="9729" max="9729" width="1.28515625" style="71" hidden="1"/>
    <col min="9730" max="9737" width="11.42578125" style="71" hidden="1"/>
    <col min="9738" max="9738" width="4.28515625" style="71" hidden="1"/>
    <col min="9739" max="9739" width="2.42578125" style="71" hidden="1"/>
    <col min="9740" max="9740" width="1.7109375" style="71" hidden="1"/>
    <col min="9741" max="9984" width="11.42578125" style="71" hidden="1"/>
    <col min="9985" max="9985" width="1.28515625" style="71" hidden="1"/>
    <col min="9986" max="9993" width="11.42578125" style="71" hidden="1"/>
    <col min="9994" max="9994" width="4.28515625" style="71" hidden="1"/>
    <col min="9995" max="9995" width="2.42578125" style="71" hidden="1"/>
    <col min="9996" max="9996" width="1.7109375" style="71" hidden="1"/>
    <col min="9997" max="10240" width="11.42578125" style="71" hidden="1"/>
    <col min="10241" max="10241" width="1.28515625" style="71" hidden="1"/>
    <col min="10242" max="10249" width="11.42578125" style="71" hidden="1"/>
    <col min="10250" max="10250" width="4.28515625" style="71" hidden="1"/>
    <col min="10251" max="10251" width="2.42578125" style="71" hidden="1"/>
    <col min="10252" max="10252" width="1.7109375" style="71" hidden="1"/>
    <col min="10253" max="10496" width="11.42578125" style="71" hidden="1"/>
    <col min="10497" max="10497" width="1.28515625" style="71" hidden="1"/>
    <col min="10498" max="10505" width="11.42578125" style="71" hidden="1"/>
    <col min="10506" max="10506" width="4.28515625" style="71" hidden="1"/>
    <col min="10507" max="10507" width="2.42578125" style="71" hidden="1"/>
    <col min="10508" max="10508" width="1.7109375" style="71" hidden="1"/>
    <col min="10509" max="10752" width="11.42578125" style="71" hidden="1"/>
    <col min="10753" max="10753" width="1.28515625" style="71" hidden="1"/>
    <col min="10754" max="10761" width="11.42578125" style="71" hidden="1"/>
    <col min="10762" max="10762" width="4.28515625" style="71" hidden="1"/>
    <col min="10763" max="10763" width="2.42578125" style="71" hidden="1"/>
    <col min="10764" max="10764" width="1.7109375" style="71" hidden="1"/>
    <col min="10765" max="11008" width="11.42578125" style="71" hidden="1"/>
    <col min="11009" max="11009" width="1.28515625" style="71" hidden="1"/>
    <col min="11010" max="11017" width="11.42578125" style="71" hidden="1"/>
    <col min="11018" max="11018" width="4.28515625" style="71" hidden="1"/>
    <col min="11019" max="11019" width="2.42578125" style="71" hidden="1"/>
    <col min="11020" max="11020" width="1.7109375" style="71" hidden="1"/>
    <col min="11021" max="11264" width="11.42578125" style="71" hidden="1"/>
    <col min="11265" max="11265" width="1.28515625" style="71" hidden="1"/>
    <col min="11266" max="11273" width="11.42578125" style="71" hidden="1"/>
    <col min="11274" max="11274" width="4.28515625" style="71" hidden="1"/>
    <col min="11275" max="11275" width="2.42578125" style="71" hidden="1"/>
    <col min="11276" max="11276" width="1.7109375" style="71" hidden="1"/>
    <col min="11277" max="11520" width="11.42578125" style="71" hidden="1"/>
    <col min="11521" max="11521" width="1.28515625" style="71" hidden="1"/>
    <col min="11522" max="11529" width="11.42578125" style="71" hidden="1"/>
    <col min="11530" max="11530" width="4.28515625" style="71" hidden="1"/>
    <col min="11531" max="11531" width="2.42578125" style="71" hidden="1"/>
    <col min="11532" max="11532" width="1.7109375" style="71" hidden="1"/>
    <col min="11533" max="11776" width="11.42578125" style="71" hidden="1"/>
    <col min="11777" max="11777" width="1.28515625" style="71" hidden="1"/>
    <col min="11778" max="11785" width="11.42578125" style="71" hidden="1"/>
    <col min="11786" max="11786" width="4.28515625" style="71" hidden="1"/>
    <col min="11787" max="11787" width="2.42578125" style="71" hidden="1"/>
    <col min="11788" max="11788" width="1.7109375" style="71" hidden="1"/>
    <col min="11789" max="12032" width="11.42578125" style="71" hidden="1"/>
    <col min="12033" max="12033" width="1.28515625" style="71" hidden="1"/>
    <col min="12034" max="12041" width="11.42578125" style="71" hidden="1"/>
    <col min="12042" max="12042" width="4.28515625" style="71" hidden="1"/>
    <col min="12043" max="12043" width="2.42578125" style="71" hidden="1"/>
    <col min="12044" max="12044" width="1.7109375" style="71" hidden="1"/>
    <col min="12045" max="12288" width="11.42578125" style="71" hidden="1"/>
    <col min="12289" max="12289" width="1.28515625" style="71" hidden="1"/>
    <col min="12290" max="12297" width="11.42578125" style="71" hidden="1"/>
    <col min="12298" max="12298" width="4.28515625" style="71" hidden="1"/>
    <col min="12299" max="12299" width="2.42578125" style="71" hidden="1"/>
    <col min="12300" max="12300" width="1.7109375" style="71" hidden="1"/>
    <col min="12301" max="12544" width="11.42578125" style="71" hidden="1"/>
    <col min="12545" max="12545" width="1.28515625" style="71" hidden="1"/>
    <col min="12546" max="12553" width="11.42578125" style="71" hidden="1"/>
    <col min="12554" max="12554" width="4.28515625" style="71" hidden="1"/>
    <col min="12555" max="12555" width="2.42578125" style="71" hidden="1"/>
    <col min="12556" max="12556" width="1.7109375" style="71" hidden="1"/>
    <col min="12557" max="12800" width="11.42578125" style="71" hidden="1"/>
    <col min="12801" max="12801" width="1.28515625" style="71" hidden="1"/>
    <col min="12802" max="12809" width="11.42578125" style="71" hidden="1"/>
    <col min="12810" max="12810" width="4.28515625" style="71" hidden="1"/>
    <col min="12811" max="12811" width="2.42578125" style="71" hidden="1"/>
    <col min="12812" max="12812" width="1.7109375" style="71" hidden="1"/>
    <col min="12813" max="13056" width="11.42578125" style="71" hidden="1"/>
    <col min="13057" max="13057" width="1.28515625" style="71" hidden="1"/>
    <col min="13058" max="13065" width="11.42578125" style="71" hidden="1"/>
    <col min="13066" max="13066" width="4.28515625" style="71" hidden="1"/>
    <col min="13067" max="13067" width="2.42578125" style="71" hidden="1"/>
    <col min="13068" max="13068" width="1.7109375" style="71" hidden="1"/>
    <col min="13069" max="13312" width="11.42578125" style="71" hidden="1"/>
    <col min="13313" max="13313" width="1.28515625" style="71" hidden="1"/>
    <col min="13314" max="13321" width="11.42578125" style="71" hidden="1"/>
    <col min="13322" max="13322" width="4.28515625" style="71" hidden="1"/>
    <col min="13323" max="13323" width="2.42578125" style="71" hidden="1"/>
    <col min="13324" max="13324" width="1.7109375" style="71" hidden="1"/>
    <col min="13325" max="13568" width="11.42578125" style="71" hidden="1"/>
    <col min="13569" max="13569" width="1.28515625" style="71" hidden="1"/>
    <col min="13570" max="13577" width="11.42578125" style="71" hidden="1"/>
    <col min="13578" max="13578" width="4.28515625" style="71" hidden="1"/>
    <col min="13579" max="13579" width="2.42578125" style="71" hidden="1"/>
    <col min="13580" max="13580" width="1.7109375" style="71" hidden="1"/>
    <col min="13581" max="13824" width="11.42578125" style="71" hidden="1"/>
    <col min="13825" max="13825" width="1.28515625" style="71" hidden="1"/>
    <col min="13826" max="13833" width="11.42578125" style="71" hidden="1"/>
    <col min="13834" max="13834" width="4.28515625" style="71" hidden="1"/>
    <col min="13835" max="13835" width="2.42578125" style="71" hidden="1"/>
    <col min="13836" max="13836" width="1.7109375" style="71" hidden="1"/>
    <col min="13837" max="14080" width="11.42578125" style="71" hidden="1"/>
    <col min="14081" max="14081" width="1.28515625" style="71" hidden="1"/>
    <col min="14082" max="14089" width="11.42578125" style="71" hidden="1"/>
    <col min="14090" max="14090" width="4.28515625" style="71" hidden="1"/>
    <col min="14091" max="14091" width="2.42578125" style="71" hidden="1"/>
    <col min="14092" max="14092" width="1.7109375" style="71" hidden="1"/>
    <col min="14093" max="14336" width="11.42578125" style="71" hidden="1"/>
    <col min="14337" max="14337" width="1.28515625" style="71" hidden="1"/>
    <col min="14338" max="14345" width="11.42578125" style="71" hidden="1"/>
    <col min="14346" max="14346" width="4.28515625" style="71" hidden="1"/>
    <col min="14347" max="14347" width="2.42578125" style="71" hidden="1"/>
    <col min="14348" max="14348" width="1.7109375" style="71" hidden="1"/>
    <col min="14349" max="14592" width="11.42578125" style="71" hidden="1"/>
    <col min="14593" max="14593" width="1.28515625" style="71" hidden="1"/>
    <col min="14594" max="14601" width="11.42578125" style="71" hidden="1"/>
    <col min="14602" max="14602" width="4.28515625" style="71" hidden="1"/>
    <col min="14603" max="14603" width="2.42578125" style="71" hidden="1"/>
    <col min="14604" max="14604" width="1.7109375" style="71" hidden="1"/>
    <col min="14605" max="14848" width="11.42578125" style="71" hidden="1"/>
    <col min="14849" max="14849" width="1.28515625" style="71" hidden="1"/>
    <col min="14850" max="14857" width="11.42578125" style="71" hidden="1"/>
    <col min="14858" max="14858" width="4.28515625" style="71" hidden="1"/>
    <col min="14859" max="14859" width="2.42578125" style="71" hidden="1"/>
    <col min="14860" max="14860" width="1.7109375" style="71" hidden="1"/>
    <col min="14861" max="15104" width="11.42578125" style="71" hidden="1"/>
    <col min="15105" max="15105" width="1.28515625" style="71" hidden="1"/>
    <col min="15106" max="15113" width="11.42578125" style="71" hidden="1"/>
    <col min="15114" max="15114" width="4.28515625" style="71" hidden="1"/>
    <col min="15115" max="15115" width="2.42578125" style="71" hidden="1"/>
    <col min="15116" max="15116" width="1.7109375" style="71" hidden="1"/>
    <col min="15117" max="15360" width="11.42578125" style="71" hidden="1"/>
    <col min="15361" max="15361" width="1.28515625" style="71" hidden="1"/>
    <col min="15362" max="15369" width="11.42578125" style="71" hidden="1"/>
    <col min="15370" max="15370" width="4.28515625" style="71" hidden="1"/>
    <col min="15371" max="15371" width="2.42578125" style="71" hidden="1"/>
    <col min="15372" max="15372" width="1.7109375" style="71" hidden="1"/>
    <col min="15373" max="15616" width="11.42578125" style="71" hidden="1"/>
    <col min="15617" max="15617" width="1.28515625" style="71" hidden="1"/>
    <col min="15618" max="15625" width="11.42578125" style="71" hidden="1"/>
    <col min="15626" max="15626" width="4.28515625" style="71" hidden="1"/>
    <col min="15627" max="15627" width="2.42578125" style="71" hidden="1"/>
    <col min="15628" max="15628" width="1.7109375" style="71" hidden="1"/>
    <col min="15629" max="15872" width="11.42578125" style="71" hidden="1"/>
    <col min="15873" max="15873" width="1.28515625" style="71" hidden="1"/>
    <col min="15874" max="15881" width="11.42578125" style="71" hidden="1"/>
    <col min="15882" max="15882" width="4.28515625" style="71" hidden="1"/>
    <col min="15883" max="15883" width="2.42578125" style="71" hidden="1"/>
    <col min="15884" max="15884" width="1.7109375" style="71" hidden="1"/>
    <col min="15885" max="16128" width="11.42578125" style="71" hidden="1"/>
    <col min="16129" max="16129" width="1.28515625" style="71" hidden="1"/>
    <col min="16130" max="16137" width="11.42578125" style="71" hidden="1"/>
    <col min="16138" max="16138" width="4.28515625" style="71" hidden="1"/>
    <col min="16139" max="16139" width="2.42578125" style="71" hidden="1"/>
    <col min="16140" max="16140" width="1.7109375" style="71" hidden="1"/>
    <col min="16141" max="16384" width="11.42578125" style="71" hidden="1"/>
  </cols>
  <sheetData>
    <row r="1" spans="2:11" ht="6" customHeight="1" thickBot="1" x14ac:dyDescent="0.3"/>
    <row r="2" spans="2:11" x14ac:dyDescent="0.25">
      <c r="B2" s="72"/>
      <c r="C2" s="73"/>
      <c r="D2" s="73"/>
      <c r="E2" s="73"/>
      <c r="F2" s="73"/>
      <c r="G2" s="73"/>
      <c r="H2" s="73"/>
      <c r="I2" s="73"/>
      <c r="J2" s="73"/>
      <c r="K2" s="74"/>
    </row>
    <row r="3" spans="2:11" x14ac:dyDescent="0.25">
      <c r="B3" s="75"/>
      <c r="C3" s="76"/>
      <c r="D3" s="76"/>
      <c r="E3" s="76"/>
      <c r="F3" s="76"/>
      <c r="G3" s="76"/>
      <c r="H3" s="76"/>
      <c r="I3" s="76"/>
      <c r="J3" s="76"/>
      <c r="K3" s="77"/>
    </row>
    <row r="4" spans="2:11" x14ac:dyDescent="0.25">
      <c r="B4" s="75"/>
      <c r="C4" s="76"/>
      <c r="D4" s="76"/>
      <c r="E4" s="76"/>
      <c r="F4" s="76"/>
      <c r="G4" s="76"/>
      <c r="H4" s="76"/>
      <c r="I4" s="76"/>
      <c r="J4" s="76"/>
      <c r="K4" s="77"/>
    </row>
    <row r="5" spans="2:11" x14ac:dyDescent="0.25">
      <c r="B5" s="75"/>
      <c r="C5" s="76"/>
      <c r="D5" s="76"/>
      <c r="E5" s="76"/>
      <c r="F5" s="76"/>
      <c r="G5" s="76"/>
      <c r="H5" s="76"/>
      <c r="I5" s="76"/>
      <c r="J5" s="76"/>
      <c r="K5" s="77"/>
    </row>
    <row r="6" spans="2:11" x14ac:dyDescent="0.25">
      <c r="B6" s="75"/>
      <c r="C6" s="76"/>
      <c r="D6" s="76"/>
      <c r="E6" s="76"/>
      <c r="F6" s="76"/>
      <c r="G6" s="76"/>
      <c r="H6" s="76"/>
      <c r="I6" s="76"/>
      <c r="J6" s="76"/>
      <c r="K6" s="77"/>
    </row>
    <row r="7" spans="2:11" x14ac:dyDescent="0.25">
      <c r="B7" s="75"/>
      <c r="C7" s="127" t="s">
        <v>61</v>
      </c>
      <c r="D7" s="127"/>
      <c r="E7" s="127"/>
      <c r="F7" s="127"/>
      <c r="G7" s="127"/>
      <c r="H7" s="127"/>
      <c r="I7" s="76"/>
      <c r="J7" s="76"/>
      <c r="K7" s="77"/>
    </row>
    <row r="8" spans="2:11" x14ac:dyDescent="0.25">
      <c r="B8" s="75"/>
      <c r="C8" s="127"/>
      <c r="D8" s="127"/>
      <c r="E8" s="127"/>
      <c r="F8" s="127"/>
      <c r="G8" s="127"/>
      <c r="H8" s="127"/>
      <c r="I8" s="76"/>
      <c r="J8" s="76"/>
      <c r="K8" s="77"/>
    </row>
    <row r="9" spans="2:11" x14ac:dyDescent="0.25">
      <c r="B9" s="75"/>
      <c r="C9" s="76"/>
      <c r="D9" s="76"/>
      <c r="E9" s="76"/>
      <c r="F9" s="76"/>
      <c r="G9" s="76"/>
      <c r="H9" s="76"/>
      <c r="I9" s="76"/>
      <c r="J9" s="76"/>
      <c r="K9" s="77"/>
    </row>
    <row r="10" spans="2:11" x14ac:dyDescent="0.25">
      <c r="B10" s="75"/>
      <c r="C10" s="76"/>
      <c r="D10" s="76"/>
      <c r="E10" s="76"/>
      <c r="F10" s="76"/>
      <c r="G10" s="76"/>
      <c r="H10" s="76"/>
      <c r="I10" s="76"/>
      <c r="J10" s="76"/>
      <c r="K10" s="77"/>
    </row>
    <row r="11" spans="2:11" x14ac:dyDescent="0.25">
      <c r="B11" s="75"/>
      <c r="C11" s="76"/>
      <c r="D11" s="76"/>
      <c r="E11" s="76"/>
      <c r="F11" s="76"/>
      <c r="G11" s="76"/>
      <c r="H11" s="76"/>
      <c r="I11" s="76"/>
      <c r="J11" s="76"/>
      <c r="K11" s="77"/>
    </row>
    <row r="12" spans="2:11" x14ac:dyDescent="0.25">
      <c r="B12" s="75"/>
      <c r="C12" s="76"/>
      <c r="D12" s="76"/>
      <c r="E12" s="76"/>
      <c r="F12" s="76"/>
      <c r="G12" s="76"/>
      <c r="H12" s="76"/>
      <c r="I12" s="76"/>
      <c r="J12" s="76"/>
      <c r="K12" s="77"/>
    </row>
    <row r="13" spans="2:11" ht="7.5" customHeight="1" x14ac:dyDescent="0.25">
      <c r="B13" s="75"/>
      <c r="C13" s="76"/>
      <c r="D13" s="76"/>
      <c r="E13" s="76"/>
      <c r="F13" s="76"/>
      <c r="G13" s="76"/>
      <c r="H13" s="76"/>
      <c r="I13" s="76"/>
      <c r="J13" s="76"/>
      <c r="K13" s="77"/>
    </row>
    <row r="14" spans="2:11" x14ac:dyDescent="0.25">
      <c r="B14" s="128" t="s">
        <v>123</v>
      </c>
      <c r="C14" s="129"/>
      <c r="D14" s="129"/>
      <c r="E14" s="129"/>
      <c r="F14" s="129"/>
      <c r="G14" s="130" t="s">
        <v>61</v>
      </c>
      <c r="H14" s="130"/>
      <c r="I14" s="130"/>
      <c r="J14" s="130"/>
      <c r="K14" s="131"/>
    </row>
    <row r="15" spans="2:11" ht="6.75" customHeight="1" thickBot="1" x14ac:dyDescent="0.3">
      <c r="B15" s="78"/>
      <c r="C15" s="79"/>
      <c r="D15" s="79"/>
      <c r="E15" s="79"/>
      <c r="F15" s="79"/>
      <c r="G15" s="79"/>
      <c r="H15" s="79"/>
      <c r="I15" s="79"/>
      <c r="J15" s="79"/>
      <c r="K15" s="80"/>
    </row>
    <row r="16" spans="2:11" ht="6" customHeight="1" x14ac:dyDescent="0.25"/>
    <row r="17" hidden="1" x14ac:dyDescent="0.25"/>
    <row r="18" hidden="1" x14ac:dyDescent="0.25"/>
    <row r="19" hidden="1" x14ac:dyDescent="0.25"/>
    <row r="20" hidden="1" x14ac:dyDescent="0.25"/>
    <row r="21" hidden="1" x14ac:dyDescent="0.25"/>
  </sheetData>
  <mergeCells count="3">
    <mergeCell ref="C7:H8"/>
    <mergeCell ref="B14:F14"/>
    <mergeCell ref="G14:K14"/>
  </mergeCells>
  <hyperlinks>
    <hyperlink ref="C7" r:id="rId1"/>
    <hyperlink ref="G14" r:id="rId2" display="Gustavo@excelnegocios.com"/>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22"/>
  <sheetViews>
    <sheetView showGridLines="0" workbookViewId="0">
      <selection activeCell="C20" sqref="C20:D20"/>
    </sheetView>
  </sheetViews>
  <sheetFormatPr baseColWidth="10" defaultColWidth="0" defaultRowHeight="12.75" customHeight="1" zeroHeight="1" x14ac:dyDescent="0.2"/>
  <cols>
    <col min="1" max="9" width="11.5703125" style="82" customWidth="1"/>
    <col min="10" max="10" width="9" style="82" customWidth="1"/>
    <col min="11" max="11" width="1.7109375" style="82" customWidth="1"/>
    <col min="12" max="12" width="1.5703125" style="82" customWidth="1"/>
    <col min="13" max="13" width="2.5703125" style="82" customWidth="1"/>
    <col min="14" max="14" width="0.7109375" style="82" customWidth="1"/>
    <col min="15" max="16384" width="11.5703125" style="82" hidden="1"/>
  </cols>
  <sheetData>
    <row r="1" spans="1:13" ht="4.9000000000000004" customHeight="1" x14ac:dyDescent="0.2"/>
    <row r="2" spans="1:13" ht="7.15" customHeight="1" x14ac:dyDescent="0.2"/>
    <row r="3" spans="1:13" x14ac:dyDescent="0.2">
      <c r="A3" s="137" t="s">
        <v>146</v>
      </c>
      <c r="B3" s="138"/>
      <c r="C3" s="138"/>
      <c r="D3" s="138"/>
      <c r="E3" s="138"/>
      <c r="F3" s="138"/>
      <c r="G3" s="138"/>
      <c r="H3" s="138"/>
      <c r="I3" s="138"/>
      <c r="J3" s="138"/>
      <c r="K3" s="138"/>
      <c r="L3" s="138"/>
      <c r="M3" s="139"/>
    </row>
    <row r="4" spans="1:13" x14ac:dyDescent="0.2">
      <c r="A4" s="140"/>
      <c r="B4" s="141"/>
      <c r="C4" s="141"/>
      <c r="D4" s="141"/>
      <c r="E4" s="141"/>
      <c r="F4" s="141"/>
      <c r="G4" s="141"/>
      <c r="H4" s="141"/>
      <c r="I4" s="141"/>
      <c r="J4" s="141"/>
      <c r="K4" s="141"/>
      <c r="L4" s="141"/>
      <c r="M4" s="142"/>
    </row>
    <row r="5" spans="1:13" x14ac:dyDescent="0.2">
      <c r="A5" s="83"/>
      <c r="B5" s="84"/>
      <c r="C5" s="84"/>
      <c r="D5" s="84"/>
      <c r="E5" s="84"/>
      <c r="F5" s="84"/>
      <c r="G5" s="84"/>
      <c r="H5" s="84"/>
      <c r="I5" s="84"/>
      <c r="J5" s="84"/>
      <c r="K5" s="84"/>
      <c r="L5" s="84"/>
      <c r="M5" s="85"/>
    </row>
    <row r="6" spans="1:13" ht="15" x14ac:dyDescent="0.2">
      <c r="A6" s="132" t="s">
        <v>128</v>
      </c>
      <c r="B6" s="133"/>
      <c r="C6" s="134" t="s">
        <v>140</v>
      </c>
      <c r="D6" s="135"/>
      <c r="E6" s="135"/>
      <c r="F6" s="135"/>
      <c r="G6" s="135"/>
      <c r="H6" s="135"/>
      <c r="I6" s="136"/>
      <c r="J6" s="84"/>
      <c r="K6" s="84"/>
      <c r="L6" s="84"/>
      <c r="M6" s="85"/>
    </row>
    <row r="7" spans="1:13" x14ac:dyDescent="0.2">
      <c r="A7" s="83"/>
      <c r="B7" s="84"/>
      <c r="C7" s="84"/>
      <c r="D7" s="84"/>
      <c r="E7" s="84"/>
      <c r="F7" s="84"/>
      <c r="G7" s="84"/>
      <c r="H7" s="84"/>
      <c r="I7" s="84"/>
      <c r="J7" s="84"/>
      <c r="K7" s="84"/>
      <c r="L7" s="84"/>
      <c r="M7" s="85"/>
    </row>
    <row r="8" spans="1:13" ht="15" x14ac:dyDescent="0.25">
      <c r="A8" s="143" t="s">
        <v>129</v>
      </c>
      <c r="B8" s="144"/>
      <c r="C8" s="145">
        <v>20128004301</v>
      </c>
      <c r="D8" s="146"/>
      <c r="E8" s="84"/>
      <c r="F8" s="84"/>
      <c r="G8" s="84"/>
      <c r="H8" s="84"/>
      <c r="I8" s="84"/>
      <c r="J8" s="84"/>
      <c r="K8" s="84"/>
      <c r="L8" s="84"/>
      <c r="M8" s="85"/>
    </row>
    <row r="9" spans="1:13" x14ac:dyDescent="0.2">
      <c r="A9" s="83"/>
      <c r="B9" s="84"/>
      <c r="C9" s="84"/>
      <c r="D9" s="84"/>
      <c r="E9" s="84"/>
      <c r="F9" s="84"/>
      <c r="G9" s="84"/>
      <c r="H9" s="84"/>
      <c r="I9" s="84"/>
      <c r="J9" s="84"/>
      <c r="K9" s="84"/>
      <c r="L9" s="84"/>
      <c r="M9" s="85"/>
    </row>
    <row r="10" spans="1:13" ht="15" x14ac:dyDescent="0.2">
      <c r="A10" s="132" t="s">
        <v>130</v>
      </c>
      <c r="B10" s="133"/>
      <c r="C10" s="134" t="s">
        <v>139</v>
      </c>
      <c r="D10" s="135"/>
      <c r="E10" s="135"/>
      <c r="F10" s="135"/>
      <c r="G10" s="135"/>
      <c r="H10" s="135"/>
      <c r="I10" s="136"/>
      <c r="J10" s="84"/>
      <c r="K10" s="84"/>
      <c r="L10" s="84"/>
      <c r="M10" s="85"/>
    </row>
    <row r="11" spans="1:13" x14ac:dyDescent="0.2">
      <c r="A11" s="83"/>
      <c r="B11" s="84"/>
      <c r="C11" s="84"/>
      <c r="D11" s="84"/>
      <c r="E11" s="84"/>
      <c r="F11" s="84"/>
      <c r="G11" s="86"/>
      <c r="H11" s="86"/>
      <c r="I11" s="86"/>
      <c r="J11" s="84"/>
      <c r="K11" s="84"/>
      <c r="L11" s="84"/>
      <c r="M11" s="85"/>
    </row>
    <row r="12" spans="1:13" ht="15" x14ac:dyDescent="0.25">
      <c r="A12" s="143" t="s">
        <v>131</v>
      </c>
      <c r="B12" s="147"/>
      <c r="C12" s="134" t="s">
        <v>141</v>
      </c>
      <c r="D12" s="135"/>
      <c r="E12" s="135"/>
      <c r="F12" s="135"/>
      <c r="G12" s="135"/>
      <c r="H12" s="135"/>
      <c r="I12" s="136"/>
      <c r="J12" s="84"/>
      <c r="K12" s="84"/>
      <c r="L12" s="84"/>
      <c r="M12" s="85"/>
    </row>
    <row r="13" spans="1:13" ht="15" x14ac:dyDescent="0.25">
      <c r="A13" s="87"/>
      <c r="B13" s="88"/>
      <c r="C13" s="89"/>
      <c r="D13" s="89"/>
      <c r="E13" s="84"/>
      <c r="F13" s="84"/>
      <c r="G13" s="84"/>
      <c r="H13" s="84"/>
      <c r="I13" s="84"/>
      <c r="J13" s="84"/>
      <c r="K13" s="84"/>
      <c r="L13" s="84"/>
      <c r="M13" s="85"/>
    </row>
    <row r="14" spans="1:13" ht="15" x14ac:dyDescent="0.25">
      <c r="A14" s="143" t="s">
        <v>132</v>
      </c>
      <c r="B14" s="144"/>
      <c r="C14" s="145" t="s">
        <v>133</v>
      </c>
      <c r="D14" s="146"/>
      <c r="E14" s="84"/>
      <c r="F14" s="84"/>
      <c r="G14" s="84"/>
      <c r="H14" s="84"/>
      <c r="I14" s="84"/>
      <c r="J14" s="84"/>
      <c r="K14" s="84"/>
      <c r="L14" s="84"/>
      <c r="M14" s="85"/>
    </row>
    <row r="15" spans="1:13" ht="15" x14ac:dyDescent="0.25">
      <c r="A15" s="87"/>
      <c r="B15" s="88"/>
      <c r="C15" s="84"/>
      <c r="D15" s="84"/>
      <c r="E15" s="84"/>
      <c r="F15" s="84"/>
      <c r="G15" s="84"/>
      <c r="H15" s="84"/>
      <c r="I15" s="84"/>
      <c r="J15" s="84"/>
      <c r="K15" s="84"/>
      <c r="L15" s="84"/>
      <c r="M15" s="85"/>
    </row>
    <row r="16" spans="1:13" ht="15" x14ac:dyDescent="0.25">
      <c r="A16" s="143" t="s">
        <v>138</v>
      </c>
      <c r="B16" s="144"/>
      <c r="C16" s="145">
        <v>15</v>
      </c>
      <c r="D16" s="146"/>
      <c r="E16" s="84"/>
      <c r="G16" s="84"/>
      <c r="H16" s="84"/>
      <c r="I16" s="84"/>
      <c r="J16" s="84"/>
      <c r="K16" s="84"/>
      <c r="L16" s="84"/>
      <c r="M16" s="85"/>
    </row>
    <row r="17" spans="1:13" ht="15" x14ac:dyDescent="0.25">
      <c r="A17" s="87"/>
      <c r="B17" s="88"/>
      <c r="C17" s="84"/>
      <c r="D17" s="84"/>
      <c r="E17" s="84"/>
      <c r="G17" s="84"/>
      <c r="H17" s="84"/>
      <c r="I17" s="84"/>
      <c r="J17" s="84"/>
      <c r="K17" s="84"/>
      <c r="L17" s="84"/>
      <c r="M17" s="85"/>
    </row>
    <row r="18" spans="1:13" ht="15" x14ac:dyDescent="0.25">
      <c r="A18" s="143" t="s">
        <v>134</v>
      </c>
      <c r="B18" s="144"/>
      <c r="C18" s="145" t="s">
        <v>145</v>
      </c>
      <c r="D18" s="146"/>
      <c r="E18" s="90" t="s">
        <v>135</v>
      </c>
      <c r="F18" s="84"/>
      <c r="G18" s="84"/>
      <c r="H18" s="84"/>
      <c r="I18" s="84"/>
      <c r="J18" s="84"/>
      <c r="K18" s="84"/>
      <c r="L18" s="84"/>
      <c r="M18" s="85"/>
    </row>
    <row r="19" spans="1:13" ht="15" x14ac:dyDescent="0.25">
      <c r="A19" s="87"/>
      <c r="B19" s="88"/>
      <c r="C19" s="84"/>
      <c r="D19" s="84"/>
      <c r="E19" s="84"/>
      <c r="F19" s="91" t="s">
        <v>136</v>
      </c>
      <c r="G19" s="84"/>
      <c r="H19" s="84"/>
      <c r="I19" s="84"/>
      <c r="J19" s="84"/>
      <c r="L19" s="84"/>
      <c r="M19" s="85"/>
    </row>
    <row r="20" spans="1:13" ht="15" x14ac:dyDescent="0.25">
      <c r="A20" s="143" t="s">
        <v>137</v>
      </c>
      <c r="B20" s="144"/>
      <c r="C20" s="145">
        <v>2019</v>
      </c>
      <c r="D20" s="146"/>
      <c r="E20" s="84" t="s">
        <v>135</v>
      </c>
      <c r="F20" s="92" t="s">
        <v>61</v>
      </c>
      <c r="G20" s="84"/>
      <c r="H20" s="84"/>
      <c r="I20" s="84"/>
      <c r="J20" s="84"/>
      <c r="L20" s="84"/>
      <c r="M20" s="85"/>
    </row>
    <row r="21" spans="1:13" ht="13.5" thickBot="1" x14ac:dyDescent="0.25">
      <c r="A21" s="93"/>
      <c r="B21" s="94"/>
      <c r="C21" s="94"/>
      <c r="D21" s="94"/>
      <c r="E21" s="94"/>
      <c r="F21" s="94"/>
      <c r="G21" s="94"/>
      <c r="H21" s="94"/>
      <c r="I21" s="94"/>
      <c r="J21" s="94"/>
      <c r="K21" s="94"/>
      <c r="L21" s="94"/>
      <c r="M21" s="95"/>
    </row>
    <row r="22" spans="1:13" ht="6" customHeight="1" x14ac:dyDescent="0.2"/>
  </sheetData>
  <mergeCells count="17">
    <mergeCell ref="A18:B18"/>
    <mergeCell ref="C18:D18"/>
    <mergeCell ref="A20:B20"/>
    <mergeCell ref="C20:D20"/>
    <mergeCell ref="A12:B12"/>
    <mergeCell ref="C12:I12"/>
    <mergeCell ref="A14:B14"/>
    <mergeCell ref="C14:D14"/>
    <mergeCell ref="A16:B16"/>
    <mergeCell ref="C16:D16"/>
    <mergeCell ref="A10:B10"/>
    <mergeCell ref="C10:I10"/>
    <mergeCell ref="A3:M4"/>
    <mergeCell ref="A6:B6"/>
    <mergeCell ref="C6:I6"/>
    <mergeCell ref="A8:B8"/>
    <mergeCell ref="C8:D8"/>
  </mergeCells>
  <dataValidations count="1">
    <dataValidation type="whole" showInputMessage="1" showErrorMessage="1" sqref="C16:D16">
      <formula1>1</formula1>
      <formula2>31</formula2>
    </dataValidation>
  </dataValidations>
  <hyperlinks>
    <hyperlink ref="F20" r:id="rId1"/>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O359"/>
  <sheetViews>
    <sheetView topLeftCell="A5" zoomScale="90" zoomScaleNormal="90" workbookViewId="0">
      <selection activeCell="B25" sqref="B25:L27"/>
    </sheetView>
  </sheetViews>
  <sheetFormatPr baseColWidth="10" defaultColWidth="11.42578125" defaultRowHeight="12.75" x14ac:dyDescent="0.2"/>
  <cols>
    <col min="1" max="1" width="7.42578125" style="33" bestFit="1" customWidth="1"/>
    <col min="2" max="2" width="28.28515625" style="33" bestFit="1" customWidth="1"/>
    <col min="3" max="5" width="11.42578125" style="33"/>
    <col min="6" max="6" width="10.140625" style="12" customWidth="1"/>
    <col min="7" max="7" width="9.42578125" style="12" bestFit="1" customWidth="1"/>
    <col min="8" max="8" width="11.42578125" style="12"/>
    <col min="9" max="9" width="11.42578125" style="33" customWidth="1"/>
    <col min="10" max="10" width="14.140625" style="12" customWidth="1"/>
    <col min="11" max="11" width="22.140625" style="33" bestFit="1" customWidth="1"/>
    <col min="12" max="12" width="16.42578125" style="12" customWidth="1"/>
    <col min="13" max="14" width="13.7109375" style="33" customWidth="1"/>
    <col min="15" max="16384" width="11.42578125" style="33"/>
  </cols>
  <sheetData>
    <row r="2" spans="1:15" ht="27.75" customHeight="1" x14ac:dyDescent="0.2">
      <c r="A2" s="148" t="s">
        <v>47</v>
      </c>
      <c r="B2" s="148"/>
      <c r="C2" s="148"/>
      <c r="D2" s="148"/>
      <c r="E2" s="148"/>
      <c r="F2" s="148"/>
      <c r="G2" s="148"/>
      <c r="H2" s="148"/>
      <c r="I2" s="148"/>
      <c r="J2" s="148"/>
      <c r="K2" s="148"/>
      <c r="L2" s="148"/>
      <c r="M2" s="148"/>
      <c r="N2" s="148"/>
      <c r="O2" s="149"/>
    </row>
    <row r="3" spans="1:15" ht="13.5" thickBot="1" x14ac:dyDescent="0.25">
      <c r="B3" s="41"/>
    </row>
    <row r="4" spans="1:15" x14ac:dyDescent="0.2">
      <c r="A4" s="53"/>
      <c r="B4" s="53" t="s">
        <v>48</v>
      </c>
      <c r="C4" s="53"/>
      <c r="D4" s="53"/>
      <c r="E4" s="53"/>
      <c r="F4" s="54"/>
      <c r="G4" s="54"/>
      <c r="H4" s="54"/>
      <c r="I4" s="53"/>
      <c r="J4" s="54"/>
      <c r="K4" s="53"/>
      <c r="N4" s="159" t="s">
        <v>62</v>
      </c>
      <c r="O4" s="160"/>
    </row>
    <row r="5" spans="1:15" x14ac:dyDescent="0.2">
      <c r="A5" s="53"/>
      <c r="B5" s="53" t="s">
        <v>147</v>
      </c>
      <c r="C5" s="53"/>
      <c r="D5" s="53"/>
      <c r="E5" s="53"/>
      <c r="F5" s="54"/>
      <c r="G5" s="54"/>
      <c r="H5" s="54"/>
      <c r="I5" s="53"/>
      <c r="J5" s="54"/>
      <c r="K5" s="53"/>
      <c r="N5" s="161"/>
      <c r="O5" s="162"/>
    </row>
    <row r="6" spans="1:15" x14ac:dyDescent="0.2">
      <c r="A6" s="53"/>
      <c r="B6" s="55"/>
      <c r="C6" s="53"/>
      <c r="D6" s="53"/>
      <c r="E6" s="53"/>
      <c r="F6" s="54"/>
      <c r="G6" s="54"/>
      <c r="H6" s="54"/>
      <c r="I6" s="53"/>
      <c r="J6" s="54"/>
      <c r="K6" s="53"/>
      <c r="N6" s="161"/>
      <c r="O6" s="162"/>
    </row>
    <row r="7" spans="1:15" x14ac:dyDescent="0.2">
      <c r="A7" s="53"/>
      <c r="B7" s="56" t="s">
        <v>49</v>
      </c>
      <c r="C7" s="53"/>
      <c r="D7" s="53"/>
      <c r="E7" s="53"/>
      <c r="F7" s="54"/>
      <c r="G7" s="54"/>
      <c r="H7" s="54"/>
      <c r="I7" s="53"/>
      <c r="J7" s="54"/>
      <c r="K7" s="53"/>
      <c r="N7" s="161"/>
      <c r="O7" s="162"/>
    </row>
    <row r="8" spans="1:15" x14ac:dyDescent="0.2">
      <c r="A8" s="54" t="s">
        <v>53</v>
      </c>
      <c r="B8" s="53" t="s">
        <v>56</v>
      </c>
      <c r="C8" s="53"/>
      <c r="D8" s="53"/>
      <c r="E8" s="53"/>
      <c r="F8" s="54"/>
      <c r="G8" s="54"/>
      <c r="H8" s="54"/>
      <c r="I8" s="53"/>
      <c r="J8" s="54"/>
      <c r="K8" s="53"/>
      <c r="N8" s="161"/>
      <c r="O8" s="162"/>
    </row>
    <row r="9" spans="1:15" x14ac:dyDescent="0.2">
      <c r="A9" s="54" t="s">
        <v>53</v>
      </c>
      <c r="B9" s="53" t="s">
        <v>51</v>
      </c>
      <c r="C9" s="53"/>
      <c r="D9" s="53"/>
      <c r="E9" s="53"/>
      <c r="F9" s="54"/>
      <c r="G9" s="54"/>
      <c r="H9" s="54"/>
      <c r="I9" s="53"/>
      <c r="J9" s="54"/>
      <c r="K9" s="53"/>
      <c r="N9" s="161"/>
      <c r="O9" s="162"/>
    </row>
    <row r="10" spans="1:15" x14ac:dyDescent="0.2">
      <c r="A10" s="57" t="s">
        <v>53</v>
      </c>
      <c r="B10" s="53" t="s">
        <v>52</v>
      </c>
      <c r="C10" s="53"/>
      <c r="D10" s="53"/>
      <c r="E10" s="53"/>
      <c r="F10" s="54"/>
      <c r="G10" s="54"/>
      <c r="H10" s="54"/>
      <c r="I10" s="53"/>
      <c r="J10" s="54"/>
      <c r="K10" s="53"/>
      <c r="N10" s="161"/>
      <c r="O10" s="162"/>
    </row>
    <row r="11" spans="1:15" x14ac:dyDescent="0.2">
      <c r="A11" s="54"/>
      <c r="B11" s="53" t="s">
        <v>58</v>
      </c>
      <c r="C11" s="53"/>
      <c r="D11" s="53"/>
      <c r="E11" s="53"/>
      <c r="F11" s="54"/>
      <c r="G11" s="54"/>
      <c r="H11" s="54"/>
      <c r="I11" s="53"/>
      <c r="J11" s="54"/>
      <c r="K11" s="53"/>
      <c r="N11" s="161"/>
      <c r="O11" s="162"/>
    </row>
    <row r="12" spans="1:15" x14ac:dyDescent="0.2">
      <c r="A12" s="54" t="s">
        <v>53</v>
      </c>
      <c r="B12" s="53" t="s">
        <v>54</v>
      </c>
      <c r="C12" s="53"/>
      <c r="D12" s="53"/>
      <c r="E12" s="53"/>
      <c r="F12" s="54"/>
      <c r="G12" s="54"/>
      <c r="H12" s="54"/>
      <c r="I12" s="53"/>
      <c r="J12" s="54"/>
      <c r="K12" s="53"/>
      <c r="N12" s="161"/>
      <c r="O12" s="162"/>
    </row>
    <row r="13" spans="1:15" ht="13.5" thickBot="1" x14ac:dyDescent="0.25">
      <c r="A13" s="53"/>
      <c r="B13" s="53" t="s">
        <v>55</v>
      </c>
      <c r="C13" s="53"/>
      <c r="D13" s="53"/>
      <c r="E13" s="53"/>
      <c r="F13" s="54"/>
      <c r="G13" s="54"/>
      <c r="H13" s="54"/>
      <c r="I13" s="53"/>
      <c r="J13" s="54"/>
      <c r="K13" s="53"/>
      <c r="N13" s="163"/>
      <c r="O13" s="164"/>
    </row>
    <row r="14" spans="1:15" x14ac:dyDescent="0.2">
      <c r="A14" s="54" t="s">
        <v>53</v>
      </c>
      <c r="B14" s="53" t="s">
        <v>50</v>
      </c>
      <c r="C14" s="53"/>
      <c r="D14" s="53"/>
      <c r="E14" s="53"/>
      <c r="F14" s="54"/>
      <c r="G14" s="54"/>
      <c r="H14" s="54"/>
      <c r="I14" s="53"/>
      <c r="J14" s="54"/>
      <c r="K14" s="53"/>
    </row>
    <row r="16" spans="1:15" x14ac:dyDescent="0.2">
      <c r="B16" s="50" t="s">
        <v>61</v>
      </c>
    </row>
    <row r="17" spans="1:15" s="47" customFormat="1" x14ac:dyDescent="0.2">
      <c r="A17" s="46">
        <v>1</v>
      </c>
      <c r="B17" s="46">
        <v>2</v>
      </c>
      <c r="C17" s="46">
        <v>3</v>
      </c>
      <c r="D17" s="46">
        <v>4</v>
      </c>
      <c r="E17" s="52">
        <v>5</v>
      </c>
      <c r="F17" s="46">
        <v>6</v>
      </c>
      <c r="G17" s="46">
        <v>7</v>
      </c>
      <c r="H17" s="46">
        <v>8</v>
      </c>
      <c r="I17" s="46">
        <v>9</v>
      </c>
      <c r="J17" s="46">
        <v>10</v>
      </c>
      <c r="K17" s="46">
        <v>11</v>
      </c>
      <c r="L17" s="46">
        <v>12</v>
      </c>
      <c r="M17" s="52">
        <v>13</v>
      </c>
      <c r="N17" s="52">
        <v>14</v>
      </c>
      <c r="O17" s="46">
        <v>15</v>
      </c>
    </row>
    <row r="18" spans="1:15" ht="16.5" customHeight="1" x14ac:dyDescent="0.2">
      <c r="A18" s="150" t="s">
        <v>8</v>
      </c>
      <c r="B18" s="152" t="s">
        <v>12</v>
      </c>
      <c r="C18" s="154" t="s">
        <v>9</v>
      </c>
      <c r="D18" s="154" t="s">
        <v>16</v>
      </c>
      <c r="E18" s="154" t="s">
        <v>46</v>
      </c>
      <c r="F18" s="155" t="s">
        <v>10</v>
      </c>
      <c r="G18" s="155" t="s">
        <v>11</v>
      </c>
      <c r="H18" s="157" t="s">
        <v>42</v>
      </c>
      <c r="I18" s="156" t="s">
        <v>57</v>
      </c>
      <c r="J18" s="156" t="str">
        <f>IF(MONTH($E$20)=10,"GRATIFICACION RECIBIDA EN JUL " &amp; YEAR($E$20),"GRATIFICACION RECIBIDA EN DIC " &amp; YEAR($E$20)-1)</f>
        <v>GRATIFICACION RECIBIDA EN DIC 2018</v>
      </c>
      <c r="K18" s="156" t="s">
        <v>17</v>
      </c>
      <c r="L18" s="156" t="s">
        <v>18</v>
      </c>
      <c r="M18" s="156" t="s">
        <v>14</v>
      </c>
      <c r="N18" s="156" t="s">
        <v>35</v>
      </c>
      <c r="O18" s="156" t="s">
        <v>20</v>
      </c>
    </row>
    <row r="19" spans="1:15" ht="19.899999999999999" customHeight="1" x14ac:dyDescent="0.2">
      <c r="A19" s="151"/>
      <c r="B19" s="153"/>
      <c r="C19" s="154"/>
      <c r="D19" s="154"/>
      <c r="E19" s="154"/>
      <c r="F19" s="151"/>
      <c r="G19" s="151"/>
      <c r="H19" s="158"/>
      <c r="I19" s="156"/>
      <c r="J19" s="151"/>
      <c r="K19" s="151"/>
      <c r="L19" s="151"/>
      <c r="M19" s="151"/>
      <c r="N19" s="151"/>
      <c r="O19" s="151"/>
    </row>
    <row r="20" spans="1:15" x14ac:dyDescent="0.2">
      <c r="A20" s="34">
        <v>1111</v>
      </c>
      <c r="B20" s="35" t="s">
        <v>24</v>
      </c>
      <c r="C20" s="36">
        <v>42583</v>
      </c>
      <c r="D20" s="36">
        <v>43405</v>
      </c>
      <c r="E20" s="48">
        <f>IF(D20&lt;&gt;"",EOMONTH(D20,5),"")</f>
        <v>43585</v>
      </c>
      <c r="F20" s="37">
        <v>4000</v>
      </c>
      <c r="G20" s="37"/>
      <c r="H20" s="37"/>
      <c r="I20" s="38"/>
      <c r="J20" s="37">
        <f>+(F20+G20)/5</f>
        <v>800</v>
      </c>
      <c r="K20" s="39" t="s">
        <v>29</v>
      </c>
      <c r="L20" s="34" t="s">
        <v>30</v>
      </c>
      <c r="M20" s="49">
        <f t="shared" ref="M20:M24" si="0">IF(C20&gt;D20,QUOTIENT(DAYS360(C20,E20),30),6)</f>
        <v>6</v>
      </c>
      <c r="N20" s="49">
        <f t="shared" ref="N20:N24" si="1">IF(C20&gt;D20,MOD(DAYS360(C20,E20),30),0)</f>
        <v>0</v>
      </c>
      <c r="O20" s="40">
        <v>49774689</v>
      </c>
    </row>
    <row r="21" spans="1:15" x14ac:dyDescent="0.2">
      <c r="A21" s="34">
        <v>1112</v>
      </c>
      <c r="B21" s="35" t="s">
        <v>25</v>
      </c>
      <c r="C21" s="36">
        <v>42705</v>
      </c>
      <c r="D21" s="36">
        <v>43405</v>
      </c>
      <c r="E21" s="48">
        <f>IF(D21&lt;&gt;"",EOMONTH(D21,5),"")</f>
        <v>43585</v>
      </c>
      <c r="F21" s="37">
        <v>3000</v>
      </c>
      <c r="G21" s="37"/>
      <c r="H21" s="37"/>
      <c r="I21" s="38"/>
      <c r="J21" s="37">
        <f>+((F21+G21)/6)*1</f>
        <v>500</v>
      </c>
      <c r="K21" s="39" t="s">
        <v>29</v>
      </c>
      <c r="L21" s="34" t="s">
        <v>31</v>
      </c>
      <c r="M21" s="49">
        <f t="shared" si="0"/>
        <v>6</v>
      </c>
      <c r="N21" s="49">
        <f t="shared" si="1"/>
        <v>0</v>
      </c>
      <c r="O21" s="40">
        <v>46562197</v>
      </c>
    </row>
    <row r="22" spans="1:15" x14ac:dyDescent="0.2">
      <c r="A22" s="34">
        <v>1113</v>
      </c>
      <c r="B22" s="35" t="s">
        <v>26</v>
      </c>
      <c r="C22" s="36">
        <v>42125</v>
      </c>
      <c r="D22" s="36">
        <v>43405</v>
      </c>
      <c r="E22" s="48">
        <f t="shared" ref="E22:E30" si="2">IF(D22&lt;&gt;"",EOMONTH(D22,5),"")</f>
        <v>43585</v>
      </c>
      <c r="F22" s="37">
        <v>3000</v>
      </c>
      <c r="G22" s="37"/>
      <c r="H22" s="37"/>
      <c r="I22" s="38"/>
      <c r="J22" s="37">
        <v>3085</v>
      </c>
      <c r="K22" s="39" t="s">
        <v>29</v>
      </c>
      <c r="L22" s="34" t="s">
        <v>32</v>
      </c>
      <c r="M22" s="49">
        <f t="shared" si="0"/>
        <v>6</v>
      </c>
      <c r="N22" s="49">
        <f t="shared" si="1"/>
        <v>0</v>
      </c>
      <c r="O22" s="40">
        <v>48128731</v>
      </c>
    </row>
    <row r="23" spans="1:15" x14ac:dyDescent="0.2">
      <c r="A23" s="34">
        <v>1114</v>
      </c>
      <c r="B23" s="35" t="s">
        <v>27</v>
      </c>
      <c r="C23" s="36">
        <v>42749</v>
      </c>
      <c r="D23" s="36">
        <v>43405</v>
      </c>
      <c r="E23" s="48">
        <f t="shared" si="2"/>
        <v>43585</v>
      </c>
      <c r="F23" s="37">
        <v>2500</v>
      </c>
      <c r="G23" s="37"/>
      <c r="H23" s="37"/>
      <c r="I23" s="38"/>
      <c r="J23" s="37">
        <v>2500</v>
      </c>
      <c r="K23" s="39" t="s">
        <v>29</v>
      </c>
      <c r="L23" s="34" t="s">
        <v>33</v>
      </c>
      <c r="M23" s="49">
        <f t="shared" si="0"/>
        <v>6</v>
      </c>
      <c r="N23" s="49">
        <f t="shared" si="1"/>
        <v>0</v>
      </c>
      <c r="O23" s="40">
        <v>46258222</v>
      </c>
    </row>
    <row r="24" spans="1:15" x14ac:dyDescent="0.2">
      <c r="A24" s="34">
        <v>1115</v>
      </c>
      <c r="B24" s="35" t="s">
        <v>28</v>
      </c>
      <c r="C24" s="36">
        <v>42736</v>
      </c>
      <c r="D24" s="36">
        <v>43405</v>
      </c>
      <c r="E24" s="48">
        <f t="shared" si="2"/>
        <v>43585</v>
      </c>
      <c r="F24" s="37">
        <v>2500</v>
      </c>
      <c r="G24" s="37"/>
      <c r="H24" s="37">
        <v>180</v>
      </c>
      <c r="I24" s="38">
        <v>2760</v>
      </c>
      <c r="J24" s="37">
        <v>2593</v>
      </c>
      <c r="K24" s="39" t="s">
        <v>29</v>
      </c>
      <c r="L24" s="34" t="s">
        <v>34</v>
      </c>
      <c r="M24" s="49">
        <f t="shared" si="0"/>
        <v>6</v>
      </c>
      <c r="N24" s="49">
        <f t="shared" si="1"/>
        <v>0</v>
      </c>
      <c r="O24" s="40">
        <v>45314466</v>
      </c>
    </row>
    <row r="25" spans="1:15" x14ac:dyDescent="0.2">
      <c r="A25" s="34">
        <v>1116</v>
      </c>
      <c r="B25" s="35"/>
      <c r="C25" s="36"/>
      <c r="D25" s="36"/>
      <c r="E25" s="48"/>
      <c r="F25" s="37"/>
      <c r="G25" s="37"/>
      <c r="H25" s="37"/>
      <c r="I25" s="38"/>
      <c r="J25" s="37"/>
      <c r="K25" s="39"/>
      <c r="L25" s="34"/>
      <c r="M25" s="49"/>
      <c r="N25" s="49"/>
      <c r="O25" s="40"/>
    </row>
    <row r="26" spans="1:15" x14ac:dyDescent="0.2">
      <c r="A26" s="34">
        <v>1117</v>
      </c>
      <c r="B26" s="35"/>
      <c r="C26" s="36"/>
      <c r="D26" s="36"/>
      <c r="E26" s="48"/>
      <c r="F26" s="37"/>
      <c r="G26" s="37"/>
      <c r="H26" s="37"/>
      <c r="I26" s="38"/>
      <c r="J26" s="37"/>
      <c r="K26" s="39"/>
      <c r="L26" s="34"/>
      <c r="M26" s="49"/>
      <c r="N26" s="49"/>
      <c r="O26" s="40"/>
    </row>
    <row r="27" spans="1:15" x14ac:dyDescent="0.2">
      <c r="A27" s="34">
        <v>1118</v>
      </c>
      <c r="B27" s="35"/>
      <c r="C27" s="36"/>
      <c r="D27" s="36"/>
      <c r="E27" s="48"/>
      <c r="F27" s="37"/>
      <c r="G27" s="37"/>
      <c r="H27" s="37"/>
      <c r="I27" s="38"/>
      <c r="J27" s="37"/>
      <c r="K27" s="39"/>
      <c r="L27" s="34"/>
      <c r="M27" s="49"/>
      <c r="N27" s="49"/>
      <c r="O27" s="40"/>
    </row>
    <row r="28" spans="1:15" x14ac:dyDescent="0.2">
      <c r="A28" s="34">
        <v>1119</v>
      </c>
      <c r="B28" s="35"/>
      <c r="C28" s="36"/>
      <c r="D28" s="36"/>
      <c r="E28" s="48" t="str">
        <f t="shared" si="2"/>
        <v/>
      </c>
      <c r="F28" s="37"/>
      <c r="G28" s="37"/>
      <c r="H28" s="37"/>
      <c r="I28" s="38"/>
      <c r="J28" s="37"/>
      <c r="K28" s="39"/>
      <c r="L28" s="34"/>
      <c r="M28" s="49"/>
      <c r="N28" s="49"/>
      <c r="O28" s="40"/>
    </row>
    <row r="29" spans="1:15" x14ac:dyDescent="0.2">
      <c r="A29" s="34">
        <v>1120</v>
      </c>
      <c r="B29" s="35"/>
      <c r="C29" s="36"/>
      <c r="D29" s="36"/>
      <c r="E29" s="48" t="str">
        <f t="shared" si="2"/>
        <v/>
      </c>
      <c r="F29" s="37"/>
      <c r="G29" s="37"/>
      <c r="H29" s="37"/>
      <c r="I29" s="38"/>
      <c r="J29" s="37"/>
      <c r="K29" s="39"/>
      <c r="L29" s="34"/>
      <c r="M29" s="49"/>
      <c r="N29" s="49"/>
      <c r="O29" s="40"/>
    </row>
    <row r="30" spans="1:15" x14ac:dyDescent="0.2">
      <c r="A30" s="34">
        <v>1121</v>
      </c>
      <c r="B30" s="35"/>
      <c r="C30" s="36"/>
      <c r="D30" s="36"/>
      <c r="E30" s="48" t="str">
        <f t="shared" si="2"/>
        <v/>
      </c>
      <c r="F30" s="37"/>
      <c r="G30" s="37"/>
      <c r="H30" s="37"/>
      <c r="I30" s="38"/>
      <c r="J30" s="37"/>
      <c r="K30" s="39"/>
      <c r="L30" s="34"/>
      <c r="M30" s="49"/>
      <c r="N30" s="49"/>
      <c r="O30" s="40"/>
    </row>
    <row r="31" spans="1:15" x14ac:dyDescent="0.2">
      <c r="A31" s="34">
        <v>1122</v>
      </c>
      <c r="B31" s="35"/>
      <c r="C31" s="36"/>
      <c r="D31" s="36"/>
      <c r="E31" s="48" t="str">
        <f t="shared" ref="E31:E94" si="3">IF(D31&lt;&gt;"",EOMONTH(D31,5),"")</f>
        <v/>
      </c>
      <c r="F31" s="37"/>
      <c r="G31" s="37"/>
      <c r="H31" s="37"/>
      <c r="I31" s="38"/>
      <c r="J31" s="37"/>
      <c r="K31" s="39"/>
      <c r="L31" s="34"/>
      <c r="M31" s="49"/>
      <c r="N31" s="49"/>
      <c r="O31" s="40"/>
    </row>
    <row r="32" spans="1:15" x14ac:dyDescent="0.2">
      <c r="A32" s="34">
        <v>1123</v>
      </c>
      <c r="B32" s="35"/>
      <c r="C32" s="36"/>
      <c r="D32" s="36"/>
      <c r="E32" s="48" t="str">
        <f t="shared" si="3"/>
        <v/>
      </c>
      <c r="F32" s="37"/>
      <c r="G32" s="37"/>
      <c r="H32" s="37"/>
      <c r="I32" s="38"/>
      <c r="J32" s="37"/>
      <c r="K32" s="39"/>
      <c r="L32" s="34"/>
      <c r="M32" s="49"/>
      <c r="N32" s="49"/>
      <c r="O32" s="40"/>
    </row>
    <row r="33" spans="1:15" x14ac:dyDescent="0.2">
      <c r="A33" s="34">
        <v>1124</v>
      </c>
      <c r="B33" s="35"/>
      <c r="C33" s="36"/>
      <c r="D33" s="36"/>
      <c r="E33" s="48" t="str">
        <f t="shared" si="3"/>
        <v/>
      </c>
      <c r="F33" s="37"/>
      <c r="G33" s="37"/>
      <c r="H33" s="37"/>
      <c r="I33" s="38"/>
      <c r="J33" s="37"/>
      <c r="K33" s="39"/>
      <c r="L33" s="34"/>
      <c r="M33" s="49"/>
      <c r="N33" s="49"/>
      <c r="O33" s="40"/>
    </row>
    <row r="34" spans="1:15" x14ac:dyDescent="0.2">
      <c r="A34" s="34">
        <v>1125</v>
      </c>
      <c r="B34" s="35"/>
      <c r="C34" s="36"/>
      <c r="D34" s="36"/>
      <c r="E34" s="48" t="str">
        <f t="shared" si="3"/>
        <v/>
      </c>
      <c r="F34" s="37"/>
      <c r="G34" s="37"/>
      <c r="H34" s="37"/>
      <c r="I34" s="38"/>
      <c r="J34" s="37"/>
      <c r="K34" s="39"/>
      <c r="L34" s="34"/>
      <c r="M34" s="49"/>
      <c r="N34" s="49"/>
      <c r="O34" s="40"/>
    </row>
    <row r="35" spans="1:15" x14ac:dyDescent="0.2">
      <c r="A35" s="34">
        <v>1126</v>
      </c>
      <c r="B35" s="35"/>
      <c r="C35" s="36"/>
      <c r="D35" s="36"/>
      <c r="E35" s="48" t="str">
        <f t="shared" si="3"/>
        <v/>
      </c>
      <c r="F35" s="37"/>
      <c r="G35" s="37"/>
      <c r="H35" s="37"/>
      <c r="I35" s="38"/>
      <c r="J35" s="37"/>
      <c r="K35" s="39"/>
      <c r="L35" s="34"/>
      <c r="M35" s="49"/>
      <c r="N35" s="49"/>
      <c r="O35" s="40"/>
    </row>
    <row r="36" spans="1:15" x14ac:dyDescent="0.2">
      <c r="A36" s="34">
        <v>1127</v>
      </c>
      <c r="B36" s="35"/>
      <c r="C36" s="36"/>
      <c r="D36" s="36"/>
      <c r="E36" s="48" t="str">
        <f t="shared" si="3"/>
        <v/>
      </c>
      <c r="F36" s="37"/>
      <c r="G36" s="37"/>
      <c r="H36" s="37"/>
      <c r="I36" s="38"/>
      <c r="J36" s="37"/>
      <c r="K36" s="39"/>
      <c r="L36" s="34"/>
      <c r="M36" s="49"/>
      <c r="N36" s="49"/>
      <c r="O36" s="40"/>
    </row>
    <row r="37" spans="1:15" x14ac:dyDescent="0.2">
      <c r="A37" s="34">
        <v>1128</v>
      </c>
      <c r="B37" s="35"/>
      <c r="C37" s="36"/>
      <c r="D37" s="36"/>
      <c r="E37" s="48" t="str">
        <f t="shared" si="3"/>
        <v/>
      </c>
      <c r="F37" s="37"/>
      <c r="G37" s="37"/>
      <c r="H37" s="37"/>
      <c r="I37" s="38"/>
      <c r="J37" s="37"/>
      <c r="K37" s="39"/>
      <c r="L37" s="34"/>
      <c r="M37" s="49"/>
      <c r="N37" s="49"/>
      <c r="O37" s="40"/>
    </row>
    <row r="38" spans="1:15" x14ac:dyDescent="0.2">
      <c r="A38" s="34">
        <v>1129</v>
      </c>
      <c r="B38" s="35"/>
      <c r="C38" s="36"/>
      <c r="D38" s="36"/>
      <c r="E38" s="48" t="str">
        <f t="shared" si="3"/>
        <v/>
      </c>
      <c r="F38" s="37"/>
      <c r="G38" s="37"/>
      <c r="H38" s="37"/>
      <c r="I38" s="38"/>
      <c r="J38" s="37"/>
      <c r="K38" s="39"/>
      <c r="L38" s="34"/>
      <c r="M38" s="49"/>
      <c r="N38" s="49"/>
      <c r="O38" s="40"/>
    </row>
    <row r="39" spans="1:15" x14ac:dyDescent="0.2">
      <c r="A39" s="34">
        <v>1130</v>
      </c>
      <c r="B39" s="35"/>
      <c r="C39" s="36"/>
      <c r="D39" s="36"/>
      <c r="E39" s="48" t="str">
        <f t="shared" si="3"/>
        <v/>
      </c>
      <c r="F39" s="37"/>
      <c r="G39" s="37"/>
      <c r="H39" s="37"/>
      <c r="I39" s="38"/>
      <c r="J39" s="37"/>
      <c r="K39" s="39"/>
      <c r="L39" s="34"/>
      <c r="M39" s="49"/>
      <c r="N39" s="49"/>
      <c r="O39" s="40"/>
    </row>
    <row r="40" spans="1:15" x14ac:dyDescent="0.2">
      <c r="A40" s="34">
        <v>1131</v>
      </c>
      <c r="B40" s="35"/>
      <c r="C40" s="36"/>
      <c r="D40" s="36"/>
      <c r="E40" s="48" t="str">
        <f t="shared" si="3"/>
        <v/>
      </c>
      <c r="F40" s="37"/>
      <c r="G40" s="37"/>
      <c r="H40" s="37"/>
      <c r="I40" s="38"/>
      <c r="J40" s="37"/>
      <c r="K40" s="39"/>
      <c r="L40" s="34"/>
      <c r="M40" s="49"/>
      <c r="N40" s="49"/>
      <c r="O40" s="40"/>
    </row>
    <row r="41" spans="1:15" x14ac:dyDescent="0.2">
      <c r="A41" s="34">
        <v>1132</v>
      </c>
      <c r="B41" s="35"/>
      <c r="C41" s="36"/>
      <c r="D41" s="36"/>
      <c r="E41" s="48" t="str">
        <f t="shared" si="3"/>
        <v/>
      </c>
      <c r="F41" s="37"/>
      <c r="G41" s="37"/>
      <c r="H41" s="37"/>
      <c r="I41" s="38"/>
      <c r="J41" s="37"/>
      <c r="K41" s="39"/>
      <c r="L41" s="34"/>
      <c r="M41" s="49"/>
      <c r="N41" s="49"/>
      <c r="O41" s="40"/>
    </row>
    <row r="42" spans="1:15" x14ac:dyDescent="0.2">
      <c r="A42" s="34">
        <v>1133</v>
      </c>
      <c r="B42" s="35"/>
      <c r="C42" s="36"/>
      <c r="D42" s="36"/>
      <c r="E42" s="48" t="str">
        <f t="shared" si="3"/>
        <v/>
      </c>
      <c r="F42" s="37"/>
      <c r="G42" s="37"/>
      <c r="H42" s="37"/>
      <c r="I42" s="38"/>
      <c r="J42" s="37"/>
      <c r="K42" s="39"/>
      <c r="L42" s="34"/>
      <c r="M42" s="49"/>
      <c r="N42" s="49"/>
      <c r="O42" s="40"/>
    </row>
    <row r="43" spans="1:15" x14ac:dyDescent="0.2">
      <c r="A43" s="34">
        <v>1134</v>
      </c>
      <c r="B43" s="35"/>
      <c r="C43" s="36"/>
      <c r="D43" s="36"/>
      <c r="E43" s="48" t="str">
        <f t="shared" si="3"/>
        <v/>
      </c>
      <c r="F43" s="37"/>
      <c r="G43" s="37"/>
      <c r="H43" s="37"/>
      <c r="I43" s="38"/>
      <c r="J43" s="37"/>
      <c r="K43" s="39"/>
      <c r="L43" s="34"/>
      <c r="M43" s="49"/>
      <c r="N43" s="49"/>
      <c r="O43" s="40"/>
    </row>
    <row r="44" spans="1:15" x14ac:dyDescent="0.2">
      <c r="A44" s="34">
        <v>1135</v>
      </c>
      <c r="B44" s="35"/>
      <c r="C44" s="36"/>
      <c r="D44" s="36"/>
      <c r="E44" s="48" t="str">
        <f t="shared" si="3"/>
        <v/>
      </c>
      <c r="F44" s="37"/>
      <c r="G44" s="37"/>
      <c r="H44" s="37"/>
      <c r="I44" s="38"/>
      <c r="J44" s="37"/>
      <c r="K44" s="39"/>
      <c r="L44" s="34"/>
      <c r="M44" s="49"/>
      <c r="N44" s="49"/>
      <c r="O44" s="40"/>
    </row>
    <row r="45" spans="1:15" x14ac:dyDescent="0.2">
      <c r="A45" s="34">
        <v>1136</v>
      </c>
      <c r="B45" s="35"/>
      <c r="C45" s="36"/>
      <c r="D45" s="36"/>
      <c r="E45" s="48" t="str">
        <f t="shared" si="3"/>
        <v/>
      </c>
      <c r="F45" s="37"/>
      <c r="G45" s="37"/>
      <c r="H45" s="37"/>
      <c r="I45" s="38"/>
      <c r="J45" s="37"/>
      <c r="K45" s="39"/>
      <c r="L45" s="34"/>
      <c r="M45" s="49"/>
      <c r="N45" s="49"/>
      <c r="O45" s="40"/>
    </row>
    <row r="46" spans="1:15" x14ac:dyDescent="0.2">
      <c r="A46" s="34">
        <v>1137</v>
      </c>
      <c r="B46" s="35"/>
      <c r="C46" s="36"/>
      <c r="D46" s="36"/>
      <c r="E46" s="48" t="str">
        <f t="shared" si="3"/>
        <v/>
      </c>
      <c r="F46" s="37"/>
      <c r="G46" s="37"/>
      <c r="H46" s="37"/>
      <c r="I46" s="38"/>
      <c r="J46" s="37"/>
      <c r="K46" s="39"/>
      <c r="L46" s="34"/>
      <c r="M46" s="49"/>
      <c r="N46" s="49"/>
      <c r="O46" s="40"/>
    </row>
    <row r="47" spans="1:15" x14ac:dyDescent="0.2">
      <c r="A47" s="34">
        <v>1138</v>
      </c>
      <c r="B47" s="35"/>
      <c r="C47" s="36"/>
      <c r="D47" s="36"/>
      <c r="E47" s="48" t="str">
        <f t="shared" si="3"/>
        <v/>
      </c>
      <c r="F47" s="37"/>
      <c r="G47" s="37"/>
      <c r="H47" s="37"/>
      <c r="I47" s="38"/>
      <c r="J47" s="37"/>
      <c r="K47" s="39"/>
      <c r="L47" s="34"/>
      <c r="M47" s="49"/>
      <c r="N47" s="49"/>
      <c r="O47" s="40"/>
    </row>
    <row r="48" spans="1:15" x14ac:dyDescent="0.2">
      <c r="A48" s="34">
        <v>1139</v>
      </c>
      <c r="B48" s="35"/>
      <c r="C48" s="36"/>
      <c r="D48" s="36"/>
      <c r="E48" s="48" t="str">
        <f t="shared" si="3"/>
        <v/>
      </c>
      <c r="F48" s="37"/>
      <c r="G48" s="37"/>
      <c r="H48" s="37"/>
      <c r="I48" s="38"/>
      <c r="J48" s="37"/>
      <c r="K48" s="39"/>
      <c r="L48" s="34"/>
      <c r="M48" s="49"/>
      <c r="N48" s="49"/>
      <c r="O48" s="40"/>
    </row>
    <row r="49" spans="1:15" x14ac:dyDescent="0.2">
      <c r="A49" s="34">
        <v>1140</v>
      </c>
      <c r="B49" s="35"/>
      <c r="C49" s="36"/>
      <c r="D49" s="36"/>
      <c r="E49" s="48" t="str">
        <f t="shared" si="3"/>
        <v/>
      </c>
      <c r="F49" s="37"/>
      <c r="G49" s="37"/>
      <c r="H49" s="37"/>
      <c r="I49" s="38"/>
      <c r="J49" s="37"/>
      <c r="K49" s="39"/>
      <c r="L49" s="34"/>
      <c r="M49" s="49"/>
      <c r="N49" s="49"/>
      <c r="O49" s="40"/>
    </row>
    <row r="50" spans="1:15" x14ac:dyDescent="0.2">
      <c r="A50" s="34">
        <v>1141</v>
      </c>
      <c r="B50" s="35"/>
      <c r="C50" s="36"/>
      <c r="D50" s="36"/>
      <c r="E50" s="48" t="str">
        <f t="shared" si="3"/>
        <v/>
      </c>
      <c r="F50" s="37"/>
      <c r="G50" s="37"/>
      <c r="H50" s="37"/>
      <c r="I50" s="38"/>
      <c r="J50" s="37"/>
      <c r="K50" s="39"/>
      <c r="L50" s="34"/>
      <c r="M50" s="49"/>
      <c r="N50" s="49"/>
      <c r="O50" s="40"/>
    </row>
    <row r="51" spans="1:15" x14ac:dyDescent="0.2">
      <c r="A51" s="34">
        <v>1142</v>
      </c>
      <c r="B51" s="35"/>
      <c r="C51" s="36"/>
      <c r="D51" s="36"/>
      <c r="E51" s="48" t="str">
        <f t="shared" si="3"/>
        <v/>
      </c>
      <c r="F51" s="37"/>
      <c r="G51" s="37"/>
      <c r="H51" s="37"/>
      <c r="I51" s="38"/>
      <c r="J51" s="37"/>
      <c r="K51" s="39"/>
      <c r="L51" s="34"/>
      <c r="M51" s="49"/>
      <c r="N51" s="49"/>
      <c r="O51" s="40"/>
    </row>
    <row r="52" spans="1:15" x14ac:dyDescent="0.2">
      <c r="A52" s="34">
        <v>1143</v>
      </c>
      <c r="B52" s="35"/>
      <c r="C52" s="36"/>
      <c r="D52" s="36"/>
      <c r="E52" s="48" t="str">
        <f t="shared" si="3"/>
        <v/>
      </c>
      <c r="F52" s="37"/>
      <c r="G52" s="37"/>
      <c r="H52" s="37"/>
      <c r="I52" s="38"/>
      <c r="J52" s="37"/>
      <c r="K52" s="39"/>
      <c r="L52" s="34"/>
      <c r="M52" s="49"/>
      <c r="N52" s="49"/>
      <c r="O52" s="40"/>
    </row>
    <row r="53" spans="1:15" x14ac:dyDescent="0.2">
      <c r="A53" s="34">
        <v>1144</v>
      </c>
      <c r="B53" s="35"/>
      <c r="C53" s="36"/>
      <c r="D53" s="36"/>
      <c r="E53" s="48" t="str">
        <f t="shared" si="3"/>
        <v/>
      </c>
      <c r="F53" s="37"/>
      <c r="G53" s="37"/>
      <c r="H53" s="37"/>
      <c r="I53" s="38"/>
      <c r="J53" s="37"/>
      <c r="K53" s="39"/>
      <c r="L53" s="34"/>
      <c r="M53" s="49"/>
      <c r="N53" s="49"/>
      <c r="O53" s="40"/>
    </row>
    <row r="54" spans="1:15" x14ac:dyDescent="0.2">
      <c r="A54" s="34">
        <v>1145</v>
      </c>
      <c r="B54" s="35"/>
      <c r="C54" s="36"/>
      <c r="D54" s="36"/>
      <c r="E54" s="48" t="str">
        <f t="shared" si="3"/>
        <v/>
      </c>
      <c r="F54" s="37"/>
      <c r="G54" s="37"/>
      <c r="H54" s="37"/>
      <c r="I54" s="38"/>
      <c r="J54" s="37"/>
      <c r="K54" s="39"/>
      <c r="L54" s="34"/>
      <c r="M54" s="49"/>
      <c r="N54" s="49"/>
      <c r="O54" s="40"/>
    </row>
    <row r="55" spans="1:15" x14ac:dyDescent="0.2">
      <c r="A55" s="34">
        <v>1146</v>
      </c>
      <c r="B55" s="35"/>
      <c r="C55" s="36"/>
      <c r="D55" s="36"/>
      <c r="E55" s="48" t="str">
        <f t="shared" si="3"/>
        <v/>
      </c>
      <c r="F55" s="37"/>
      <c r="G55" s="37"/>
      <c r="H55" s="37"/>
      <c r="I55" s="38"/>
      <c r="J55" s="37"/>
      <c r="K55" s="39"/>
      <c r="L55" s="34"/>
      <c r="M55" s="49"/>
      <c r="N55" s="49"/>
      <c r="O55" s="40"/>
    </row>
    <row r="56" spans="1:15" x14ac:dyDescent="0.2">
      <c r="A56" s="34">
        <v>1147</v>
      </c>
      <c r="B56" s="35"/>
      <c r="C56" s="36"/>
      <c r="D56" s="36"/>
      <c r="E56" s="48" t="str">
        <f t="shared" si="3"/>
        <v/>
      </c>
      <c r="F56" s="37"/>
      <c r="G56" s="37"/>
      <c r="H56" s="37"/>
      <c r="I56" s="38"/>
      <c r="J56" s="37"/>
      <c r="K56" s="39"/>
      <c r="L56" s="34"/>
      <c r="M56" s="49"/>
      <c r="N56" s="49"/>
      <c r="O56" s="40"/>
    </row>
    <row r="57" spans="1:15" x14ac:dyDescent="0.2">
      <c r="A57" s="34">
        <v>1148</v>
      </c>
      <c r="B57" s="35"/>
      <c r="C57" s="36"/>
      <c r="D57" s="36"/>
      <c r="E57" s="48" t="str">
        <f t="shared" si="3"/>
        <v/>
      </c>
      <c r="F57" s="37"/>
      <c r="G57" s="37"/>
      <c r="H57" s="37"/>
      <c r="I57" s="38"/>
      <c r="J57" s="37"/>
      <c r="K57" s="39"/>
      <c r="L57" s="34"/>
      <c r="M57" s="49"/>
      <c r="N57" s="49"/>
      <c r="O57" s="40"/>
    </row>
    <row r="58" spans="1:15" x14ac:dyDescent="0.2">
      <c r="A58" s="34">
        <v>1149</v>
      </c>
      <c r="B58" s="35"/>
      <c r="C58" s="36"/>
      <c r="D58" s="36"/>
      <c r="E58" s="48" t="str">
        <f t="shared" si="3"/>
        <v/>
      </c>
      <c r="F58" s="37"/>
      <c r="G58" s="37"/>
      <c r="H58" s="37"/>
      <c r="I58" s="38"/>
      <c r="J58" s="37"/>
      <c r="K58" s="39"/>
      <c r="L58" s="34"/>
      <c r="M58" s="49"/>
      <c r="N58" s="49"/>
      <c r="O58" s="40"/>
    </row>
    <row r="59" spans="1:15" x14ac:dyDescent="0.2">
      <c r="A59" s="34">
        <v>1150</v>
      </c>
      <c r="B59" s="35"/>
      <c r="C59" s="36"/>
      <c r="D59" s="36"/>
      <c r="E59" s="48" t="str">
        <f t="shared" si="3"/>
        <v/>
      </c>
      <c r="F59" s="37"/>
      <c r="G59" s="37"/>
      <c r="H59" s="37"/>
      <c r="I59" s="38"/>
      <c r="J59" s="37"/>
      <c r="K59" s="39"/>
      <c r="L59" s="34"/>
      <c r="M59" s="49"/>
      <c r="N59" s="49"/>
      <c r="O59" s="40"/>
    </row>
    <row r="60" spans="1:15" x14ac:dyDescent="0.2">
      <c r="A60" s="34">
        <v>1151</v>
      </c>
      <c r="B60" s="35"/>
      <c r="C60" s="36"/>
      <c r="D60" s="36"/>
      <c r="E60" s="48" t="str">
        <f t="shared" si="3"/>
        <v/>
      </c>
      <c r="F60" s="37"/>
      <c r="G60" s="37"/>
      <c r="H60" s="37"/>
      <c r="I60" s="38"/>
      <c r="J60" s="37"/>
      <c r="K60" s="39"/>
      <c r="L60" s="34"/>
      <c r="M60" s="49"/>
      <c r="N60" s="49"/>
      <c r="O60" s="40"/>
    </row>
    <row r="61" spans="1:15" x14ac:dyDescent="0.2">
      <c r="A61" s="34">
        <v>1152</v>
      </c>
      <c r="B61" s="35"/>
      <c r="C61" s="36"/>
      <c r="D61" s="36"/>
      <c r="E61" s="48" t="str">
        <f t="shared" si="3"/>
        <v/>
      </c>
      <c r="F61" s="37"/>
      <c r="G61" s="37"/>
      <c r="H61" s="37"/>
      <c r="I61" s="38"/>
      <c r="J61" s="37"/>
      <c r="K61" s="39"/>
      <c r="L61" s="34"/>
      <c r="M61" s="49"/>
      <c r="N61" s="49"/>
      <c r="O61" s="40"/>
    </row>
    <row r="62" spans="1:15" x14ac:dyDescent="0.2">
      <c r="A62" s="34">
        <v>1153</v>
      </c>
      <c r="B62" s="35"/>
      <c r="C62" s="36"/>
      <c r="D62" s="36"/>
      <c r="E62" s="48" t="str">
        <f t="shared" si="3"/>
        <v/>
      </c>
      <c r="F62" s="37"/>
      <c r="G62" s="37"/>
      <c r="H62" s="37"/>
      <c r="I62" s="38"/>
      <c r="J62" s="37"/>
      <c r="K62" s="39"/>
      <c r="L62" s="34"/>
      <c r="M62" s="49"/>
      <c r="N62" s="49"/>
      <c r="O62" s="40"/>
    </row>
    <row r="63" spans="1:15" x14ac:dyDescent="0.2">
      <c r="A63" s="34">
        <v>1154</v>
      </c>
      <c r="B63" s="35"/>
      <c r="C63" s="36"/>
      <c r="D63" s="36"/>
      <c r="E63" s="48" t="str">
        <f t="shared" si="3"/>
        <v/>
      </c>
      <c r="F63" s="37"/>
      <c r="G63" s="37"/>
      <c r="H63" s="37"/>
      <c r="I63" s="38"/>
      <c r="J63" s="37"/>
      <c r="K63" s="39"/>
      <c r="L63" s="34"/>
      <c r="M63" s="49"/>
      <c r="N63" s="49"/>
      <c r="O63" s="40"/>
    </row>
    <row r="64" spans="1:15" x14ac:dyDescent="0.2">
      <c r="A64" s="34">
        <v>1155</v>
      </c>
      <c r="B64" s="35"/>
      <c r="C64" s="36"/>
      <c r="D64" s="36"/>
      <c r="E64" s="48" t="str">
        <f t="shared" si="3"/>
        <v/>
      </c>
      <c r="F64" s="37"/>
      <c r="G64" s="37"/>
      <c r="H64" s="37"/>
      <c r="I64" s="38"/>
      <c r="J64" s="37"/>
      <c r="K64" s="39"/>
      <c r="L64" s="34"/>
      <c r="M64" s="49"/>
      <c r="N64" s="49"/>
      <c r="O64" s="40"/>
    </row>
    <row r="65" spans="1:15" x14ac:dyDescent="0.2">
      <c r="A65" s="34">
        <v>1156</v>
      </c>
      <c r="B65" s="35"/>
      <c r="C65" s="36"/>
      <c r="D65" s="36"/>
      <c r="E65" s="48" t="str">
        <f t="shared" si="3"/>
        <v/>
      </c>
      <c r="F65" s="37"/>
      <c r="G65" s="37"/>
      <c r="H65" s="37"/>
      <c r="I65" s="38"/>
      <c r="J65" s="37"/>
      <c r="K65" s="39"/>
      <c r="L65" s="34"/>
      <c r="M65" s="49"/>
      <c r="N65" s="49"/>
      <c r="O65" s="40"/>
    </row>
    <row r="66" spans="1:15" x14ac:dyDescent="0.2">
      <c r="A66" s="34">
        <v>1157</v>
      </c>
      <c r="B66" s="35"/>
      <c r="C66" s="36"/>
      <c r="D66" s="36"/>
      <c r="E66" s="48" t="str">
        <f t="shared" si="3"/>
        <v/>
      </c>
      <c r="F66" s="37"/>
      <c r="G66" s="37"/>
      <c r="H66" s="37"/>
      <c r="I66" s="38"/>
      <c r="J66" s="37"/>
      <c r="K66" s="39"/>
      <c r="L66" s="34"/>
      <c r="M66" s="49"/>
      <c r="N66" s="49"/>
      <c r="O66" s="40"/>
    </row>
    <row r="67" spans="1:15" x14ac:dyDescent="0.2">
      <c r="A67" s="34">
        <v>1158</v>
      </c>
      <c r="B67" s="35"/>
      <c r="C67" s="36"/>
      <c r="D67" s="36"/>
      <c r="E67" s="48" t="str">
        <f t="shared" si="3"/>
        <v/>
      </c>
      <c r="F67" s="37"/>
      <c r="G67" s="37"/>
      <c r="H67" s="37"/>
      <c r="I67" s="38"/>
      <c r="J67" s="37"/>
      <c r="K67" s="39"/>
      <c r="L67" s="34"/>
      <c r="M67" s="49"/>
      <c r="N67" s="49"/>
      <c r="O67" s="40"/>
    </row>
    <row r="68" spans="1:15" x14ac:dyDescent="0.2">
      <c r="A68" s="34">
        <v>1159</v>
      </c>
      <c r="B68" s="35"/>
      <c r="C68" s="36"/>
      <c r="D68" s="36"/>
      <c r="E68" s="48" t="str">
        <f t="shared" si="3"/>
        <v/>
      </c>
      <c r="F68" s="37"/>
      <c r="G68" s="37"/>
      <c r="H68" s="37"/>
      <c r="I68" s="38"/>
      <c r="J68" s="37"/>
      <c r="K68" s="39"/>
      <c r="L68" s="34"/>
      <c r="M68" s="49"/>
      <c r="N68" s="49"/>
      <c r="O68" s="40"/>
    </row>
    <row r="69" spans="1:15" x14ac:dyDescent="0.2">
      <c r="A69" s="34">
        <v>1160</v>
      </c>
      <c r="B69" s="35"/>
      <c r="C69" s="36"/>
      <c r="D69" s="36"/>
      <c r="E69" s="48" t="str">
        <f t="shared" si="3"/>
        <v/>
      </c>
      <c r="F69" s="37"/>
      <c r="G69" s="37"/>
      <c r="H69" s="37"/>
      <c r="I69" s="38"/>
      <c r="J69" s="37"/>
      <c r="K69" s="39"/>
      <c r="L69" s="34"/>
      <c r="M69" s="49"/>
      <c r="N69" s="49"/>
      <c r="O69" s="40"/>
    </row>
    <row r="70" spans="1:15" x14ac:dyDescent="0.2">
      <c r="A70" s="34">
        <v>1161</v>
      </c>
      <c r="B70" s="35"/>
      <c r="C70" s="36"/>
      <c r="D70" s="36"/>
      <c r="E70" s="48" t="str">
        <f t="shared" si="3"/>
        <v/>
      </c>
      <c r="F70" s="37"/>
      <c r="G70" s="37"/>
      <c r="H70" s="37"/>
      <c r="I70" s="38"/>
      <c r="J70" s="37"/>
      <c r="K70" s="39"/>
      <c r="L70" s="34"/>
      <c r="M70" s="49"/>
      <c r="N70" s="49"/>
      <c r="O70" s="40"/>
    </row>
    <row r="71" spans="1:15" x14ac:dyDescent="0.2">
      <c r="A71" s="34">
        <v>1162</v>
      </c>
      <c r="B71" s="35"/>
      <c r="C71" s="36"/>
      <c r="D71" s="36"/>
      <c r="E71" s="48" t="str">
        <f t="shared" si="3"/>
        <v/>
      </c>
      <c r="F71" s="37"/>
      <c r="G71" s="37"/>
      <c r="H71" s="37"/>
      <c r="I71" s="38"/>
      <c r="J71" s="37"/>
      <c r="K71" s="39"/>
      <c r="L71" s="34"/>
      <c r="M71" s="49"/>
      <c r="N71" s="49"/>
      <c r="O71" s="40"/>
    </row>
    <row r="72" spans="1:15" x14ac:dyDescent="0.2">
      <c r="A72" s="34">
        <v>1163</v>
      </c>
      <c r="B72" s="35"/>
      <c r="C72" s="36"/>
      <c r="D72" s="36"/>
      <c r="E72" s="48" t="str">
        <f t="shared" si="3"/>
        <v/>
      </c>
      <c r="F72" s="37"/>
      <c r="G72" s="37"/>
      <c r="H72" s="37"/>
      <c r="I72" s="38"/>
      <c r="J72" s="37"/>
      <c r="K72" s="39"/>
      <c r="L72" s="34"/>
      <c r="M72" s="49"/>
      <c r="N72" s="49"/>
      <c r="O72" s="40"/>
    </row>
    <row r="73" spans="1:15" x14ac:dyDescent="0.2">
      <c r="A73" s="34">
        <v>1164</v>
      </c>
      <c r="B73" s="35"/>
      <c r="C73" s="36"/>
      <c r="D73" s="36"/>
      <c r="E73" s="48" t="str">
        <f t="shared" si="3"/>
        <v/>
      </c>
      <c r="F73" s="37"/>
      <c r="G73" s="37"/>
      <c r="H73" s="37"/>
      <c r="I73" s="38"/>
      <c r="J73" s="37"/>
      <c r="K73" s="39"/>
      <c r="L73" s="34"/>
      <c r="M73" s="49"/>
      <c r="N73" s="49"/>
      <c r="O73" s="40"/>
    </row>
    <row r="74" spans="1:15" x14ac:dyDescent="0.2">
      <c r="A74" s="34">
        <v>1165</v>
      </c>
      <c r="B74" s="35"/>
      <c r="C74" s="36"/>
      <c r="D74" s="36"/>
      <c r="E74" s="48" t="str">
        <f t="shared" si="3"/>
        <v/>
      </c>
      <c r="F74" s="37"/>
      <c r="G74" s="37"/>
      <c r="H74" s="37"/>
      <c r="I74" s="38"/>
      <c r="J74" s="37"/>
      <c r="K74" s="39"/>
      <c r="L74" s="34"/>
      <c r="M74" s="49"/>
      <c r="N74" s="49"/>
      <c r="O74" s="40"/>
    </row>
    <row r="75" spans="1:15" x14ac:dyDescent="0.2">
      <c r="A75" s="34">
        <v>1166</v>
      </c>
      <c r="B75" s="35"/>
      <c r="C75" s="36"/>
      <c r="D75" s="36"/>
      <c r="E75" s="48" t="str">
        <f t="shared" si="3"/>
        <v/>
      </c>
      <c r="F75" s="37"/>
      <c r="G75" s="37"/>
      <c r="H75" s="37"/>
      <c r="I75" s="38"/>
      <c r="J75" s="37"/>
      <c r="K75" s="39"/>
      <c r="L75" s="34"/>
      <c r="M75" s="49"/>
      <c r="N75" s="49"/>
      <c r="O75" s="40"/>
    </row>
    <row r="76" spans="1:15" x14ac:dyDescent="0.2">
      <c r="A76" s="34">
        <v>1167</v>
      </c>
      <c r="B76" s="35"/>
      <c r="C76" s="36"/>
      <c r="D76" s="36"/>
      <c r="E76" s="48" t="str">
        <f t="shared" si="3"/>
        <v/>
      </c>
      <c r="F76" s="37"/>
      <c r="G76" s="37"/>
      <c r="H76" s="37"/>
      <c r="I76" s="38"/>
      <c r="J76" s="37"/>
      <c r="K76" s="39"/>
      <c r="L76" s="34"/>
      <c r="M76" s="49"/>
      <c r="N76" s="49"/>
      <c r="O76" s="40"/>
    </row>
    <row r="77" spans="1:15" x14ac:dyDescent="0.2">
      <c r="A77" s="34">
        <v>1168</v>
      </c>
      <c r="B77" s="35"/>
      <c r="C77" s="36"/>
      <c r="D77" s="36"/>
      <c r="E77" s="48" t="str">
        <f t="shared" si="3"/>
        <v/>
      </c>
      <c r="F77" s="37"/>
      <c r="G77" s="37"/>
      <c r="H77" s="37"/>
      <c r="I77" s="38"/>
      <c r="J77" s="37"/>
      <c r="K77" s="39"/>
      <c r="L77" s="34"/>
      <c r="M77" s="49"/>
      <c r="N77" s="49"/>
      <c r="O77" s="40"/>
    </row>
    <row r="78" spans="1:15" x14ac:dyDescent="0.2">
      <c r="A78" s="34">
        <v>1169</v>
      </c>
      <c r="B78" s="35"/>
      <c r="C78" s="36"/>
      <c r="D78" s="36"/>
      <c r="E78" s="48" t="str">
        <f t="shared" si="3"/>
        <v/>
      </c>
      <c r="F78" s="37"/>
      <c r="G78" s="37"/>
      <c r="H78" s="37"/>
      <c r="I78" s="38"/>
      <c r="J78" s="37"/>
      <c r="K78" s="39"/>
      <c r="L78" s="34"/>
      <c r="M78" s="49"/>
      <c r="N78" s="49"/>
      <c r="O78" s="40"/>
    </row>
    <row r="79" spans="1:15" x14ac:dyDescent="0.2">
      <c r="A79" s="34">
        <v>1170</v>
      </c>
      <c r="B79" s="35"/>
      <c r="C79" s="36"/>
      <c r="D79" s="36"/>
      <c r="E79" s="48" t="str">
        <f t="shared" si="3"/>
        <v/>
      </c>
      <c r="F79" s="37"/>
      <c r="G79" s="37"/>
      <c r="H79" s="37"/>
      <c r="I79" s="38"/>
      <c r="J79" s="37"/>
      <c r="K79" s="39"/>
      <c r="L79" s="34"/>
      <c r="M79" s="49"/>
      <c r="N79" s="49"/>
      <c r="O79" s="40"/>
    </row>
    <row r="80" spans="1:15" x14ac:dyDescent="0.2">
      <c r="A80" s="34">
        <v>1171</v>
      </c>
      <c r="B80" s="35"/>
      <c r="C80" s="36"/>
      <c r="D80" s="36"/>
      <c r="E80" s="48" t="str">
        <f t="shared" si="3"/>
        <v/>
      </c>
      <c r="F80" s="37"/>
      <c r="G80" s="37"/>
      <c r="H80" s="37"/>
      <c r="I80" s="38"/>
      <c r="J80" s="37"/>
      <c r="K80" s="39"/>
      <c r="L80" s="34"/>
      <c r="M80" s="49"/>
      <c r="N80" s="49"/>
      <c r="O80" s="40"/>
    </row>
    <row r="81" spans="1:15" x14ac:dyDescent="0.2">
      <c r="A81" s="34">
        <v>1172</v>
      </c>
      <c r="B81" s="35"/>
      <c r="C81" s="36"/>
      <c r="D81" s="36"/>
      <c r="E81" s="48" t="str">
        <f t="shared" si="3"/>
        <v/>
      </c>
      <c r="F81" s="37"/>
      <c r="G81" s="37"/>
      <c r="H81" s="37"/>
      <c r="I81" s="38"/>
      <c r="J81" s="37"/>
      <c r="K81" s="39"/>
      <c r="L81" s="34"/>
      <c r="M81" s="49"/>
      <c r="N81" s="49"/>
      <c r="O81" s="40"/>
    </row>
    <row r="82" spans="1:15" x14ac:dyDescent="0.2">
      <c r="A82" s="34">
        <v>1173</v>
      </c>
      <c r="B82" s="35"/>
      <c r="C82" s="36"/>
      <c r="D82" s="36"/>
      <c r="E82" s="48" t="str">
        <f t="shared" si="3"/>
        <v/>
      </c>
      <c r="F82" s="37"/>
      <c r="G82" s="37"/>
      <c r="H82" s="37"/>
      <c r="I82" s="38"/>
      <c r="J82" s="37"/>
      <c r="K82" s="39"/>
      <c r="L82" s="34"/>
      <c r="M82" s="49"/>
      <c r="N82" s="49"/>
      <c r="O82" s="40"/>
    </row>
    <row r="83" spans="1:15" x14ac:dyDescent="0.2">
      <c r="A83" s="34">
        <v>1174</v>
      </c>
      <c r="B83" s="35"/>
      <c r="C83" s="36"/>
      <c r="D83" s="36"/>
      <c r="E83" s="48" t="str">
        <f t="shared" si="3"/>
        <v/>
      </c>
      <c r="F83" s="37"/>
      <c r="G83" s="37"/>
      <c r="H83" s="37"/>
      <c r="I83" s="38"/>
      <c r="J83" s="37"/>
      <c r="K83" s="39"/>
      <c r="L83" s="34"/>
      <c r="M83" s="49"/>
      <c r="N83" s="49"/>
      <c r="O83" s="40"/>
    </row>
    <row r="84" spans="1:15" x14ac:dyDescent="0.2">
      <c r="A84" s="34">
        <v>1175</v>
      </c>
      <c r="B84" s="35"/>
      <c r="C84" s="36"/>
      <c r="D84" s="36"/>
      <c r="E84" s="48" t="str">
        <f t="shared" si="3"/>
        <v/>
      </c>
      <c r="F84" s="37"/>
      <c r="G84" s="37"/>
      <c r="H84" s="37"/>
      <c r="I84" s="38"/>
      <c r="J84" s="37"/>
      <c r="K84" s="39"/>
      <c r="L84" s="34"/>
      <c r="M84" s="49"/>
      <c r="N84" s="49"/>
      <c r="O84" s="40"/>
    </row>
    <row r="85" spans="1:15" x14ac:dyDescent="0.2">
      <c r="A85" s="34">
        <v>1176</v>
      </c>
      <c r="B85" s="35"/>
      <c r="C85" s="36"/>
      <c r="D85" s="36"/>
      <c r="E85" s="48" t="str">
        <f t="shared" si="3"/>
        <v/>
      </c>
      <c r="F85" s="37"/>
      <c r="G85" s="37"/>
      <c r="H85" s="37"/>
      <c r="I85" s="38"/>
      <c r="J85" s="37"/>
      <c r="K85" s="39"/>
      <c r="L85" s="34"/>
      <c r="M85" s="49"/>
      <c r="N85" s="49"/>
      <c r="O85" s="40"/>
    </row>
    <row r="86" spans="1:15" x14ac:dyDescent="0.2">
      <c r="A86" s="34">
        <v>1177</v>
      </c>
      <c r="B86" s="35"/>
      <c r="C86" s="36"/>
      <c r="D86" s="36"/>
      <c r="E86" s="48" t="str">
        <f t="shared" si="3"/>
        <v/>
      </c>
      <c r="F86" s="37"/>
      <c r="G86" s="37"/>
      <c r="H86" s="37"/>
      <c r="I86" s="38"/>
      <c r="J86" s="37"/>
      <c r="K86" s="39"/>
      <c r="L86" s="34"/>
      <c r="M86" s="49"/>
      <c r="N86" s="49"/>
      <c r="O86" s="40"/>
    </row>
    <row r="87" spans="1:15" x14ac:dyDescent="0.2">
      <c r="A87" s="34">
        <v>1178</v>
      </c>
      <c r="B87" s="35"/>
      <c r="C87" s="36"/>
      <c r="D87" s="36"/>
      <c r="E87" s="48" t="str">
        <f t="shared" si="3"/>
        <v/>
      </c>
      <c r="F87" s="37"/>
      <c r="G87" s="37"/>
      <c r="H87" s="37"/>
      <c r="I87" s="38"/>
      <c r="J87" s="37"/>
      <c r="K87" s="39"/>
      <c r="L87" s="34"/>
      <c r="M87" s="49"/>
      <c r="N87" s="49"/>
      <c r="O87" s="40"/>
    </row>
    <row r="88" spans="1:15" x14ac:dyDescent="0.2">
      <c r="A88" s="34">
        <v>1179</v>
      </c>
      <c r="B88" s="35"/>
      <c r="C88" s="36"/>
      <c r="D88" s="36"/>
      <c r="E88" s="48" t="str">
        <f t="shared" si="3"/>
        <v/>
      </c>
      <c r="F88" s="37"/>
      <c r="G88" s="37"/>
      <c r="H88" s="37"/>
      <c r="I88" s="38"/>
      <c r="J88" s="37"/>
      <c r="K88" s="39"/>
      <c r="L88" s="34"/>
      <c r="M88" s="49"/>
      <c r="N88" s="49"/>
      <c r="O88" s="40"/>
    </row>
    <row r="89" spans="1:15" x14ac:dyDescent="0.2">
      <c r="A89" s="34">
        <v>1180</v>
      </c>
      <c r="B89" s="35"/>
      <c r="C89" s="36"/>
      <c r="D89" s="36"/>
      <c r="E89" s="48" t="str">
        <f t="shared" si="3"/>
        <v/>
      </c>
      <c r="F89" s="37"/>
      <c r="G89" s="37"/>
      <c r="H89" s="37"/>
      <c r="I89" s="38"/>
      <c r="J89" s="37"/>
      <c r="K89" s="39"/>
      <c r="L89" s="34"/>
      <c r="M89" s="49"/>
      <c r="N89" s="49"/>
      <c r="O89" s="40"/>
    </row>
    <row r="90" spans="1:15" x14ac:dyDescent="0.2">
      <c r="A90" s="34">
        <v>1181</v>
      </c>
      <c r="B90" s="35"/>
      <c r="C90" s="36"/>
      <c r="D90" s="36"/>
      <c r="E90" s="48" t="str">
        <f t="shared" si="3"/>
        <v/>
      </c>
      <c r="F90" s="37"/>
      <c r="G90" s="37"/>
      <c r="H90" s="37"/>
      <c r="I90" s="38"/>
      <c r="J90" s="37"/>
      <c r="K90" s="39"/>
      <c r="L90" s="34"/>
      <c r="M90" s="49"/>
      <c r="N90" s="49"/>
      <c r="O90" s="40"/>
    </row>
    <row r="91" spans="1:15" x14ac:dyDescent="0.2">
      <c r="A91" s="34">
        <v>1182</v>
      </c>
      <c r="B91" s="35"/>
      <c r="C91" s="36"/>
      <c r="D91" s="36"/>
      <c r="E91" s="48" t="str">
        <f t="shared" si="3"/>
        <v/>
      </c>
      <c r="F91" s="37"/>
      <c r="G91" s="37"/>
      <c r="H91" s="37"/>
      <c r="I91" s="38"/>
      <c r="J91" s="37"/>
      <c r="K91" s="39"/>
      <c r="L91" s="34"/>
      <c r="M91" s="49"/>
      <c r="N91" s="49"/>
      <c r="O91" s="40"/>
    </row>
    <row r="92" spans="1:15" x14ac:dyDescent="0.2">
      <c r="A92" s="34">
        <v>1183</v>
      </c>
      <c r="B92" s="35"/>
      <c r="C92" s="36"/>
      <c r="D92" s="36"/>
      <c r="E92" s="48" t="str">
        <f t="shared" si="3"/>
        <v/>
      </c>
      <c r="F92" s="37"/>
      <c r="G92" s="37"/>
      <c r="H92" s="37"/>
      <c r="I92" s="38"/>
      <c r="J92" s="37"/>
      <c r="K92" s="39"/>
      <c r="L92" s="34"/>
      <c r="M92" s="49"/>
      <c r="N92" s="49"/>
      <c r="O92" s="40"/>
    </row>
    <row r="93" spans="1:15" x14ac:dyDescent="0.2">
      <c r="A93" s="34">
        <v>1184</v>
      </c>
      <c r="B93" s="35"/>
      <c r="C93" s="36"/>
      <c r="D93" s="36"/>
      <c r="E93" s="48" t="str">
        <f t="shared" si="3"/>
        <v/>
      </c>
      <c r="F93" s="37"/>
      <c r="G93" s="37"/>
      <c r="H93" s="37"/>
      <c r="I93" s="38"/>
      <c r="J93" s="37"/>
      <c r="K93" s="39"/>
      <c r="L93" s="34"/>
      <c r="M93" s="49"/>
      <c r="N93" s="49"/>
      <c r="O93" s="40"/>
    </row>
    <row r="94" spans="1:15" x14ac:dyDescent="0.2">
      <c r="A94" s="34">
        <v>1185</v>
      </c>
      <c r="B94" s="35"/>
      <c r="C94" s="36"/>
      <c r="D94" s="36"/>
      <c r="E94" s="48" t="str">
        <f t="shared" si="3"/>
        <v/>
      </c>
      <c r="F94" s="37"/>
      <c r="G94" s="37"/>
      <c r="H94" s="37"/>
      <c r="I94" s="38"/>
      <c r="J94" s="37"/>
      <c r="K94" s="39"/>
      <c r="L94" s="34"/>
      <c r="M94" s="49"/>
      <c r="N94" s="49"/>
      <c r="O94" s="40"/>
    </row>
    <row r="95" spans="1:15" x14ac:dyDescent="0.2">
      <c r="A95" s="34">
        <v>1186</v>
      </c>
      <c r="B95" s="35"/>
      <c r="C95" s="36"/>
      <c r="D95" s="36"/>
      <c r="E95" s="48" t="str">
        <f t="shared" ref="E95:E158" si="4">IF(D95&lt;&gt;"",EOMONTH(D95,5),"")</f>
        <v/>
      </c>
      <c r="F95" s="37"/>
      <c r="G95" s="37"/>
      <c r="H95" s="37"/>
      <c r="I95" s="38"/>
      <c r="J95" s="37"/>
      <c r="K95" s="39"/>
      <c r="L95" s="34"/>
      <c r="M95" s="49"/>
      <c r="N95" s="49"/>
      <c r="O95" s="40"/>
    </row>
    <row r="96" spans="1:15" x14ac:dyDescent="0.2">
      <c r="A96" s="34">
        <v>1187</v>
      </c>
      <c r="B96" s="35"/>
      <c r="C96" s="36"/>
      <c r="D96" s="36"/>
      <c r="E96" s="48" t="str">
        <f t="shared" si="4"/>
        <v/>
      </c>
      <c r="F96" s="37"/>
      <c r="G96" s="37"/>
      <c r="H96" s="37"/>
      <c r="I96" s="38"/>
      <c r="J96" s="37"/>
      <c r="K96" s="39"/>
      <c r="L96" s="34"/>
      <c r="M96" s="49"/>
      <c r="N96" s="49"/>
      <c r="O96" s="40"/>
    </row>
    <row r="97" spans="1:15" x14ac:dyDescent="0.2">
      <c r="A97" s="34">
        <v>1188</v>
      </c>
      <c r="B97" s="35"/>
      <c r="C97" s="36"/>
      <c r="D97" s="36"/>
      <c r="E97" s="48" t="str">
        <f t="shared" si="4"/>
        <v/>
      </c>
      <c r="F97" s="37"/>
      <c r="G97" s="37"/>
      <c r="H97" s="37"/>
      <c r="I97" s="38"/>
      <c r="J97" s="37"/>
      <c r="K97" s="39"/>
      <c r="L97" s="34"/>
      <c r="M97" s="49"/>
      <c r="N97" s="49"/>
      <c r="O97" s="40"/>
    </row>
    <row r="98" spans="1:15" x14ac:dyDescent="0.2">
      <c r="A98" s="34">
        <v>1189</v>
      </c>
      <c r="B98" s="35"/>
      <c r="C98" s="36"/>
      <c r="D98" s="36"/>
      <c r="E98" s="48" t="str">
        <f t="shared" si="4"/>
        <v/>
      </c>
      <c r="F98" s="37"/>
      <c r="G98" s="37"/>
      <c r="H98" s="37"/>
      <c r="I98" s="38"/>
      <c r="J98" s="37"/>
      <c r="K98" s="39"/>
      <c r="L98" s="34"/>
      <c r="M98" s="49"/>
      <c r="N98" s="49"/>
      <c r="O98" s="40"/>
    </row>
    <row r="99" spans="1:15" x14ac:dyDescent="0.2">
      <c r="A99" s="34">
        <v>1190</v>
      </c>
      <c r="B99" s="35"/>
      <c r="C99" s="36"/>
      <c r="D99" s="36"/>
      <c r="E99" s="48" t="str">
        <f t="shared" si="4"/>
        <v/>
      </c>
      <c r="F99" s="37"/>
      <c r="G99" s="37"/>
      <c r="H99" s="37"/>
      <c r="I99" s="38"/>
      <c r="J99" s="37"/>
      <c r="K99" s="39"/>
      <c r="L99" s="34"/>
      <c r="M99" s="49"/>
      <c r="N99" s="49"/>
      <c r="O99" s="40"/>
    </row>
    <row r="100" spans="1:15" x14ac:dyDescent="0.2">
      <c r="A100" s="34">
        <v>1191</v>
      </c>
      <c r="B100" s="35"/>
      <c r="C100" s="36"/>
      <c r="D100" s="36"/>
      <c r="E100" s="48" t="str">
        <f t="shared" si="4"/>
        <v/>
      </c>
      <c r="F100" s="37"/>
      <c r="G100" s="37"/>
      <c r="H100" s="37"/>
      <c r="I100" s="38"/>
      <c r="J100" s="37"/>
      <c r="K100" s="39"/>
      <c r="L100" s="34"/>
      <c r="M100" s="49"/>
      <c r="N100" s="49"/>
      <c r="O100" s="40"/>
    </row>
    <row r="101" spans="1:15" x14ac:dyDescent="0.2">
      <c r="A101" s="34">
        <v>1192</v>
      </c>
      <c r="B101" s="35"/>
      <c r="C101" s="36"/>
      <c r="D101" s="36"/>
      <c r="E101" s="48" t="str">
        <f t="shared" si="4"/>
        <v/>
      </c>
      <c r="F101" s="37"/>
      <c r="G101" s="37"/>
      <c r="H101" s="37"/>
      <c r="I101" s="38"/>
      <c r="J101" s="37"/>
      <c r="K101" s="39"/>
      <c r="L101" s="34"/>
      <c r="M101" s="49"/>
      <c r="N101" s="49"/>
      <c r="O101" s="40"/>
    </row>
    <row r="102" spans="1:15" x14ac:dyDescent="0.2">
      <c r="A102" s="34">
        <v>1193</v>
      </c>
      <c r="B102" s="35"/>
      <c r="C102" s="36"/>
      <c r="D102" s="36"/>
      <c r="E102" s="48" t="str">
        <f t="shared" si="4"/>
        <v/>
      </c>
      <c r="F102" s="37"/>
      <c r="G102" s="37"/>
      <c r="H102" s="37"/>
      <c r="I102" s="38"/>
      <c r="J102" s="37"/>
      <c r="K102" s="39"/>
      <c r="L102" s="34"/>
      <c r="M102" s="49"/>
      <c r="N102" s="49"/>
      <c r="O102" s="40"/>
    </row>
    <row r="103" spans="1:15" x14ac:dyDescent="0.2">
      <c r="A103" s="34">
        <v>1194</v>
      </c>
      <c r="B103" s="35"/>
      <c r="C103" s="36"/>
      <c r="D103" s="36"/>
      <c r="E103" s="48" t="str">
        <f t="shared" si="4"/>
        <v/>
      </c>
      <c r="F103" s="37"/>
      <c r="G103" s="37"/>
      <c r="H103" s="37"/>
      <c r="I103" s="38"/>
      <c r="J103" s="37"/>
      <c r="K103" s="39"/>
      <c r="L103" s="34"/>
      <c r="M103" s="49"/>
      <c r="N103" s="49"/>
      <c r="O103" s="40"/>
    </row>
    <row r="104" spans="1:15" x14ac:dyDescent="0.2">
      <c r="A104" s="34">
        <v>1195</v>
      </c>
      <c r="B104" s="35"/>
      <c r="C104" s="36"/>
      <c r="D104" s="36"/>
      <c r="E104" s="48" t="str">
        <f t="shared" si="4"/>
        <v/>
      </c>
      <c r="F104" s="37"/>
      <c r="G104" s="37"/>
      <c r="H104" s="37"/>
      <c r="I104" s="38"/>
      <c r="J104" s="37"/>
      <c r="K104" s="39"/>
      <c r="L104" s="34"/>
      <c r="M104" s="49"/>
      <c r="N104" s="49"/>
      <c r="O104" s="40"/>
    </row>
    <row r="105" spans="1:15" x14ac:dyDescent="0.2">
      <c r="A105" s="34">
        <v>1196</v>
      </c>
      <c r="B105" s="35"/>
      <c r="C105" s="36"/>
      <c r="D105" s="36"/>
      <c r="E105" s="48" t="str">
        <f t="shared" si="4"/>
        <v/>
      </c>
      <c r="F105" s="37"/>
      <c r="G105" s="37"/>
      <c r="H105" s="37"/>
      <c r="I105" s="38"/>
      <c r="J105" s="37"/>
      <c r="K105" s="39"/>
      <c r="L105" s="34"/>
      <c r="M105" s="49"/>
      <c r="N105" s="49"/>
      <c r="O105" s="40"/>
    </row>
    <row r="106" spans="1:15" x14ac:dyDescent="0.2">
      <c r="A106" s="34">
        <v>1197</v>
      </c>
      <c r="B106" s="35"/>
      <c r="C106" s="36"/>
      <c r="D106" s="36"/>
      <c r="E106" s="48" t="str">
        <f t="shared" si="4"/>
        <v/>
      </c>
      <c r="F106" s="37"/>
      <c r="G106" s="37"/>
      <c r="H106" s="37"/>
      <c r="I106" s="38"/>
      <c r="J106" s="37"/>
      <c r="K106" s="39"/>
      <c r="L106" s="34"/>
      <c r="M106" s="49"/>
      <c r="N106" s="49"/>
      <c r="O106" s="40"/>
    </row>
    <row r="107" spans="1:15" x14ac:dyDescent="0.2">
      <c r="A107" s="34">
        <v>1198</v>
      </c>
      <c r="B107" s="35"/>
      <c r="C107" s="36"/>
      <c r="D107" s="36"/>
      <c r="E107" s="48" t="str">
        <f t="shared" si="4"/>
        <v/>
      </c>
      <c r="F107" s="37"/>
      <c r="G107" s="37"/>
      <c r="H107" s="37"/>
      <c r="I107" s="38"/>
      <c r="J107" s="37"/>
      <c r="K107" s="39"/>
      <c r="L107" s="34"/>
      <c r="M107" s="49"/>
      <c r="N107" s="49"/>
      <c r="O107" s="40"/>
    </row>
    <row r="108" spans="1:15" x14ac:dyDescent="0.2">
      <c r="A108" s="34">
        <v>1199</v>
      </c>
      <c r="B108" s="35"/>
      <c r="C108" s="36"/>
      <c r="D108" s="36"/>
      <c r="E108" s="48" t="str">
        <f t="shared" si="4"/>
        <v/>
      </c>
      <c r="F108" s="37"/>
      <c r="G108" s="37"/>
      <c r="H108" s="37"/>
      <c r="I108" s="38"/>
      <c r="J108" s="37"/>
      <c r="K108" s="39"/>
      <c r="L108" s="34"/>
      <c r="M108" s="49"/>
      <c r="N108" s="49"/>
      <c r="O108" s="40"/>
    </row>
    <row r="109" spans="1:15" x14ac:dyDescent="0.2">
      <c r="A109" s="34">
        <v>1200</v>
      </c>
      <c r="B109" s="35"/>
      <c r="C109" s="36"/>
      <c r="D109" s="36"/>
      <c r="E109" s="48" t="str">
        <f t="shared" si="4"/>
        <v/>
      </c>
      <c r="F109" s="37"/>
      <c r="G109" s="37"/>
      <c r="H109" s="37"/>
      <c r="I109" s="38"/>
      <c r="J109" s="37"/>
      <c r="K109" s="39"/>
      <c r="L109" s="34"/>
      <c r="M109" s="49"/>
      <c r="N109" s="49"/>
      <c r="O109" s="40"/>
    </row>
    <row r="110" spans="1:15" x14ac:dyDescent="0.2">
      <c r="A110" s="34">
        <v>1201</v>
      </c>
      <c r="B110" s="35"/>
      <c r="C110" s="36"/>
      <c r="D110" s="36"/>
      <c r="E110" s="48" t="str">
        <f t="shared" si="4"/>
        <v/>
      </c>
      <c r="F110" s="37"/>
      <c r="G110" s="37"/>
      <c r="H110" s="37"/>
      <c r="I110" s="38"/>
      <c r="J110" s="37"/>
      <c r="K110" s="39"/>
      <c r="L110" s="34"/>
      <c r="M110" s="49"/>
      <c r="N110" s="49"/>
      <c r="O110" s="40"/>
    </row>
    <row r="111" spans="1:15" x14ac:dyDescent="0.2">
      <c r="A111" s="34">
        <v>1202</v>
      </c>
      <c r="B111" s="35"/>
      <c r="C111" s="36"/>
      <c r="D111" s="36"/>
      <c r="E111" s="48" t="str">
        <f t="shared" si="4"/>
        <v/>
      </c>
      <c r="F111" s="37"/>
      <c r="G111" s="37"/>
      <c r="H111" s="37"/>
      <c r="I111" s="38"/>
      <c r="J111" s="37"/>
      <c r="K111" s="39"/>
      <c r="L111" s="34"/>
      <c r="M111" s="49"/>
      <c r="N111" s="49"/>
      <c r="O111" s="40"/>
    </row>
    <row r="112" spans="1:15" x14ac:dyDescent="0.2">
      <c r="A112" s="34">
        <v>1203</v>
      </c>
      <c r="B112" s="35"/>
      <c r="C112" s="36"/>
      <c r="D112" s="36"/>
      <c r="E112" s="48" t="str">
        <f t="shared" si="4"/>
        <v/>
      </c>
      <c r="F112" s="37"/>
      <c r="G112" s="37"/>
      <c r="H112" s="37"/>
      <c r="I112" s="38"/>
      <c r="J112" s="37"/>
      <c r="K112" s="39"/>
      <c r="L112" s="34"/>
      <c r="M112" s="49"/>
      <c r="N112" s="49"/>
      <c r="O112" s="40"/>
    </row>
    <row r="113" spans="1:15" x14ac:dyDescent="0.2">
      <c r="A113" s="34">
        <v>1204</v>
      </c>
      <c r="B113" s="35"/>
      <c r="C113" s="36"/>
      <c r="D113" s="36"/>
      <c r="E113" s="48" t="str">
        <f t="shared" si="4"/>
        <v/>
      </c>
      <c r="F113" s="37"/>
      <c r="G113" s="37"/>
      <c r="H113" s="37"/>
      <c r="I113" s="38"/>
      <c r="J113" s="37"/>
      <c r="K113" s="39"/>
      <c r="L113" s="34"/>
      <c r="M113" s="49"/>
      <c r="N113" s="49"/>
      <c r="O113" s="40"/>
    </row>
    <row r="114" spans="1:15" x14ac:dyDescent="0.2">
      <c r="A114" s="34">
        <v>1205</v>
      </c>
      <c r="B114" s="35"/>
      <c r="C114" s="36"/>
      <c r="D114" s="36"/>
      <c r="E114" s="48" t="str">
        <f t="shared" si="4"/>
        <v/>
      </c>
      <c r="F114" s="37"/>
      <c r="G114" s="37"/>
      <c r="H114" s="37"/>
      <c r="I114" s="38"/>
      <c r="J114" s="37"/>
      <c r="K114" s="39"/>
      <c r="L114" s="34"/>
      <c r="M114" s="49"/>
      <c r="N114" s="49"/>
      <c r="O114" s="40"/>
    </row>
    <row r="115" spans="1:15" x14ac:dyDescent="0.2">
      <c r="A115" s="34">
        <v>1206</v>
      </c>
      <c r="B115" s="35"/>
      <c r="C115" s="36"/>
      <c r="D115" s="36"/>
      <c r="E115" s="48" t="str">
        <f t="shared" si="4"/>
        <v/>
      </c>
      <c r="F115" s="37"/>
      <c r="G115" s="37"/>
      <c r="H115" s="37"/>
      <c r="I115" s="38"/>
      <c r="J115" s="37"/>
      <c r="K115" s="39"/>
      <c r="L115" s="34"/>
      <c r="M115" s="49"/>
      <c r="N115" s="49"/>
      <c r="O115" s="40"/>
    </row>
    <row r="116" spans="1:15" x14ac:dyDescent="0.2">
      <c r="A116" s="34">
        <v>1207</v>
      </c>
      <c r="B116" s="35"/>
      <c r="C116" s="36"/>
      <c r="D116" s="36"/>
      <c r="E116" s="48" t="str">
        <f t="shared" si="4"/>
        <v/>
      </c>
      <c r="F116" s="37"/>
      <c r="G116" s="37"/>
      <c r="H116" s="37"/>
      <c r="I116" s="38"/>
      <c r="J116" s="37"/>
      <c r="K116" s="39"/>
      <c r="L116" s="34"/>
      <c r="M116" s="49"/>
      <c r="N116" s="49"/>
      <c r="O116" s="40"/>
    </row>
    <row r="117" spans="1:15" x14ac:dyDescent="0.2">
      <c r="A117" s="34">
        <v>1208</v>
      </c>
      <c r="B117" s="35"/>
      <c r="C117" s="36"/>
      <c r="D117" s="36"/>
      <c r="E117" s="48" t="str">
        <f t="shared" si="4"/>
        <v/>
      </c>
      <c r="F117" s="37"/>
      <c r="G117" s="37"/>
      <c r="H117" s="37"/>
      <c r="I117" s="38"/>
      <c r="J117" s="37"/>
      <c r="K117" s="39"/>
      <c r="L117" s="34"/>
      <c r="M117" s="49"/>
      <c r="N117" s="49"/>
      <c r="O117" s="40"/>
    </row>
    <row r="118" spans="1:15" x14ac:dyDescent="0.2">
      <c r="A118" s="34">
        <v>1209</v>
      </c>
      <c r="B118" s="35"/>
      <c r="C118" s="36"/>
      <c r="D118" s="36"/>
      <c r="E118" s="48" t="str">
        <f t="shared" si="4"/>
        <v/>
      </c>
      <c r="F118" s="37"/>
      <c r="G118" s="37"/>
      <c r="H118" s="37"/>
      <c r="I118" s="38"/>
      <c r="J118" s="37"/>
      <c r="K118" s="39"/>
      <c r="L118" s="34"/>
      <c r="M118" s="49"/>
      <c r="N118" s="49"/>
      <c r="O118" s="40"/>
    </row>
    <row r="119" spans="1:15" x14ac:dyDescent="0.2">
      <c r="A119" s="34">
        <v>1210</v>
      </c>
      <c r="B119" s="35"/>
      <c r="C119" s="36"/>
      <c r="D119" s="36"/>
      <c r="E119" s="48" t="str">
        <f t="shared" si="4"/>
        <v/>
      </c>
      <c r="F119" s="37"/>
      <c r="G119" s="37"/>
      <c r="H119" s="37"/>
      <c r="I119" s="38"/>
      <c r="J119" s="37"/>
      <c r="K119" s="39"/>
      <c r="L119" s="34"/>
      <c r="M119" s="49"/>
      <c r="N119" s="49"/>
      <c r="O119" s="40"/>
    </row>
    <row r="120" spans="1:15" x14ac:dyDescent="0.2">
      <c r="A120" s="34">
        <v>1211</v>
      </c>
      <c r="B120" s="35"/>
      <c r="C120" s="36"/>
      <c r="D120" s="36"/>
      <c r="E120" s="48" t="str">
        <f t="shared" si="4"/>
        <v/>
      </c>
      <c r="F120" s="37"/>
      <c r="G120" s="37"/>
      <c r="H120" s="37"/>
      <c r="I120" s="38"/>
      <c r="J120" s="37"/>
      <c r="K120" s="39"/>
      <c r="L120" s="34"/>
      <c r="M120" s="49"/>
      <c r="N120" s="49"/>
      <c r="O120" s="40"/>
    </row>
    <row r="121" spans="1:15" x14ac:dyDescent="0.2">
      <c r="A121" s="34">
        <v>1212</v>
      </c>
      <c r="B121" s="35"/>
      <c r="C121" s="36"/>
      <c r="D121" s="36"/>
      <c r="E121" s="48" t="str">
        <f t="shared" si="4"/>
        <v/>
      </c>
      <c r="F121" s="37"/>
      <c r="G121" s="37"/>
      <c r="H121" s="37"/>
      <c r="I121" s="38"/>
      <c r="J121" s="37"/>
      <c r="K121" s="39"/>
      <c r="L121" s="34"/>
      <c r="M121" s="49"/>
      <c r="N121" s="49"/>
      <c r="O121" s="40"/>
    </row>
    <row r="122" spans="1:15" x14ac:dyDescent="0.2">
      <c r="A122" s="34">
        <v>1213</v>
      </c>
      <c r="B122" s="35"/>
      <c r="C122" s="36"/>
      <c r="D122" s="36"/>
      <c r="E122" s="48" t="str">
        <f t="shared" si="4"/>
        <v/>
      </c>
      <c r="F122" s="37"/>
      <c r="G122" s="37"/>
      <c r="H122" s="37"/>
      <c r="I122" s="38"/>
      <c r="J122" s="37"/>
      <c r="K122" s="39"/>
      <c r="L122" s="34"/>
      <c r="M122" s="49"/>
      <c r="N122" s="49"/>
      <c r="O122" s="40"/>
    </row>
    <row r="123" spans="1:15" x14ac:dyDescent="0.2">
      <c r="A123" s="34">
        <v>1214</v>
      </c>
      <c r="B123" s="35"/>
      <c r="C123" s="36"/>
      <c r="D123" s="36"/>
      <c r="E123" s="48" t="str">
        <f t="shared" si="4"/>
        <v/>
      </c>
      <c r="F123" s="37"/>
      <c r="G123" s="37"/>
      <c r="H123" s="37"/>
      <c r="I123" s="38"/>
      <c r="J123" s="37"/>
      <c r="K123" s="39"/>
      <c r="L123" s="34"/>
      <c r="M123" s="49"/>
      <c r="N123" s="49"/>
      <c r="O123" s="40"/>
    </row>
    <row r="124" spans="1:15" x14ac:dyDescent="0.2">
      <c r="A124" s="34">
        <v>1215</v>
      </c>
      <c r="B124" s="35"/>
      <c r="C124" s="36"/>
      <c r="D124" s="36"/>
      <c r="E124" s="48" t="str">
        <f t="shared" si="4"/>
        <v/>
      </c>
      <c r="F124" s="37"/>
      <c r="G124" s="37"/>
      <c r="H124" s="37"/>
      <c r="I124" s="38"/>
      <c r="J124" s="37"/>
      <c r="K124" s="39"/>
      <c r="L124" s="34"/>
      <c r="M124" s="49"/>
      <c r="N124" s="49"/>
      <c r="O124" s="40"/>
    </row>
    <row r="125" spans="1:15" x14ac:dyDescent="0.2">
      <c r="A125" s="34">
        <v>1216</v>
      </c>
      <c r="B125" s="35"/>
      <c r="C125" s="36"/>
      <c r="D125" s="36"/>
      <c r="E125" s="48" t="str">
        <f t="shared" si="4"/>
        <v/>
      </c>
      <c r="F125" s="37"/>
      <c r="G125" s="37"/>
      <c r="H125" s="37"/>
      <c r="I125" s="38"/>
      <c r="J125" s="37"/>
      <c r="K125" s="39"/>
      <c r="L125" s="34"/>
      <c r="M125" s="49"/>
      <c r="N125" s="49"/>
      <c r="O125" s="40"/>
    </row>
    <row r="126" spans="1:15" x14ac:dyDescent="0.2">
      <c r="A126" s="34">
        <v>1217</v>
      </c>
      <c r="B126" s="35"/>
      <c r="C126" s="36"/>
      <c r="D126" s="36"/>
      <c r="E126" s="48" t="str">
        <f t="shared" si="4"/>
        <v/>
      </c>
      <c r="F126" s="37"/>
      <c r="G126" s="37"/>
      <c r="H126" s="37"/>
      <c r="I126" s="38"/>
      <c r="J126" s="37"/>
      <c r="K126" s="39"/>
      <c r="L126" s="34"/>
      <c r="M126" s="49"/>
      <c r="N126" s="49"/>
      <c r="O126" s="40"/>
    </row>
    <row r="127" spans="1:15" x14ac:dyDescent="0.2">
      <c r="A127" s="34">
        <v>1218</v>
      </c>
      <c r="B127" s="35"/>
      <c r="C127" s="36"/>
      <c r="D127" s="36"/>
      <c r="E127" s="48" t="str">
        <f t="shared" si="4"/>
        <v/>
      </c>
      <c r="F127" s="37"/>
      <c r="G127" s="37"/>
      <c r="H127" s="37"/>
      <c r="I127" s="38"/>
      <c r="J127" s="37"/>
      <c r="K127" s="39"/>
      <c r="L127" s="34"/>
      <c r="M127" s="49"/>
      <c r="N127" s="49"/>
      <c r="O127" s="40"/>
    </row>
    <row r="128" spans="1:15" x14ac:dyDescent="0.2">
      <c r="A128" s="34">
        <v>1219</v>
      </c>
      <c r="B128" s="35"/>
      <c r="C128" s="36"/>
      <c r="D128" s="36"/>
      <c r="E128" s="48" t="str">
        <f t="shared" si="4"/>
        <v/>
      </c>
      <c r="F128" s="37"/>
      <c r="G128" s="37"/>
      <c r="H128" s="37"/>
      <c r="I128" s="38"/>
      <c r="J128" s="37"/>
      <c r="K128" s="39"/>
      <c r="L128" s="34"/>
      <c r="M128" s="49"/>
      <c r="N128" s="49"/>
      <c r="O128" s="40"/>
    </row>
    <row r="129" spans="1:15" x14ac:dyDescent="0.2">
      <c r="A129" s="34">
        <v>1220</v>
      </c>
      <c r="B129" s="35"/>
      <c r="C129" s="36"/>
      <c r="D129" s="36"/>
      <c r="E129" s="48" t="str">
        <f t="shared" si="4"/>
        <v/>
      </c>
      <c r="F129" s="37"/>
      <c r="G129" s="37"/>
      <c r="H129" s="37"/>
      <c r="I129" s="38"/>
      <c r="J129" s="37"/>
      <c r="K129" s="39"/>
      <c r="L129" s="34"/>
      <c r="M129" s="49"/>
      <c r="N129" s="49"/>
      <c r="O129" s="40"/>
    </row>
    <row r="130" spans="1:15" x14ac:dyDescent="0.2">
      <c r="A130" s="34">
        <v>1221</v>
      </c>
      <c r="B130" s="35"/>
      <c r="C130" s="36"/>
      <c r="D130" s="36"/>
      <c r="E130" s="48" t="str">
        <f t="shared" si="4"/>
        <v/>
      </c>
      <c r="F130" s="37"/>
      <c r="G130" s="37"/>
      <c r="H130" s="37"/>
      <c r="I130" s="38"/>
      <c r="J130" s="37"/>
      <c r="K130" s="39"/>
      <c r="L130" s="34"/>
      <c r="M130" s="49"/>
      <c r="N130" s="49"/>
      <c r="O130" s="40"/>
    </row>
    <row r="131" spans="1:15" x14ac:dyDescent="0.2">
      <c r="A131" s="34">
        <v>1222</v>
      </c>
      <c r="B131" s="35"/>
      <c r="C131" s="36"/>
      <c r="D131" s="36"/>
      <c r="E131" s="48" t="str">
        <f t="shared" si="4"/>
        <v/>
      </c>
      <c r="F131" s="37"/>
      <c r="G131" s="37"/>
      <c r="H131" s="37"/>
      <c r="I131" s="38"/>
      <c r="J131" s="37"/>
      <c r="K131" s="39"/>
      <c r="L131" s="34"/>
      <c r="M131" s="49"/>
      <c r="N131" s="49"/>
      <c r="O131" s="40"/>
    </row>
    <row r="132" spans="1:15" x14ac:dyDescent="0.2">
      <c r="A132" s="34">
        <v>1223</v>
      </c>
      <c r="B132" s="35"/>
      <c r="C132" s="36"/>
      <c r="D132" s="36"/>
      <c r="E132" s="48" t="str">
        <f t="shared" si="4"/>
        <v/>
      </c>
      <c r="F132" s="37"/>
      <c r="G132" s="37"/>
      <c r="H132" s="37"/>
      <c r="I132" s="38"/>
      <c r="J132" s="37"/>
      <c r="K132" s="39"/>
      <c r="L132" s="34"/>
      <c r="M132" s="49"/>
      <c r="N132" s="49"/>
      <c r="O132" s="40"/>
    </row>
    <row r="133" spans="1:15" x14ac:dyDescent="0.2">
      <c r="A133" s="34">
        <v>1224</v>
      </c>
      <c r="B133" s="35"/>
      <c r="C133" s="36"/>
      <c r="D133" s="36"/>
      <c r="E133" s="48" t="str">
        <f t="shared" si="4"/>
        <v/>
      </c>
      <c r="F133" s="37"/>
      <c r="G133" s="37"/>
      <c r="H133" s="37"/>
      <c r="I133" s="38"/>
      <c r="J133" s="37"/>
      <c r="K133" s="39"/>
      <c r="L133" s="34"/>
      <c r="M133" s="49"/>
      <c r="N133" s="49"/>
      <c r="O133" s="40"/>
    </row>
    <row r="134" spans="1:15" x14ac:dyDescent="0.2">
      <c r="A134" s="34">
        <v>1225</v>
      </c>
      <c r="B134" s="35"/>
      <c r="C134" s="36"/>
      <c r="D134" s="36"/>
      <c r="E134" s="48" t="str">
        <f t="shared" si="4"/>
        <v/>
      </c>
      <c r="F134" s="37"/>
      <c r="G134" s="37"/>
      <c r="H134" s="37"/>
      <c r="I134" s="38"/>
      <c r="J134" s="37"/>
      <c r="K134" s="39"/>
      <c r="L134" s="34"/>
      <c r="M134" s="49"/>
      <c r="N134" s="49"/>
      <c r="O134" s="40"/>
    </row>
    <row r="135" spans="1:15" x14ac:dyDescent="0.2">
      <c r="A135" s="34">
        <v>1226</v>
      </c>
      <c r="B135" s="35"/>
      <c r="C135" s="36"/>
      <c r="D135" s="36"/>
      <c r="E135" s="48" t="str">
        <f t="shared" si="4"/>
        <v/>
      </c>
      <c r="F135" s="37"/>
      <c r="G135" s="37"/>
      <c r="H135" s="37"/>
      <c r="I135" s="38"/>
      <c r="J135" s="37"/>
      <c r="K135" s="39"/>
      <c r="L135" s="34"/>
      <c r="M135" s="49"/>
      <c r="N135" s="49"/>
      <c r="O135" s="40"/>
    </row>
    <row r="136" spans="1:15" x14ac:dyDescent="0.2">
      <c r="A136" s="34">
        <v>1227</v>
      </c>
      <c r="B136" s="35"/>
      <c r="C136" s="36"/>
      <c r="D136" s="36"/>
      <c r="E136" s="48" t="str">
        <f t="shared" si="4"/>
        <v/>
      </c>
      <c r="F136" s="37"/>
      <c r="G136" s="37"/>
      <c r="H136" s="37"/>
      <c r="I136" s="38"/>
      <c r="J136" s="37"/>
      <c r="K136" s="39"/>
      <c r="L136" s="34"/>
      <c r="M136" s="49"/>
      <c r="N136" s="49"/>
      <c r="O136" s="40"/>
    </row>
    <row r="137" spans="1:15" x14ac:dyDescent="0.2">
      <c r="A137" s="34">
        <v>1228</v>
      </c>
      <c r="B137" s="35"/>
      <c r="C137" s="36"/>
      <c r="D137" s="36"/>
      <c r="E137" s="48" t="str">
        <f t="shared" si="4"/>
        <v/>
      </c>
      <c r="F137" s="37"/>
      <c r="G137" s="37"/>
      <c r="H137" s="37"/>
      <c r="I137" s="38"/>
      <c r="J137" s="37"/>
      <c r="K137" s="39"/>
      <c r="L137" s="34"/>
      <c r="M137" s="49"/>
      <c r="N137" s="49"/>
      <c r="O137" s="40"/>
    </row>
    <row r="138" spans="1:15" x14ac:dyDescent="0.2">
      <c r="A138" s="34">
        <v>1229</v>
      </c>
      <c r="B138" s="35"/>
      <c r="C138" s="36"/>
      <c r="D138" s="36"/>
      <c r="E138" s="48" t="str">
        <f t="shared" si="4"/>
        <v/>
      </c>
      <c r="F138" s="37"/>
      <c r="G138" s="37"/>
      <c r="H138" s="37"/>
      <c r="I138" s="38"/>
      <c r="J138" s="37"/>
      <c r="K138" s="39"/>
      <c r="L138" s="34"/>
      <c r="M138" s="49"/>
      <c r="N138" s="49"/>
      <c r="O138" s="40"/>
    </row>
    <row r="139" spans="1:15" x14ac:dyDescent="0.2">
      <c r="A139" s="34">
        <v>1230</v>
      </c>
      <c r="B139" s="35"/>
      <c r="C139" s="36"/>
      <c r="D139" s="36"/>
      <c r="E139" s="48" t="str">
        <f t="shared" si="4"/>
        <v/>
      </c>
      <c r="F139" s="37"/>
      <c r="G139" s="37"/>
      <c r="H139" s="37"/>
      <c r="I139" s="38"/>
      <c r="J139" s="37"/>
      <c r="K139" s="39"/>
      <c r="L139" s="34"/>
      <c r="M139" s="49"/>
      <c r="N139" s="49"/>
      <c r="O139" s="40"/>
    </row>
    <row r="140" spans="1:15" x14ac:dyDescent="0.2">
      <c r="A140" s="34">
        <v>1231</v>
      </c>
      <c r="B140" s="35"/>
      <c r="C140" s="36"/>
      <c r="D140" s="36"/>
      <c r="E140" s="48" t="str">
        <f t="shared" si="4"/>
        <v/>
      </c>
      <c r="F140" s="37"/>
      <c r="G140" s="37"/>
      <c r="H140" s="37"/>
      <c r="I140" s="38"/>
      <c r="J140" s="37"/>
      <c r="K140" s="39"/>
      <c r="L140" s="34"/>
      <c r="M140" s="49"/>
      <c r="N140" s="49"/>
      <c r="O140" s="40"/>
    </row>
    <row r="141" spans="1:15" x14ac:dyDescent="0.2">
      <c r="A141" s="34">
        <v>1232</v>
      </c>
      <c r="B141" s="35"/>
      <c r="C141" s="36"/>
      <c r="D141" s="36"/>
      <c r="E141" s="48" t="str">
        <f t="shared" si="4"/>
        <v/>
      </c>
      <c r="F141" s="37"/>
      <c r="G141" s="37"/>
      <c r="H141" s="37"/>
      <c r="I141" s="38"/>
      <c r="J141" s="37"/>
      <c r="K141" s="39"/>
      <c r="L141" s="34"/>
      <c r="M141" s="49"/>
      <c r="N141" s="49"/>
      <c r="O141" s="40"/>
    </row>
    <row r="142" spans="1:15" x14ac:dyDescent="0.2">
      <c r="A142" s="34">
        <v>1233</v>
      </c>
      <c r="B142" s="35"/>
      <c r="C142" s="36"/>
      <c r="D142" s="36"/>
      <c r="E142" s="48" t="str">
        <f t="shared" si="4"/>
        <v/>
      </c>
      <c r="F142" s="37"/>
      <c r="G142" s="37"/>
      <c r="H142" s="37"/>
      <c r="I142" s="38"/>
      <c r="J142" s="37"/>
      <c r="K142" s="39"/>
      <c r="L142" s="34"/>
      <c r="M142" s="49"/>
      <c r="N142" s="49"/>
      <c r="O142" s="40"/>
    </row>
    <row r="143" spans="1:15" x14ac:dyDescent="0.2">
      <c r="A143" s="34">
        <v>1234</v>
      </c>
      <c r="B143" s="35"/>
      <c r="C143" s="36"/>
      <c r="D143" s="36"/>
      <c r="E143" s="48" t="str">
        <f t="shared" si="4"/>
        <v/>
      </c>
      <c r="F143" s="37"/>
      <c r="G143" s="37"/>
      <c r="H143" s="37"/>
      <c r="I143" s="38"/>
      <c r="J143" s="37"/>
      <c r="K143" s="39"/>
      <c r="L143" s="34"/>
      <c r="M143" s="49"/>
      <c r="N143" s="49"/>
      <c r="O143" s="40"/>
    </row>
    <row r="144" spans="1:15" x14ac:dyDescent="0.2">
      <c r="A144" s="34">
        <v>1235</v>
      </c>
      <c r="B144" s="35"/>
      <c r="C144" s="36"/>
      <c r="D144" s="36"/>
      <c r="E144" s="48" t="str">
        <f t="shared" si="4"/>
        <v/>
      </c>
      <c r="F144" s="37"/>
      <c r="G144" s="37"/>
      <c r="H144" s="37"/>
      <c r="I144" s="38"/>
      <c r="J144" s="37"/>
      <c r="K144" s="39"/>
      <c r="L144" s="34"/>
      <c r="M144" s="49"/>
      <c r="N144" s="49"/>
      <c r="O144" s="40"/>
    </row>
    <row r="145" spans="1:15" x14ac:dyDescent="0.2">
      <c r="A145" s="34">
        <v>1236</v>
      </c>
      <c r="B145" s="35"/>
      <c r="C145" s="36"/>
      <c r="D145" s="36"/>
      <c r="E145" s="48" t="str">
        <f t="shared" si="4"/>
        <v/>
      </c>
      <c r="F145" s="37"/>
      <c r="G145" s="37"/>
      <c r="H145" s="37"/>
      <c r="I145" s="38"/>
      <c r="J145" s="37"/>
      <c r="K145" s="39"/>
      <c r="L145" s="34"/>
      <c r="M145" s="49"/>
      <c r="N145" s="49"/>
      <c r="O145" s="40"/>
    </row>
    <row r="146" spans="1:15" x14ac:dyDescent="0.2">
      <c r="A146" s="34">
        <v>1237</v>
      </c>
      <c r="B146" s="35"/>
      <c r="C146" s="36"/>
      <c r="D146" s="36"/>
      <c r="E146" s="48" t="str">
        <f t="shared" si="4"/>
        <v/>
      </c>
      <c r="F146" s="37"/>
      <c r="G146" s="37"/>
      <c r="H146" s="37"/>
      <c r="I146" s="38"/>
      <c r="J146" s="37"/>
      <c r="K146" s="39"/>
      <c r="L146" s="34"/>
      <c r="M146" s="49"/>
      <c r="N146" s="49"/>
      <c r="O146" s="40"/>
    </row>
    <row r="147" spans="1:15" x14ac:dyDescent="0.2">
      <c r="A147" s="34">
        <v>1238</v>
      </c>
      <c r="B147" s="35"/>
      <c r="C147" s="36"/>
      <c r="D147" s="36"/>
      <c r="E147" s="48" t="str">
        <f t="shared" si="4"/>
        <v/>
      </c>
      <c r="F147" s="37"/>
      <c r="G147" s="37"/>
      <c r="H147" s="37"/>
      <c r="I147" s="38"/>
      <c r="J147" s="37"/>
      <c r="K147" s="39"/>
      <c r="L147" s="34"/>
      <c r="M147" s="49"/>
      <c r="N147" s="49"/>
      <c r="O147" s="40"/>
    </row>
    <row r="148" spans="1:15" x14ac:dyDescent="0.2">
      <c r="A148" s="34">
        <v>1239</v>
      </c>
      <c r="B148" s="35"/>
      <c r="C148" s="36"/>
      <c r="D148" s="36"/>
      <c r="E148" s="48" t="str">
        <f t="shared" si="4"/>
        <v/>
      </c>
      <c r="F148" s="37"/>
      <c r="G148" s="37"/>
      <c r="H148" s="37"/>
      <c r="I148" s="38"/>
      <c r="J148" s="37"/>
      <c r="K148" s="39"/>
      <c r="L148" s="34"/>
      <c r="M148" s="49"/>
      <c r="N148" s="49"/>
      <c r="O148" s="40"/>
    </row>
    <row r="149" spans="1:15" x14ac:dyDescent="0.2">
      <c r="A149" s="34">
        <v>1240</v>
      </c>
      <c r="B149" s="35"/>
      <c r="C149" s="36"/>
      <c r="D149" s="36"/>
      <c r="E149" s="48" t="str">
        <f t="shared" si="4"/>
        <v/>
      </c>
      <c r="F149" s="37"/>
      <c r="G149" s="37"/>
      <c r="H149" s="37"/>
      <c r="I149" s="38"/>
      <c r="J149" s="37"/>
      <c r="K149" s="39"/>
      <c r="L149" s="34"/>
      <c r="M149" s="49"/>
      <c r="N149" s="49"/>
      <c r="O149" s="40"/>
    </row>
    <row r="150" spans="1:15" x14ac:dyDescent="0.2">
      <c r="A150" s="34">
        <v>1241</v>
      </c>
      <c r="B150" s="35"/>
      <c r="C150" s="36"/>
      <c r="D150" s="36"/>
      <c r="E150" s="48" t="str">
        <f t="shared" si="4"/>
        <v/>
      </c>
      <c r="F150" s="37"/>
      <c r="G150" s="37"/>
      <c r="H150" s="37"/>
      <c r="I150" s="38"/>
      <c r="J150" s="37"/>
      <c r="K150" s="39"/>
      <c r="L150" s="34"/>
      <c r="M150" s="49"/>
      <c r="N150" s="49"/>
      <c r="O150" s="40"/>
    </row>
    <row r="151" spans="1:15" x14ac:dyDescent="0.2">
      <c r="A151" s="34">
        <v>1242</v>
      </c>
      <c r="B151" s="35"/>
      <c r="C151" s="36"/>
      <c r="D151" s="36"/>
      <c r="E151" s="48" t="str">
        <f t="shared" si="4"/>
        <v/>
      </c>
      <c r="F151" s="37"/>
      <c r="G151" s="37"/>
      <c r="H151" s="37"/>
      <c r="I151" s="38"/>
      <c r="J151" s="37"/>
      <c r="K151" s="39"/>
      <c r="L151" s="34"/>
      <c r="M151" s="49"/>
      <c r="N151" s="49"/>
      <c r="O151" s="40"/>
    </row>
    <row r="152" spans="1:15" x14ac:dyDescent="0.2">
      <c r="A152" s="34">
        <v>1243</v>
      </c>
      <c r="B152" s="35"/>
      <c r="C152" s="36"/>
      <c r="D152" s="36"/>
      <c r="E152" s="48" t="str">
        <f t="shared" si="4"/>
        <v/>
      </c>
      <c r="F152" s="37"/>
      <c r="G152" s="37"/>
      <c r="H152" s="37"/>
      <c r="I152" s="38"/>
      <c r="J152" s="37"/>
      <c r="K152" s="39"/>
      <c r="L152" s="34"/>
      <c r="M152" s="49"/>
      <c r="N152" s="49"/>
      <c r="O152" s="40"/>
    </row>
    <row r="153" spans="1:15" x14ac:dyDescent="0.2">
      <c r="A153" s="34">
        <v>1244</v>
      </c>
      <c r="B153" s="35"/>
      <c r="C153" s="36"/>
      <c r="D153" s="36"/>
      <c r="E153" s="48" t="str">
        <f t="shared" si="4"/>
        <v/>
      </c>
      <c r="F153" s="37"/>
      <c r="G153" s="37"/>
      <c r="H153" s="37"/>
      <c r="I153" s="38"/>
      <c r="J153" s="37"/>
      <c r="K153" s="39"/>
      <c r="L153" s="34"/>
      <c r="M153" s="49"/>
      <c r="N153" s="49"/>
      <c r="O153" s="40"/>
    </row>
    <row r="154" spans="1:15" x14ac:dyDescent="0.2">
      <c r="A154" s="34">
        <v>1245</v>
      </c>
      <c r="B154" s="35"/>
      <c r="C154" s="36"/>
      <c r="D154" s="36"/>
      <c r="E154" s="48" t="str">
        <f t="shared" si="4"/>
        <v/>
      </c>
      <c r="F154" s="37"/>
      <c r="G154" s="37"/>
      <c r="H154" s="37"/>
      <c r="I154" s="38"/>
      <c r="J154" s="37"/>
      <c r="K154" s="39"/>
      <c r="L154" s="34"/>
      <c r="M154" s="49"/>
      <c r="N154" s="49"/>
      <c r="O154" s="40"/>
    </row>
    <row r="155" spans="1:15" x14ac:dyDescent="0.2">
      <c r="A155" s="34">
        <v>1246</v>
      </c>
      <c r="B155" s="35"/>
      <c r="C155" s="36"/>
      <c r="D155" s="36"/>
      <c r="E155" s="48" t="str">
        <f t="shared" si="4"/>
        <v/>
      </c>
      <c r="F155" s="37"/>
      <c r="G155" s="37"/>
      <c r="H155" s="37"/>
      <c r="I155" s="38"/>
      <c r="J155" s="37"/>
      <c r="K155" s="39"/>
      <c r="L155" s="34"/>
      <c r="M155" s="49"/>
      <c r="N155" s="49"/>
      <c r="O155" s="40"/>
    </row>
    <row r="156" spans="1:15" x14ac:dyDescent="0.2">
      <c r="A156" s="34">
        <v>1247</v>
      </c>
      <c r="B156" s="35"/>
      <c r="C156" s="36"/>
      <c r="D156" s="36"/>
      <c r="E156" s="48" t="str">
        <f t="shared" si="4"/>
        <v/>
      </c>
      <c r="F156" s="37"/>
      <c r="G156" s="37"/>
      <c r="H156" s="37"/>
      <c r="I156" s="38"/>
      <c r="J156" s="37"/>
      <c r="K156" s="39"/>
      <c r="L156" s="34"/>
      <c r="M156" s="49"/>
      <c r="N156" s="49"/>
      <c r="O156" s="40"/>
    </row>
    <row r="157" spans="1:15" x14ac:dyDescent="0.2">
      <c r="A157" s="34">
        <v>1248</v>
      </c>
      <c r="B157" s="35"/>
      <c r="C157" s="36"/>
      <c r="D157" s="36"/>
      <c r="E157" s="48" t="str">
        <f t="shared" si="4"/>
        <v/>
      </c>
      <c r="F157" s="37"/>
      <c r="G157" s="37"/>
      <c r="H157" s="37"/>
      <c r="I157" s="38"/>
      <c r="J157" s="37"/>
      <c r="K157" s="39"/>
      <c r="L157" s="34"/>
      <c r="M157" s="49"/>
      <c r="N157" s="49"/>
      <c r="O157" s="40"/>
    </row>
    <row r="158" spans="1:15" x14ac:dyDescent="0.2">
      <c r="A158" s="34">
        <v>1249</v>
      </c>
      <c r="B158" s="35"/>
      <c r="C158" s="36"/>
      <c r="D158" s="36"/>
      <c r="E158" s="48" t="str">
        <f t="shared" si="4"/>
        <v/>
      </c>
      <c r="F158" s="37"/>
      <c r="G158" s="37"/>
      <c r="H158" s="37"/>
      <c r="I158" s="38"/>
      <c r="J158" s="37"/>
      <c r="K158" s="39"/>
      <c r="L158" s="34"/>
      <c r="M158" s="49"/>
      <c r="N158" s="49"/>
      <c r="O158" s="40"/>
    </row>
    <row r="159" spans="1:15" x14ac:dyDescent="0.2">
      <c r="A159" s="34">
        <v>1250</v>
      </c>
      <c r="B159" s="35"/>
      <c r="C159" s="36"/>
      <c r="D159" s="36"/>
      <c r="E159" s="48" t="str">
        <f t="shared" ref="E159:E222" si="5">IF(D159&lt;&gt;"",EOMONTH(D159,5),"")</f>
        <v/>
      </c>
      <c r="F159" s="37"/>
      <c r="G159" s="37"/>
      <c r="H159" s="37"/>
      <c r="I159" s="38"/>
      <c r="J159" s="37"/>
      <c r="K159" s="39"/>
      <c r="L159" s="34"/>
      <c r="M159" s="49"/>
      <c r="N159" s="49"/>
      <c r="O159" s="40"/>
    </row>
    <row r="160" spans="1:15" x14ac:dyDescent="0.2">
      <c r="A160" s="34">
        <v>1251</v>
      </c>
      <c r="B160" s="35"/>
      <c r="C160" s="36"/>
      <c r="D160" s="36"/>
      <c r="E160" s="48" t="str">
        <f t="shared" si="5"/>
        <v/>
      </c>
      <c r="F160" s="37"/>
      <c r="G160" s="37"/>
      <c r="H160" s="37"/>
      <c r="I160" s="38"/>
      <c r="J160" s="37"/>
      <c r="K160" s="39"/>
      <c r="L160" s="34"/>
      <c r="M160" s="49"/>
      <c r="N160" s="49"/>
      <c r="O160" s="40"/>
    </row>
    <row r="161" spans="1:15" x14ac:dyDescent="0.2">
      <c r="A161" s="34">
        <v>1252</v>
      </c>
      <c r="B161" s="35"/>
      <c r="C161" s="36"/>
      <c r="D161" s="36"/>
      <c r="E161" s="48" t="str">
        <f t="shared" si="5"/>
        <v/>
      </c>
      <c r="F161" s="37"/>
      <c r="G161" s="37"/>
      <c r="H161" s="37"/>
      <c r="I161" s="38"/>
      <c r="J161" s="37"/>
      <c r="K161" s="39"/>
      <c r="L161" s="34"/>
      <c r="M161" s="49"/>
      <c r="N161" s="49"/>
      <c r="O161" s="40"/>
    </row>
    <row r="162" spans="1:15" x14ac:dyDescent="0.2">
      <c r="A162" s="34">
        <v>1253</v>
      </c>
      <c r="B162" s="35"/>
      <c r="C162" s="36"/>
      <c r="D162" s="36"/>
      <c r="E162" s="48" t="str">
        <f t="shared" si="5"/>
        <v/>
      </c>
      <c r="F162" s="37"/>
      <c r="G162" s="37"/>
      <c r="H162" s="37"/>
      <c r="I162" s="38"/>
      <c r="J162" s="37"/>
      <c r="K162" s="39"/>
      <c r="L162" s="34"/>
      <c r="M162" s="49"/>
      <c r="N162" s="49"/>
      <c r="O162" s="40"/>
    </row>
    <row r="163" spans="1:15" x14ac:dyDescent="0.2">
      <c r="A163" s="34">
        <v>1254</v>
      </c>
      <c r="B163" s="35"/>
      <c r="C163" s="36"/>
      <c r="D163" s="36"/>
      <c r="E163" s="48" t="str">
        <f t="shared" si="5"/>
        <v/>
      </c>
      <c r="F163" s="37"/>
      <c r="G163" s="37"/>
      <c r="H163" s="37"/>
      <c r="I163" s="38"/>
      <c r="J163" s="37"/>
      <c r="K163" s="39"/>
      <c r="L163" s="34"/>
      <c r="M163" s="49"/>
      <c r="N163" s="49"/>
      <c r="O163" s="40"/>
    </row>
    <row r="164" spans="1:15" x14ac:dyDescent="0.2">
      <c r="A164" s="34">
        <v>1255</v>
      </c>
      <c r="B164" s="35"/>
      <c r="C164" s="36"/>
      <c r="D164" s="36"/>
      <c r="E164" s="48" t="str">
        <f t="shared" si="5"/>
        <v/>
      </c>
      <c r="F164" s="37"/>
      <c r="G164" s="37"/>
      <c r="H164" s="37"/>
      <c r="I164" s="38"/>
      <c r="J164" s="37"/>
      <c r="K164" s="39"/>
      <c r="L164" s="34"/>
      <c r="M164" s="49"/>
      <c r="N164" s="49"/>
      <c r="O164" s="40"/>
    </row>
    <row r="165" spans="1:15" x14ac:dyDescent="0.2">
      <c r="A165" s="34">
        <v>1256</v>
      </c>
      <c r="B165" s="35"/>
      <c r="C165" s="36"/>
      <c r="D165" s="36"/>
      <c r="E165" s="48" t="str">
        <f t="shared" si="5"/>
        <v/>
      </c>
      <c r="F165" s="37"/>
      <c r="G165" s="37"/>
      <c r="H165" s="37"/>
      <c r="I165" s="38"/>
      <c r="J165" s="37"/>
      <c r="K165" s="39"/>
      <c r="L165" s="34"/>
      <c r="M165" s="49"/>
      <c r="N165" s="49"/>
      <c r="O165" s="40"/>
    </row>
    <row r="166" spans="1:15" x14ac:dyDescent="0.2">
      <c r="A166" s="34">
        <v>1257</v>
      </c>
      <c r="B166" s="35"/>
      <c r="C166" s="36"/>
      <c r="D166" s="36"/>
      <c r="E166" s="48" t="str">
        <f t="shared" si="5"/>
        <v/>
      </c>
      <c r="F166" s="37"/>
      <c r="G166" s="37"/>
      <c r="H166" s="37"/>
      <c r="I166" s="38"/>
      <c r="J166" s="37"/>
      <c r="K166" s="39"/>
      <c r="L166" s="34"/>
      <c r="M166" s="49"/>
      <c r="N166" s="49"/>
      <c r="O166" s="40"/>
    </row>
    <row r="167" spans="1:15" x14ac:dyDescent="0.2">
      <c r="A167" s="34">
        <v>1258</v>
      </c>
      <c r="B167" s="35"/>
      <c r="C167" s="36"/>
      <c r="D167" s="36"/>
      <c r="E167" s="48" t="str">
        <f t="shared" si="5"/>
        <v/>
      </c>
      <c r="F167" s="37"/>
      <c r="G167" s="37"/>
      <c r="H167" s="37"/>
      <c r="I167" s="38"/>
      <c r="J167" s="37"/>
      <c r="K167" s="39"/>
      <c r="L167" s="34"/>
      <c r="M167" s="49"/>
      <c r="N167" s="49"/>
      <c r="O167" s="40"/>
    </row>
    <row r="168" spans="1:15" x14ac:dyDescent="0.2">
      <c r="A168" s="34">
        <v>1259</v>
      </c>
      <c r="B168" s="35"/>
      <c r="C168" s="36"/>
      <c r="D168" s="36"/>
      <c r="E168" s="48" t="str">
        <f t="shared" si="5"/>
        <v/>
      </c>
      <c r="F168" s="37"/>
      <c r="G168" s="37"/>
      <c r="H168" s="37"/>
      <c r="I168" s="38"/>
      <c r="J168" s="37"/>
      <c r="K168" s="39"/>
      <c r="L168" s="34"/>
      <c r="M168" s="49"/>
      <c r="N168" s="49"/>
      <c r="O168" s="40"/>
    </row>
    <row r="169" spans="1:15" x14ac:dyDescent="0.2">
      <c r="A169" s="34">
        <v>1260</v>
      </c>
      <c r="B169" s="35"/>
      <c r="C169" s="36"/>
      <c r="D169" s="36"/>
      <c r="E169" s="48" t="str">
        <f t="shared" si="5"/>
        <v/>
      </c>
      <c r="F169" s="37"/>
      <c r="G169" s="37"/>
      <c r="H169" s="37"/>
      <c r="I169" s="38"/>
      <c r="J169" s="37"/>
      <c r="K169" s="39"/>
      <c r="L169" s="34"/>
      <c r="M169" s="49"/>
      <c r="N169" s="49"/>
      <c r="O169" s="40"/>
    </row>
    <row r="170" spans="1:15" x14ac:dyDescent="0.2">
      <c r="A170" s="34">
        <v>1261</v>
      </c>
      <c r="B170" s="35"/>
      <c r="C170" s="36"/>
      <c r="D170" s="36"/>
      <c r="E170" s="48" t="str">
        <f t="shared" si="5"/>
        <v/>
      </c>
      <c r="F170" s="37"/>
      <c r="G170" s="37"/>
      <c r="H170" s="37"/>
      <c r="I170" s="38"/>
      <c r="J170" s="37"/>
      <c r="K170" s="39"/>
      <c r="L170" s="34"/>
      <c r="M170" s="49"/>
      <c r="N170" s="49"/>
      <c r="O170" s="40"/>
    </row>
    <row r="171" spans="1:15" x14ac:dyDescent="0.2">
      <c r="A171" s="34">
        <v>1262</v>
      </c>
      <c r="B171" s="35"/>
      <c r="C171" s="36"/>
      <c r="D171" s="36"/>
      <c r="E171" s="48" t="str">
        <f t="shared" si="5"/>
        <v/>
      </c>
      <c r="F171" s="37"/>
      <c r="G171" s="37"/>
      <c r="H171" s="37"/>
      <c r="I171" s="38"/>
      <c r="J171" s="37"/>
      <c r="K171" s="39"/>
      <c r="L171" s="34"/>
      <c r="M171" s="49"/>
      <c r="N171" s="49"/>
      <c r="O171" s="40"/>
    </row>
    <row r="172" spans="1:15" x14ac:dyDescent="0.2">
      <c r="A172" s="34">
        <v>1263</v>
      </c>
      <c r="B172" s="35"/>
      <c r="C172" s="36"/>
      <c r="D172" s="36"/>
      <c r="E172" s="48" t="str">
        <f t="shared" si="5"/>
        <v/>
      </c>
      <c r="F172" s="37"/>
      <c r="G172" s="37"/>
      <c r="H172" s="37"/>
      <c r="I172" s="38"/>
      <c r="J172" s="37"/>
      <c r="K172" s="39"/>
      <c r="L172" s="34"/>
      <c r="M172" s="49"/>
      <c r="N172" s="49"/>
      <c r="O172" s="40"/>
    </row>
    <row r="173" spans="1:15" x14ac:dyDescent="0.2">
      <c r="A173" s="34">
        <v>1264</v>
      </c>
      <c r="B173" s="35"/>
      <c r="C173" s="36"/>
      <c r="D173" s="36"/>
      <c r="E173" s="48" t="str">
        <f t="shared" si="5"/>
        <v/>
      </c>
      <c r="F173" s="37"/>
      <c r="G173" s="37"/>
      <c r="H173" s="37"/>
      <c r="I173" s="38"/>
      <c r="J173" s="37"/>
      <c r="K173" s="39"/>
      <c r="L173" s="34"/>
      <c r="M173" s="49"/>
      <c r="N173" s="49"/>
      <c r="O173" s="40"/>
    </row>
    <row r="174" spans="1:15" x14ac:dyDescent="0.2">
      <c r="A174" s="34">
        <v>1265</v>
      </c>
      <c r="B174" s="35"/>
      <c r="C174" s="36"/>
      <c r="D174" s="36"/>
      <c r="E174" s="48" t="str">
        <f t="shared" si="5"/>
        <v/>
      </c>
      <c r="F174" s="37"/>
      <c r="G174" s="37"/>
      <c r="H174" s="37"/>
      <c r="I174" s="38"/>
      <c r="J174" s="37"/>
      <c r="K174" s="39"/>
      <c r="L174" s="34"/>
      <c r="M174" s="49"/>
      <c r="N174" s="49"/>
      <c r="O174" s="40"/>
    </row>
    <row r="175" spans="1:15" x14ac:dyDescent="0.2">
      <c r="A175" s="34">
        <v>1266</v>
      </c>
      <c r="B175" s="35"/>
      <c r="C175" s="36"/>
      <c r="D175" s="36"/>
      <c r="E175" s="48" t="str">
        <f t="shared" si="5"/>
        <v/>
      </c>
      <c r="F175" s="37"/>
      <c r="G175" s="37"/>
      <c r="H175" s="37"/>
      <c r="I175" s="38"/>
      <c r="J175" s="37"/>
      <c r="K175" s="39"/>
      <c r="L175" s="34"/>
      <c r="M175" s="49"/>
      <c r="N175" s="49"/>
      <c r="O175" s="40"/>
    </row>
    <row r="176" spans="1:15" x14ac:dyDescent="0.2">
      <c r="A176" s="34">
        <v>1267</v>
      </c>
      <c r="B176" s="35"/>
      <c r="C176" s="36"/>
      <c r="D176" s="36"/>
      <c r="E176" s="48" t="str">
        <f t="shared" si="5"/>
        <v/>
      </c>
      <c r="F176" s="37"/>
      <c r="G176" s="37"/>
      <c r="H176" s="37"/>
      <c r="I176" s="38"/>
      <c r="J176" s="37"/>
      <c r="K176" s="39"/>
      <c r="L176" s="34"/>
      <c r="M176" s="49"/>
      <c r="N176" s="49"/>
      <c r="O176" s="40"/>
    </row>
    <row r="177" spans="1:15" x14ac:dyDescent="0.2">
      <c r="A177" s="34">
        <v>1268</v>
      </c>
      <c r="B177" s="35"/>
      <c r="C177" s="36"/>
      <c r="D177" s="36"/>
      <c r="E177" s="48" t="str">
        <f t="shared" si="5"/>
        <v/>
      </c>
      <c r="F177" s="37"/>
      <c r="G177" s="37"/>
      <c r="H177" s="37"/>
      <c r="I177" s="38"/>
      <c r="J177" s="37"/>
      <c r="K177" s="39"/>
      <c r="L177" s="34"/>
      <c r="M177" s="49"/>
      <c r="N177" s="49"/>
      <c r="O177" s="40"/>
    </row>
    <row r="178" spans="1:15" x14ac:dyDescent="0.2">
      <c r="A178" s="34">
        <v>1269</v>
      </c>
      <c r="B178" s="35"/>
      <c r="C178" s="36"/>
      <c r="D178" s="36"/>
      <c r="E178" s="48" t="str">
        <f t="shared" si="5"/>
        <v/>
      </c>
      <c r="F178" s="37"/>
      <c r="G178" s="37"/>
      <c r="H178" s="37"/>
      <c r="I178" s="38"/>
      <c r="J178" s="37"/>
      <c r="K178" s="39"/>
      <c r="L178" s="34"/>
      <c r="M178" s="49"/>
      <c r="N178" s="49"/>
      <c r="O178" s="40"/>
    </row>
    <row r="179" spans="1:15" x14ac:dyDescent="0.2">
      <c r="A179" s="34">
        <v>1270</v>
      </c>
      <c r="B179" s="35"/>
      <c r="C179" s="36"/>
      <c r="D179" s="36"/>
      <c r="E179" s="48" t="str">
        <f t="shared" si="5"/>
        <v/>
      </c>
      <c r="F179" s="37"/>
      <c r="G179" s="37"/>
      <c r="H179" s="37"/>
      <c r="I179" s="38"/>
      <c r="J179" s="37"/>
      <c r="K179" s="39"/>
      <c r="L179" s="34"/>
      <c r="M179" s="49"/>
      <c r="N179" s="49"/>
      <c r="O179" s="40"/>
    </row>
    <row r="180" spans="1:15" x14ac:dyDescent="0.2">
      <c r="A180" s="34">
        <v>1271</v>
      </c>
      <c r="B180" s="35"/>
      <c r="C180" s="36"/>
      <c r="D180" s="36"/>
      <c r="E180" s="48" t="str">
        <f t="shared" si="5"/>
        <v/>
      </c>
      <c r="F180" s="37"/>
      <c r="G180" s="37"/>
      <c r="H180" s="37"/>
      <c r="I180" s="38"/>
      <c r="J180" s="37"/>
      <c r="K180" s="39"/>
      <c r="L180" s="34"/>
      <c r="M180" s="49"/>
      <c r="N180" s="49"/>
      <c r="O180" s="40"/>
    </row>
    <row r="181" spans="1:15" x14ac:dyDescent="0.2">
      <c r="A181" s="34">
        <v>1272</v>
      </c>
      <c r="B181" s="35"/>
      <c r="C181" s="36"/>
      <c r="D181" s="36"/>
      <c r="E181" s="48" t="str">
        <f t="shared" si="5"/>
        <v/>
      </c>
      <c r="F181" s="37"/>
      <c r="G181" s="37"/>
      <c r="H181" s="37"/>
      <c r="I181" s="38"/>
      <c r="J181" s="37"/>
      <c r="K181" s="39"/>
      <c r="L181" s="34"/>
      <c r="M181" s="49"/>
      <c r="N181" s="49"/>
      <c r="O181" s="40"/>
    </row>
    <row r="182" spans="1:15" x14ac:dyDescent="0.2">
      <c r="A182" s="34">
        <v>1273</v>
      </c>
      <c r="B182" s="35"/>
      <c r="C182" s="36"/>
      <c r="D182" s="36"/>
      <c r="E182" s="48" t="str">
        <f t="shared" si="5"/>
        <v/>
      </c>
      <c r="F182" s="37"/>
      <c r="G182" s="37"/>
      <c r="H182" s="37"/>
      <c r="I182" s="38"/>
      <c r="J182" s="37"/>
      <c r="K182" s="39"/>
      <c r="L182" s="34"/>
      <c r="M182" s="49"/>
      <c r="N182" s="49"/>
      <c r="O182" s="40"/>
    </row>
    <row r="183" spans="1:15" x14ac:dyDescent="0.2">
      <c r="A183" s="34">
        <v>1274</v>
      </c>
      <c r="B183" s="35"/>
      <c r="C183" s="36"/>
      <c r="D183" s="36"/>
      <c r="E183" s="48" t="str">
        <f t="shared" si="5"/>
        <v/>
      </c>
      <c r="F183" s="37"/>
      <c r="G183" s="37"/>
      <c r="H183" s="37"/>
      <c r="I183" s="38"/>
      <c r="J183" s="37"/>
      <c r="K183" s="39"/>
      <c r="L183" s="34"/>
      <c r="M183" s="49"/>
      <c r="N183" s="49"/>
      <c r="O183" s="40"/>
    </row>
    <row r="184" spans="1:15" x14ac:dyDescent="0.2">
      <c r="A184" s="34">
        <v>1275</v>
      </c>
      <c r="B184" s="35"/>
      <c r="C184" s="36"/>
      <c r="D184" s="36"/>
      <c r="E184" s="48" t="str">
        <f t="shared" si="5"/>
        <v/>
      </c>
      <c r="F184" s="37"/>
      <c r="G184" s="37"/>
      <c r="H184" s="37"/>
      <c r="I184" s="38"/>
      <c r="J184" s="37"/>
      <c r="K184" s="39"/>
      <c r="L184" s="34"/>
      <c r="M184" s="49"/>
      <c r="N184" s="49"/>
      <c r="O184" s="40"/>
    </row>
    <row r="185" spans="1:15" x14ac:dyDescent="0.2">
      <c r="A185" s="34">
        <v>1276</v>
      </c>
      <c r="B185" s="35"/>
      <c r="C185" s="36"/>
      <c r="D185" s="36"/>
      <c r="E185" s="48" t="str">
        <f t="shared" si="5"/>
        <v/>
      </c>
      <c r="F185" s="37"/>
      <c r="G185" s="37"/>
      <c r="H185" s="37"/>
      <c r="I185" s="38"/>
      <c r="J185" s="37"/>
      <c r="K185" s="39"/>
      <c r="L185" s="34"/>
      <c r="M185" s="49"/>
      <c r="N185" s="49"/>
      <c r="O185" s="40"/>
    </row>
    <row r="186" spans="1:15" x14ac:dyDescent="0.2">
      <c r="A186" s="34">
        <v>1277</v>
      </c>
      <c r="B186" s="35"/>
      <c r="C186" s="36"/>
      <c r="D186" s="36"/>
      <c r="E186" s="48" t="str">
        <f t="shared" si="5"/>
        <v/>
      </c>
      <c r="F186" s="37"/>
      <c r="G186" s="37"/>
      <c r="H186" s="37"/>
      <c r="I186" s="38"/>
      <c r="J186" s="37"/>
      <c r="K186" s="39"/>
      <c r="L186" s="34"/>
      <c r="M186" s="49"/>
      <c r="N186" s="49"/>
      <c r="O186" s="40"/>
    </row>
    <row r="187" spans="1:15" x14ac:dyDescent="0.2">
      <c r="A187" s="34">
        <v>1278</v>
      </c>
      <c r="B187" s="35"/>
      <c r="C187" s="36"/>
      <c r="D187" s="36"/>
      <c r="E187" s="48" t="str">
        <f t="shared" si="5"/>
        <v/>
      </c>
      <c r="F187" s="37"/>
      <c r="G187" s="37"/>
      <c r="H187" s="37"/>
      <c r="I187" s="38"/>
      <c r="J187" s="37"/>
      <c r="K187" s="39"/>
      <c r="L187" s="34"/>
      <c r="M187" s="49"/>
      <c r="N187" s="49"/>
      <c r="O187" s="40"/>
    </row>
    <row r="188" spans="1:15" x14ac:dyDescent="0.2">
      <c r="A188" s="34">
        <v>1279</v>
      </c>
      <c r="B188" s="35"/>
      <c r="C188" s="36"/>
      <c r="D188" s="36"/>
      <c r="E188" s="48" t="str">
        <f t="shared" si="5"/>
        <v/>
      </c>
      <c r="F188" s="37"/>
      <c r="G188" s="37"/>
      <c r="H188" s="37"/>
      <c r="I188" s="38"/>
      <c r="J188" s="37"/>
      <c r="K188" s="39"/>
      <c r="L188" s="34"/>
      <c r="M188" s="49"/>
      <c r="N188" s="49"/>
      <c r="O188" s="40"/>
    </row>
    <row r="189" spans="1:15" x14ac:dyDescent="0.2">
      <c r="A189" s="34">
        <v>1280</v>
      </c>
      <c r="B189" s="35"/>
      <c r="C189" s="36"/>
      <c r="D189" s="36"/>
      <c r="E189" s="48" t="str">
        <f t="shared" si="5"/>
        <v/>
      </c>
      <c r="F189" s="37"/>
      <c r="G189" s="37"/>
      <c r="H189" s="37"/>
      <c r="I189" s="38"/>
      <c r="J189" s="37"/>
      <c r="K189" s="39"/>
      <c r="L189" s="34"/>
      <c r="M189" s="49"/>
      <c r="N189" s="49"/>
      <c r="O189" s="40"/>
    </row>
    <row r="190" spans="1:15" x14ac:dyDescent="0.2">
      <c r="A190" s="34">
        <v>1281</v>
      </c>
      <c r="B190" s="35"/>
      <c r="C190" s="36"/>
      <c r="D190" s="36"/>
      <c r="E190" s="48" t="str">
        <f t="shared" si="5"/>
        <v/>
      </c>
      <c r="F190" s="37"/>
      <c r="G190" s="37"/>
      <c r="H190" s="37"/>
      <c r="I190" s="38"/>
      <c r="J190" s="37"/>
      <c r="K190" s="39"/>
      <c r="L190" s="34"/>
      <c r="M190" s="49"/>
      <c r="N190" s="49"/>
      <c r="O190" s="40"/>
    </row>
    <row r="191" spans="1:15" x14ac:dyDescent="0.2">
      <c r="A191" s="34">
        <v>1282</v>
      </c>
      <c r="B191" s="35"/>
      <c r="C191" s="36"/>
      <c r="D191" s="36"/>
      <c r="E191" s="48" t="str">
        <f t="shared" si="5"/>
        <v/>
      </c>
      <c r="F191" s="37"/>
      <c r="G191" s="37"/>
      <c r="H191" s="37"/>
      <c r="I191" s="38"/>
      <c r="J191" s="37"/>
      <c r="K191" s="39"/>
      <c r="L191" s="34"/>
      <c r="M191" s="49"/>
      <c r="N191" s="49"/>
      <c r="O191" s="40"/>
    </row>
    <row r="192" spans="1:15" x14ac:dyDescent="0.2">
      <c r="A192" s="34">
        <v>1283</v>
      </c>
      <c r="B192" s="35"/>
      <c r="C192" s="36"/>
      <c r="D192" s="36"/>
      <c r="E192" s="48" t="str">
        <f t="shared" si="5"/>
        <v/>
      </c>
      <c r="F192" s="37"/>
      <c r="G192" s="37"/>
      <c r="H192" s="37"/>
      <c r="I192" s="38"/>
      <c r="J192" s="37"/>
      <c r="K192" s="39"/>
      <c r="L192" s="34"/>
      <c r="M192" s="49"/>
      <c r="N192" s="49"/>
      <c r="O192" s="40"/>
    </row>
    <row r="193" spans="1:15" x14ac:dyDescent="0.2">
      <c r="A193" s="34">
        <v>1284</v>
      </c>
      <c r="B193" s="35"/>
      <c r="C193" s="36"/>
      <c r="D193" s="36"/>
      <c r="E193" s="48" t="str">
        <f t="shared" si="5"/>
        <v/>
      </c>
      <c r="F193" s="37"/>
      <c r="G193" s="37"/>
      <c r="H193" s="37"/>
      <c r="I193" s="38"/>
      <c r="J193" s="37"/>
      <c r="K193" s="39"/>
      <c r="L193" s="34"/>
      <c r="M193" s="49"/>
      <c r="N193" s="49"/>
      <c r="O193" s="40"/>
    </row>
    <row r="194" spans="1:15" x14ac:dyDescent="0.2">
      <c r="A194" s="34">
        <v>1285</v>
      </c>
      <c r="B194" s="35"/>
      <c r="C194" s="36"/>
      <c r="D194" s="36"/>
      <c r="E194" s="48" t="str">
        <f t="shared" si="5"/>
        <v/>
      </c>
      <c r="F194" s="37"/>
      <c r="G194" s="37"/>
      <c r="H194" s="37"/>
      <c r="I194" s="38"/>
      <c r="J194" s="37"/>
      <c r="K194" s="39"/>
      <c r="L194" s="34"/>
      <c r="M194" s="49"/>
      <c r="N194" s="49"/>
      <c r="O194" s="40"/>
    </row>
    <row r="195" spans="1:15" x14ac:dyDescent="0.2">
      <c r="A195" s="34">
        <v>1286</v>
      </c>
      <c r="B195" s="35"/>
      <c r="C195" s="36"/>
      <c r="D195" s="36"/>
      <c r="E195" s="48" t="str">
        <f t="shared" si="5"/>
        <v/>
      </c>
      <c r="F195" s="37"/>
      <c r="G195" s="37"/>
      <c r="H195" s="37"/>
      <c r="I195" s="38"/>
      <c r="J195" s="37"/>
      <c r="K195" s="39"/>
      <c r="L195" s="34"/>
      <c r="M195" s="49"/>
      <c r="N195" s="49"/>
      <c r="O195" s="40"/>
    </row>
    <row r="196" spans="1:15" x14ac:dyDescent="0.2">
      <c r="A196" s="34">
        <v>1287</v>
      </c>
      <c r="B196" s="35"/>
      <c r="C196" s="36"/>
      <c r="D196" s="36"/>
      <c r="E196" s="48" t="str">
        <f t="shared" si="5"/>
        <v/>
      </c>
      <c r="F196" s="37"/>
      <c r="G196" s="37"/>
      <c r="H196" s="37"/>
      <c r="I196" s="38"/>
      <c r="J196" s="37"/>
      <c r="K196" s="39"/>
      <c r="L196" s="34"/>
      <c r="M196" s="49"/>
      <c r="N196" s="49"/>
      <c r="O196" s="40"/>
    </row>
    <row r="197" spans="1:15" x14ac:dyDescent="0.2">
      <c r="A197" s="34">
        <v>1288</v>
      </c>
      <c r="B197" s="35"/>
      <c r="C197" s="36"/>
      <c r="D197" s="36"/>
      <c r="E197" s="48" t="str">
        <f t="shared" si="5"/>
        <v/>
      </c>
      <c r="F197" s="37"/>
      <c r="G197" s="37"/>
      <c r="H197" s="37"/>
      <c r="I197" s="38"/>
      <c r="J197" s="37"/>
      <c r="K197" s="39"/>
      <c r="L197" s="34"/>
      <c r="M197" s="49"/>
      <c r="N197" s="49"/>
      <c r="O197" s="40"/>
    </row>
    <row r="198" spans="1:15" x14ac:dyDescent="0.2">
      <c r="A198" s="34">
        <v>1289</v>
      </c>
      <c r="B198" s="35"/>
      <c r="C198" s="36"/>
      <c r="D198" s="36"/>
      <c r="E198" s="48" t="str">
        <f t="shared" si="5"/>
        <v/>
      </c>
      <c r="F198" s="37"/>
      <c r="G198" s="37"/>
      <c r="H198" s="37"/>
      <c r="I198" s="38"/>
      <c r="J198" s="37"/>
      <c r="K198" s="39"/>
      <c r="L198" s="34"/>
      <c r="M198" s="49"/>
      <c r="N198" s="49"/>
      <c r="O198" s="40"/>
    </row>
    <row r="199" spans="1:15" x14ac:dyDescent="0.2">
      <c r="A199" s="34">
        <v>1290</v>
      </c>
      <c r="B199" s="35"/>
      <c r="C199" s="36"/>
      <c r="D199" s="36"/>
      <c r="E199" s="48" t="str">
        <f t="shared" si="5"/>
        <v/>
      </c>
      <c r="F199" s="37"/>
      <c r="G199" s="37"/>
      <c r="H199" s="37"/>
      <c r="I199" s="38"/>
      <c r="J199" s="37"/>
      <c r="K199" s="39"/>
      <c r="L199" s="34"/>
      <c r="M199" s="49"/>
      <c r="N199" s="49"/>
      <c r="O199" s="40"/>
    </row>
    <row r="200" spans="1:15" x14ac:dyDescent="0.2">
      <c r="A200" s="34">
        <v>1291</v>
      </c>
      <c r="B200" s="35"/>
      <c r="C200" s="36"/>
      <c r="D200" s="36"/>
      <c r="E200" s="48" t="str">
        <f t="shared" si="5"/>
        <v/>
      </c>
      <c r="F200" s="37"/>
      <c r="G200" s="37"/>
      <c r="H200" s="37"/>
      <c r="I200" s="38"/>
      <c r="J200" s="37"/>
      <c r="K200" s="39"/>
      <c r="L200" s="34"/>
      <c r="M200" s="49"/>
      <c r="N200" s="49"/>
      <c r="O200" s="40"/>
    </row>
    <row r="201" spans="1:15" x14ac:dyDescent="0.2">
      <c r="A201" s="34">
        <v>1292</v>
      </c>
      <c r="B201" s="35"/>
      <c r="C201" s="36"/>
      <c r="D201" s="36"/>
      <c r="E201" s="48" t="str">
        <f t="shared" si="5"/>
        <v/>
      </c>
      <c r="F201" s="37"/>
      <c r="G201" s="37"/>
      <c r="H201" s="37"/>
      <c r="I201" s="38"/>
      <c r="J201" s="37"/>
      <c r="K201" s="39"/>
      <c r="L201" s="34"/>
      <c r="M201" s="49"/>
      <c r="N201" s="49"/>
      <c r="O201" s="40"/>
    </row>
    <row r="202" spans="1:15" x14ac:dyDescent="0.2">
      <c r="A202" s="34">
        <v>1293</v>
      </c>
      <c r="B202" s="35"/>
      <c r="C202" s="36"/>
      <c r="D202" s="36"/>
      <c r="E202" s="48" t="str">
        <f t="shared" si="5"/>
        <v/>
      </c>
      <c r="F202" s="37"/>
      <c r="G202" s="37"/>
      <c r="H202" s="37"/>
      <c r="I202" s="38"/>
      <c r="J202" s="37"/>
      <c r="K202" s="39"/>
      <c r="L202" s="34"/>
      <c r="M202" s="49"/>
      <c r="N202" s="49"/>
      <c r="O202" s="40"/>
    </row>
    <row r="203" spans="1:15" x14ac:dyDescent="0.2">
      <c r="A203" s="34">
        <v>1294</v>
      </c>
      <c r="B203" s="35"/>
      <c r="C203" s="36"/>
      <c r="D203" s="36"/>
      <c r="E203" s="48" t="str">
        <f t="shared" si="5"/>
        <v/>
      </c>
      <c r="F203" s="37"/>
      <c r="G203" s="37"/>
      <c r="H203" s="37"/>
      <c r="I203" s="38"/>
      <c r="J203" s="37"/>
      <c r="K203" s="39"/>
      <c r="L203" s="34"/>
      <c r="M203" s="49"/>
      <c r="N203" s="49"/>
      <c r="O203" s="40"/>
    </row>
    <row r="204" spans="1:15" x14ac:dyDescent="0.2">
      <c r="A204" s="34">
        <v>1295</v>
      </c>
      <c r="B204" s="35"/>
      <c r="C204" s="36"/>
      <c r="D204" s="36"/>
      <c r="E204" s="48" t="str">
        <f t="shared" si="5"/>
        <v/>
      </c>
      <c r="F204" s="37"/>
      <c r="G204" s="37"/>
      <c r="H204" s="37"/>
      <c r="I204" s="38"/>
      <c r="J204" s="37"/>
      <c r="K204" s="39"/>
      <c r="L204" s="34"/>
      <c r="M204" s="49"/>
      <c r="N204" s="49"/>
      <c r="O204" s="40"/>
    </row>
    <row r="205" spans="1:15" x14ac:dyDescent="0.2">
      <c r="A205" s="34">
        <v>1296</v>
      </c>
      <c r="B205" s="35"/>
      <c r="C205" s="36"/>
      <c r="D205" s="36"/>
      <c r="E205" s="48" t="str">
        <f t="shared" si="5"/>
        <v/>
      </c>
      <c r="F205" s="37"/>
      <c r="G205" s="37"/>
      <c r="H205" s="37"/>
      <c r="I205" s="38"/>
      <c r="J205" s="37"/>
      <c r="K205" s="39"/>
      <c r="L205" s="34"/>
      <c r="M205" s="49"/>
      <c r="N205" s="49"/>
      <c r="O205" s="40"/>
    </row>
    <row r="206" spans="1:15" x14ac:dyDescent="0.2">
      <c r="A206" s="34">
        <v>1297</v>
      </c>
      <c r="B206" s="35"/>
      <c r="C206" s="36"/>
      <c r="D206" s="36"/>
      <c r="E206" s="48" t="str">
        <f t="shared" si="5"/>
        <v/>
      </c>
      <c r="F206" s="37"/>
      <c r="G206" s="37"/>
      <c r="H206" s="37"/>
      <c r="I206" s="38"/>
      <c r="J206" s="37"/>
      <c r="K206" s="39"/>
      <c r="L206" s="34"/>
      <c r="M206" s="49"/>
      <c r="N206" s="49"/>
      <c r="O206" s="40"/>
    </row>
    <row r="207" spans="1:15" x14ac:dyDescent="0.2">
      <c r="A207" s="34">
        <v>1298</v>
      </c>
      <c r="B207" s="35"/>
      <c r="C207" s="36"/>
      <c r="D207" s="36"/>
      <c r="E207" s="48" t="str">
        <f t="shared" si="5"/>
        <v/>
      </c>
      <c r="F207" s="37"/>
      <c r="G207" s="37"/>
      <c r="H207" s="37"/>
      <c r="I207" s="38"/>
      <c r="J207" s="37"/>
      <c r="K207" s="39"/>
      <c r="L207" s="34"/>
      <c r="M207" s="49"/>
      <c r="N207" s="49"/>
      <c r="O207" s="40"/>
    </row>
    <row r="208" spans="1:15" x14ac:dyDescent="0.2">
      <c r="A208" s="34">
        <v>1299</v>
      </c>
      <c r="B208" s="35"/>
      <c r="C208" s="36"/>
      <c r="D208" s="36"/>
      <c r="E208" s="48" t="str">
        <f t="shared" si="5"/>
        <v/>
      </c>
      <c r="F208" s="37"/>
      <c r="G208" s="37"/>
      <c r="H208" s="37"/>
      <c r="I208" s="38"/>
      <c r="J208" s="37"/>
      <c r="K208" s="39"/>
      <c r="L208" s="34"/>
      <c r="M208" s="49"/>
      <c r="N208" s="49"/>
      <c r="O208" s="40"/>
    </row>
    <row r="209" spans="1:15" x14ac:dyDescent="0.2">
      <c r="A209" s="34">
        <v>1300</v>
      </c>
      <c r="B209" s="35"/>
      <c r="C209" s="36"/>
      <c r="D209" s="36"/>
      <c r="E209" s="48" t="str">
        <f t="shared" si="5"/>
        <v/>
      </c>
      <c r="F209" s="37"/>
      <c r="G209" s="37"/>
      <c r="H209" s="37"/>
      <c r="I209" s="38"/>
      <c r="J209" s="37"/>
      <c r="K209" s="39"/>
      <c r="L209" s="34"/>
      <c r="M209" s="49"/>
      <c r="N209" s="49"/>
      <c r="O209" s="40"/>
    </row>
    <row r="210" spans="1:15" x14ac:dyDescent="0.2">
      <c r="A210" s="34">
        <v>1301</v>
      </c>
      <c r="B210" s="35"/>
      <c r="C210" s="36"/>
      <c r="D210" s="36"/>
      <c r="E210" s="48" t="str">
        <f t="shared" si="5"/>
        <v/>
      </c>
      <c r="F210" s="37"/>
      <c r="G210" s="37"/>
      <c r="H210" s="37"/>
      <c r="I210" s="38"/>
      <c r="J210" s="37"/>
      <c r="K210" s="39"/>
      <c r="L210" s="34"/>
      <c r="M210" s="49"/>
      <c r="N210" s="49"/>
      <c r="O210" s="40"/>
    </row>
    <row r="211" spans="1:15" x14ac:dyDescent="0.2">
      <c r="A211" s="34">
        <v>1302</v>
      </c>
      <c r="B211" s="35"/>
      <c r="C211" s="36"/>
      <c r="D211" s="36"/>
      <c r="E211" s="48" t="str">
        <f t="shared" si="5"/>
        <v/>
      </c>
      <c r="F211" s="37"/>
      <c r="G211" s="37"/>
      <c r="H211" s="37"/>
      <c r="I211" s="38"/>
      <c r="J211" s="37"/>
      <c r="K211" s="39"/>
      <c r="L211" s="34"/>
      <c r="M211" s="49"/>
      <c r="N211" s="49"/>
      <c r="O211" s="40"/>
    </row>
    <row r="212" spans="1:15" x14ac:dyDescent="0.2">
      <c r="A212" s="34">
        <v>1303</v>
      </c>
      <c r="B212" s="35"/>
      <c r="C212" s="36"/>
      <c r="D212" s="36"/>
      <c r="E212" s="48" t="str">
        <f t="shared" si="5"/>
        <v/>
      </c>
      <c r="F212" s="37"/>
      <c r="G212" s="37"/>
      <c r="H212" s="37"/>
      <c r="I212" s="38"/>
      <c r="J212" s="37"/>
      <c r="K212" s="39"/>
      <c r="L212" s="34"/>
      <c r="M212" s="49"/>
      <c r="N212" s="49"/>
      <c r="O212" s="40"/>
    </row>
    <row r="213" spans="1:15" x14ac:dyDescent="0.2">
      <c r="A213" s="34">
        <v>1304</v>
      </c>
      <c r="B213" s="35"/>
      <c r="C213" s="36"/>
      <c r="D213" s="36"/>
      <c r="E213" s="48" t="str">
        <f t="shared" si="5"/>
        <v/>
      </c>
      <c r="F213" s="37"/>
      <c r="G213" s="37"/>
      <c r="H213" s="37"/>
      <c r="I213" s="38"/>
      <c r="J213" s="37"/>
      <c r="K213" s="39"/>
      <c r="L213" s="34"/>
      <c r="M213" s="49"/>
      <c r="N213" s="49"/>
      <c r="O213" s="40"/>
    </row>
    <row r="214" spans="1:15" x14ac:dyDescent="0.2">
      <c r="A214" s="34">
        <v>1305</v>
      </c>
      <c r="B214" s="35"/>
      <c r="C214" s="36"/>
      <c r="D214" s="36"/>
      <c r="E214" s="48" t="str">
        <f t="shared" si="5"/>
        <v/>
      </c>
      <c r="F214" s="37"/>
      <c r="G214" s="37"/>
      <c r="H214" s="37"/>
      <c r="I214" s="38"/>
      <c r="J214" s="37"/>
      <c r="K214" s="39"/>
      <c r="L214" s="34"/>
      <c r="M214" s="49"/>
      <c r="N214" s="49"/>
      <c r="O214" s="40"/>
    </row>
    <row r="215" spans="1:15" x14ac:dyDescent="0.2">
      <c r="A215" s="34">
        <v>1306</v>
      </c>
      <c r="B215" s="35"/>
      <c r="C215" s="36"/>
      <c r="D215" s="36"/>
      <c r="E215" s="48" t="str">
        <f t="shared" si="5"/>
        <v/>
      </c>
      <c r="F215" s="37"/>
      <c r="G215" s="37"/>
      <c r="H215" s="37"/>
      <c r="I215" s="38"/>
      <c r="J215" s="37"/>
      <c r="K215" s="39"/>
      <c r="L215" s="34"/>
      <c r="M215" s="49"/>
      <c r="N215" s="49"/>
      <c r="O215" s="40"/>
    </row>
    <row r="216" spans="1:15" x14ac:dyDescent="0.2">
      <c r="A216" s="34">
        <v>1307</v>
      </c>
      <c r="B216" s="35"/>
      <c r="C216" s="36"/>
      <c r="D216" s="36"/>
      <c r="E216" s="48" t="str">
        <f t="shared" si="5"/>
        <v/>
      </c>
      <c r="F216" s="37"/>
      <c r="G216" s="37"/>
      <c r="H216" s="37"/>
      <c r="I216" s="38"/>
      <c r="J216" s="37"/>
      <c r="K216" s="39"/>
      <c r="L216" s="34"/>
      <c r="M216" s="49"/>
      <c r="N216" s="49"/>
      <c r="O216" s="40"/>
    </row>
    <row r="217" spans="1:15" x14ac:dyDescent="0.2">
      <c r="A217" s="34">
        <v>1308</v>
      </c>
      <c r="B217" s="35"/>
      <c r="C217" s="36"/>
      <c r="D217" s="36"/>
      <c r="E217" s="48" t="str">
        <f t="shared" si="5"/>
        <v/>
      </c>
      <c r="F217" s="37"/>
      <c r="G217" s="37"/>
      <c r="H217" s="37"/>
      <c r="I217" s="38"/>
      <c r="J217" s="37"/>
      <c r="K217" s="39"/>
      <c r="L217" s="34"/>
      <c r="M217" s="49"/>
      <c r="N217" s="49"/>
      <c r="O217" s="40"/>
    </row>
    <row r="218" spans="1:15" x14ac:dyDescent="0.2">
      <c r="A218" s="34">
        <v>1309</v>
      </c>
      <c r="B218" s="35"/>
      <c r="C218" s="36"/>
      <c r="D218" s="36"/>
      <c r="E218" s="48" t="str">
        <f t="shared" si="5"/>
        <v/>
      </c>
      <c r="F218" s="37"/>
      <c r="G218" s="37"/>
      <c r="H218" s="37"/>
      <c r="I218" s="38"/>
      <c r="J218" s="37"/>
      <c r="K218" s="39"/>
      <c r="L218" s="34"/>
      <c r="M218" s="49"/>
      <c r="N218" s="49"/>
      <c r="O218" s="40"/>
    </row>
    <row r="219" spans="1:15" x14ac:dyDescent="0.2">
      <c r="A219" s="34">
        <v>1310</v>
      </c>
      <c r="B219" s="35"/>
      <c r="C219" s="36"/>
      <c r="D219" s="36"/>
      <c r="E219" s="48" t="str">
        <f t="shared" si="5"/>
        <v/>
      </c>
      <c r="F219" s="37"/>
      <c r="G219" s="37"/>
      <c r="H219" s="37"/>
      <c r="I219" s="38"/>
      <c r="J219" s="37"/>
      <c r="K219" s="39"/>
      <c r="L219" s="34"/>
      <c r="M219" s="49"/>
      <c r="N219" s="49"/>
      <c r="O219" s="40"/>
    </row>
    <row r="220" spans="1:15" x14ac:dyDescent="0.2">
      <c r="A220" s="34">
        <v>1311</v>
      </c>
      <c r="B220" s="35"/>
      <c r="C220" s="36"/>
      <c r="D220" s="36"/>
      <c r="E220" s="48" t="str">
        <f t="shared" si="5"/>
        <v/>
      </c>
      <c r="F220" s="37"/>
      <c r="G220" s="37"/>
      <c r="H220" s="37"/>
      <c r="I220" s="38"/>
      <c r="J220" s="37"/>
      <c r="K220" s="39"/>
      <c r="L220" s="34"/>
      <c r="M220" s="49"/>
      <c r="N220" s="49"/>
      <c r="O220" s="40"/>
    </row>
    <row r="221" spans="1:15" x14ac:dyDescent="0.2">
      <c r="A221" s="34">
        <v>1312</v>
      </c>
      <c r="B221" s="35"/>
      <c r="C221" s="36"/>
      <c r="D221" s="36"/>
      <c r="E221" s="48" t="str">
        <f t="shared" si="5"/>
        <v/>
      </c>
      <c r="F221" s="37"/>
      <c r="G221" s="37"/>
      <c r="H221" s="37"/>
      <c r="I221" s="38"/>
      <c r="J221" s="37"/>
      <c r="K221" s="39"/>
      <c r="L221" s="34"/>
      <c r="M221" s="49"/>
      <c r="N221" s="49"/>
      <c r="O221" s="40"/>
    </row>
    <row r="222" spans="1:15" x14ac:dyDescent="0.2">
      <c r="A222" s="34">
        <v>1313</v>
      </c>
      <c r="B222" s="35"/>
      <c r="C222" s="36"/>
      <c r="D222" s="36"/>
      <c r="E222" s="48" t="str">
        <f t="shared" si="5"/>
        <v/>
      </c>
      <c r="F222" s="37"/>
      <c r="G222" s="37"/>
      <c r="H222" s="37"/>
      <c r="I222" s="38"/>
      <c r="J222" s="37"/>
      <c r="K222" s="39"/>
      <c r="L222" s="34"/>
      <c r="M222" s="49"/>
      <c r="N222" s="49"/>
      <c r="O222" s="40"/>
    </row>
    <row r="223" spans="1:15" x14ac:dyDescent="0.2">
      <c r="A223" s="34">
        <v>1314</v>
      </c>
      <c r="B223" s="35"/>
      <c r="C223" s="36"/>
      <c r="D223" s="36"/>
      <c r="E223" s="48" t="str">
        <f t="shared" ref="E223:E286" si="6">IF(D223&lt;&gt;"",EOMONTH(D223,5),"")</f>
        <v/>
      </c>
      <c r="F223" s="37"/>
      <c r="G223" s="37"/>
      <c r="H223" s="37"/>
      <c r="I223" s="38"/>
      <c r="J223" s="37"/>
      <c r="K223" s="39"/>
      <c r="L223" s="34"/>
      <c r="M223" s="49"/>
      <c r="N223" s="49"/>
      <c r="O223" s="40"/>
    </row>
    <row r="224" spans="1:15" x14ac:dyDescent="0.2">
      <c r="A224" s="34">
        <v>1315</v>
      </c>
      <c r="B224" s="35"/>
      <c r="C224" s="36"/>
      <c r="D224" s="36"/>
      <c r="E224" s="48" t="str">
        <f t="shared" si="6"/>
        <v/>
      </c>
      <c r="F224" s="37"/>
      <c r="G224" s="37"/>
      <c r="H224" s="37"/>
      <c r="I224" s="38"/>
      <c r="J224" s="37"/>
      <c r="K224" s="39"/>
      <c r="L224" s="34"/>
      <c r="M224" s="49"/>
      <c r="N224" s="49"/>
      <c r="O224" s="40"/>
    </row>
    <row r="225" spans="1:15" x14ac:dyDescent="0.2">
      <c r="A225" s="34">
        <v>1316</v>
      </c>
      <c r="B225" s="35"/>
      <c r="C225" s="36"/>
      <c r="D225" s="36"/>
      <c r="E225" s="48" t="str">
        <f t="shared" si="6"/>
        <v/>
      </c>
      <c r="F225" s="37"/>
      <c r="G225" s="37"/>
      <c r="H225" s="37"/>
      <c r="I225" s="38"/>
      <c r="J225" s="37"/>
      <c r="K225" s="39"/>
      <c r="L225" s="34"/>
      <c r="M225" s="49"/>
      <c r="N225" s="49"/>
      <c r="O225" s="40"/>
    </row>
    <row r="226" spans="1:15" x14ac:dyDescent="0.2">
      <c r="A226" s="34">
        <v>1317</v>
      </c>
      <c r="B226" s="35"/>
      <c r="C226" s="36"/>
      <c r="D226" s="36"/>
      <c r="E226" s="48" t="str">
        <f t="shared" si="6"/>
        <v/>
      </c>
      <c r="F226" s="37"/>
      <c r="G226" s="37"/>
      <c r="H226" s="37"/>
      <c r="I226" s="38"/>
      <c r="J226" s="37"/>
      <c r="K226" s="39"/>
      <c r="L226" s="34"/>
      <c r="M226" s="49"/>
      <c r="N226" s="49"/>
      <c r="O226" s="40"/>
    </row>
    <row r="227" spans="1:15" x14ac:dyDescent="0.2">
      <c r="A227" s="34">
        <v>1318</v>
      </c>
      <c r="B227" s="35"/>
      <c r="C227" s="36"/>
      <c r="D227" s="36"/>
      <c r="E227" s="48" t="str">
        <f t="shared" si="6"/>
        <v/>
      </c>
      <c r="F227" s="37"/>
      <c r="G227" s="37"/>
      <c r="H227" s="37"/>
      <c r="I227" s="38"/>
      <c r="J227" s="37"/>
      <c r="K227" s="39"/>
      <c r="L227" s="34"/>
      <c r="M227" s="49"/>
      <c r="N227" s="49"/>
      <c r="O227" s="40"/>
    </row>
    <row r="228" spans="1:15" x14ac:dyDescent="0.2">
      <c r="A228" s="34">
        <v>1319</v>
      </c>
      <c r="B228" s="35"/>
      <c r="C228" s="36"/>
      <c r="D228" s="36"/>
      <c r="E228" s="48" t="str">
        <f t="shared" si="6"/>
        <v/>
      </c>
      <c r="F228" s="37"/>
      <c r="G228" s="37"/>
      <c r="H228" s="37"/>
      <c r="I228" s="38"/>
      <c r="J228" s="37"/>
      <c r="K228" s="39"/>
      <c r="L228" s="34"/>
      <c r="M228" s="49"/>
      <c r="N228" s="49"/>
      <c r="O228" s="40"/>
    </row>
    <row r="229" spans="1:15" x14ac:dyDescent="0.2">
      <c r="A229" s="34">
        <v>1320</v>
      </c>
      <c r="B229" s="35"/>
      <c r="C229" s="36"/>
      <c r="D229" s="36"/>
      <c r="E229" s="48" t="str">
        <f t="shared" si="6"/>
        <v/>
      </c>
      <c r="F229" s="37"/>
      <c r="G229" s="37"/>
      <c r="H229" s="37"/>
      <c r="I229" s="38"/>
      <c r="J229" s="37"/>
      <c r="K229" s="39"/>
      <c r="L229" s="34"/>
      <c r="M229" s="49"/>
      <c r="N229" s="49"/>
      <c r="O229" s="40"/>
    </row>
    <row r="230" spans="1:15" x14ac:dyDescent="0.2">
      <c r="A230" s="34">
        <v>1321</v>
      </c>
      <c r="B230" s="35"/>
      <c r="C230" s="36"/>
      <c r="D230" s="36"/>
      <c r="E230" s="48" t="str">
        <f t="shared" si="6"/>
        <v/>
      </c>
      <c r="F230" s="37"/>
      <c r="G230" s="37"/>
      <c r="H230" s="37"/>
      <c r="I230" s="38"/>
      <c r="J230" s="37"/>
      <c r="K230" s="39"/>
      <c r="L230" s="34"/>
      <c r="M230" s="49"/>
      <c r="N230" s="49"/>
      <c r="O230" s="40"/>
    </row>
    <row r="231" spans="1:15" x14ac:dyDescent="0.2">
      <c r="A231" s="34">
        <v>1322</v>
      </c>
      <c r="B231" s="35"/>
      <c r="C231" s="36"/>
      <c r="D231" s="36"/>
      <c r="E231" s="48" t="str">
        <f t="shared" si="6"/>
        <v/>
      </c>
      <c r="F231" s="37"/>
      <c r="G231" s="37"/>
      <c r="H231" s="37"/>
      <c r="I231" s="38"/>
      <c r="J231" s="37"/>
      <c r="K231" s="39"/>
      <c r="L231" s="34"/>
      <c r="M231" s="49"/>
      <c r="N231" s="49"/>
      <c r="O231" s="40"/>
    </row>
    <row r="232" spans="1:15" x14ac:dyDescent="0.2">
      <c r="A232" s="34">
        <v>1323</v>
      </c>
      <c r="B232" s="35"/>
      <c r="C232" s="36"/>
      <c r="D232" s="36"/>
      <c r="E232" s="48" t="str">
        <f t="shared" si="6"/>
        <v/>
      </c>
      <c r="F232" s="37"/>
      <c r="G232" s="37"/>
      <c r="H232" s="37"/>
      <c r="I232" s="38"/>
      <c r="J232" s="37"/>
      <c r="K232" s="39"/>
      <c r="L232" s="34"/>
      <c r="M232" s="49"/>
      <c r="N232" s="49"/>
      <c r="O232" s="40"/>
    </row>
    <row r="233" spans="1:15" x14ac:dyDescent="0.2">
      <c r="A233" s="34">
        <v>1324</v>
      </c>
      <c r="B233" s="35"/>
      <c r="C233" s="36"/>
      <c r="D233" s="36"/>
      <c r="E233" s="48" t="str">
        <f t="shared" si="6"/>
        <v/>
      </c>
      <c r="F233" s="37"/>
      <c r="G233" s="37"/>
      <c r="H233" s="37"/>
      <c r="I233" s="38"/>
      <c r="J233" s="37"/>
      <c r="K233" s="39"/>
      <c r="L233" s="34"/>
      <c r="M233" s="49"/>
      <c r="N233" s="49"/>
      <c r="O233" s="40"/>
    </row>
    <row r="234" spans="1:15" x14ac:dyDescent="0.2">
      <c r="A234" s="34">
        <v>1325</v>
      </c>
      <c r="B234" s="35"/>
      <c r="C234" s="36"/>
      <c r="D234" s="36"/>
      <c r="E234" s="48" t="str">
        <f t="shared" si="6"/>
        <v/>
      </c>
      <c r="F234" s="37"/>
      <c r="G234" s="37"/>
      <c r="H234" s="37"/>
      <c r="I234" s="38"/>
      <c r="J234" s="37"/>
      <c r="K234" s="39"/>
      <c r="L234" s="34"/>
      <c r="M234" s="49"/>
      <c r="N234" s="49"/>
      <c r="O234" s="40"/>
    </row>
    <row r="235" spans="1:15" x14ac:dyDescent="0.2">
      <c r="A235" s="34">
        <v>1326</v>
      </c>
      <c r="B235" s="35"/>
      <c r="C235" s="36"/>
      <c r="D235" s="36"/>
      <c r="E235" s="48" t="str">
        <f t="shared" si="6"/>
        <v/>
      </c>
      <c r="F235" s="37"/>
      <c r="G235" s="37"/>
      <c r="H235" s="37"/>
      <c r="I235" s="38"/>
      <c r="J235" s="37"/>
      <c r="K235" s="39"/>
      <c r="L235" s="34"/>
      <c r="M235" s="49"/>
      <c r="N235" s="49"/>
      <c r="O235" s="40"/>
    </row>
    <row r="236" spans="1:15" x14ac:dyDescent="0.2">
      <c r="A236" s="34">
        <v>1327</v>
      </c>
      <c r="B236" s="35"/>
      <c r="C236" s="36"/>
      <c r="D236" s="36"/>
      <c r="E236" s="48" t="str">
        <f t="shared" si="6"/>
        <v/>
      </c>
      <c r="F236" s="37"/>
      <c r="G236" s="37"/>
      <c r="H236" s="37"/>
      <c r="I236" s="38"/>
      <c r="J236" s="37"/>
      <c r="K236" s="39"/>
      <c r="L236" s="34"/>
      <c r="M236" s="49"/>
      <c r="N236" s="49"/>
      <c r="O236" s="40"/>
    </row>
    <row r="237" spans="1:15" x14ac:dyDescent="0.2">
      <c r="A237" s="34">
        <v>1328</v>
      </c>
      <c r="B237" s="35"/>
      <c r="C237" s="36"/>
      <c r="D237" s="36"/>
      <c r="E237" s="48" t="str">
        <f t="shared" si="6"/>
        <v/>
      </c>
      <c r="F237" s="37"/>
      <c r="G237" s="37"/>
      <c r="H237" s="37"/>
      <c r="I237" s="38"/>
      <c r="J237" s="37"/>
      <c r="K237" s="39"/>
      <c r="L237" s="34"/>
      <c r="M237" s="49"/>
      <c r="N237" s="49"/>
      <c r="O237" s="40"/>
    </row>
    <row r="238" spans="1:15" x14ac:dyDescent="0.2">
      <c r="A238" s="34">
        <v>1329</v>
      </c>
      <c r="B238" s="35"/>
      <c r="C238" s="36"/>
      <c r="D238" s="36"/>
      <c r="E238" s="48" t="str">
        <f t="shared" si="6"/>
        <v/>
      </c>
      <c r="F238" s="37"/>
      <c r="G238" s="37"/>
      <c r="H238" s="37"/>
      <c r="I238" s="38"/>
      <c r="J238" s="37"/>
      <c r="K238" s="39"/>
      <c r="L238" s="34"/>
      <c r="M238" s="49"/>
      <c r="N238" s="49"/>
      <c r="O238" s="40"/>
    </row>
    <row r="239" spans="1:15" x14ac:dyDescent="0.2">
      <c r="A239" s="34">
        <v>1330</v>
      </c>
      <c r="B239" s="35"/>
      <c r="C239" s="36"/>
      <c r="D239" s="36"/>
      <c r="E239" s="48" t="str">
        <f t="shared" si="6"/>
        <v/>
      </c>
      <c r="F239" s="37"/>
      <c r="G239" s="37"/>
      <c r="H239" s="37"/>
      <c r="I239" s="38"/>
      <c r="J239" s="37"/>
      <c r="K239" s="39"/>
      <c r="L239" s="34"/>
      <c r="M239" s="49"/>
      <c r="N239" s="49"/>
      <c r="O239" s="40"/>
    </row>
    <row r="240" spans="1:15" x14ac:dyDescent="0.2">
      <c r="A240" s="34">
        <v>1331</v>
      </c>
      <c r="B240" s="35"/>
      <c r="C240" s="36"/>
      <c r="D240" s="36"/>
      <c r="E240" s="48" t="str">
        <f t="shared" si="6"/>
        <v/>
      </c>
      <c r="F240" s="37"/>
      <c r="G240" s="37"/>
      <c r="H240" s="37"/>
      <c r="I240" s="38"/>
      <c r="J240" s="37"/>
      <c r="K240" s="39"/>
      <c r="L240" s="34"/>
      <c r="M240" s="49"/>
      <c r="N240" s="49"/>
      <c r="O240" s="40"/>
    </row>
    <row r="241" spans="1:15" x14ac:dyDescent="0.2">
      <c r="A241" s="34">
        <v>1332</v>
      </c>
      <c r="B241" s="35"/>
      <c r="C241" s="36"/>
      <c r="D241" s="36"/>
      <c r="E241" s="48" t="str">
        <f t="shared" si="6"/>
        <v/>
      </c>
      <c r="F241" s="37"/>
      <c r="G241" s="37"/>
      <c r="H241" s="37"/>
      <c r="I241" s="38"/>
      <c r="J241" s="37"/>
      <c r="K241" s="39"/>
      <c r="L241" s="34"/>
      <c r="M241" s="49"/>
      <c r="N241" s="49"/>
      <c r="O241" s="40"/>
    </row>
    <row r="242" spans="1:15" x14ac:dyDescent="0.2">
      <c r="A242" s="34">
        <v>1333</v>
      </c>
      <c r="B242" s="35"/>
      <c r="C242" s="36"/>
      <c r="D242" s="36"/>
      <c r="E242" s="48" t="str">
        <f t="shared" si="6"/>
        <v/>
      </c>
      <c r="F242" s="37"/>
      <c r="G242" s="37"/>
      <c r="H242" s="37"/>
      <c r="I242" s="38"/>
      <c r="J242" s="37"/>
      <c r="K242" s="39"/>
      <c r="L242" s="34"/>
      <c r="M242" s="49"/>
      <c r="N242" s="49"/>
      <c r="O242" s="40"/>
    </row>
    <row r="243" spans="1:15" x14ac:dyDescent="0.2">
      <c r="A243" s="34">
        <v>1334</v>
      </c>
      <c r="B243" s="35"/>
      <c r="C243" s="36"/>
      <c r="D243" s="36"/>
      <c r="E243" s="48" t="str">
        <f t="shared" si="6"/>
        <v/>
      </c>
      <c r="F243" s="37"/>
      <c r="G243" s="37"/>
      <c r="H243" s="37"/>
      <c r="I243" s="38"/>
      <c r="J243" s="37"/>
      <c r="K243" s="39"/>
      <c r="L243" s="34"/>
      <c r="M243" s="49"/>
      <c r="N243" s="49"/>
      <c r="O243" s="40"/>
    </row>
    <row r="244" spans="1:15" x14ac:dyDescent="0.2">
      <c r="A244" s="34">
        <v>1335</v>
      </c>
      <c r="B244" s="35"/>
      <c r="C244" s="36"/>
      <c r="D244" s="36"/>
      <c r="E244" s="48" t="str">
        <f t="shared" si="6"/>
        <v/>
      </c>
      <c r="F244" s="37"/>
      <c r="G244" s="37"/>
      <c r="H244" s="37"/>
      <c r="I244" s="38"/>
      <c r="J244" s="37"/>
      <c r="K244" s="39"/>
      <c r="L244" s="34"/>
      <c r="M244" s="49"/>
      <c r="N244" s="49"/>
      <c r="O244" s="40"/>
    </row>
    <row r="245" spans="1:15" x14ac:dyDescent="0.2">
      <c r="A245" s="34">
        <v>1336</v>
      </c>
      <c r="B245" s="35"/>
      <c r="C245" s="36"/>
      <c r="D245" s="36"/>
      <c r="E245" s="48" t="str">
        <f t="shared" si="6"/>
        <v/>
      </c>
      <c r="F245" s="37"/>
      <c r="G245" s="37"/>
      <c r="H245" s="37"/>
      <c r="I245" s="38"/>
      <c r="J245" s="37"/>
      <c r="K245" s="39"/>
      <c r="L245" s="34"/>
      <c r="M245" s="49"/>
      <c r="N245" s="49"/>
      <c r="O245" s="40"/>
    </row>
    <row r="246" spans="1:15" x14ac:dyDescent="0.2">
      <c r="A246" s="34">
        <v>1337</v>
      </c>
      <c r="B246" s="35"/>
      <c r="C246" s="36"/>
      <c r="D246" s="36"/>
      <c r="E246" s="48" t="str">
        <f t="shared" si="6"/>
        <v/>
      </c>
      <c r="F246" s="37"/>
      <c r="G246" s="37"/>
      <c r="H246" s="37"/>
      <c r="I246" s="38"/>
      <c r="J246" s="37"/>
      <c r="K246" s="39"/>
      <c r="L246" s="34"/>
      <c r="M246" s="49"/>
      <c r="N246" s="49"/>
      <c r="O246" s="40"/>
    </row>
    <row r="247" spans="1:15" x14ac:dyDescent="0.2">
      <c r="A247" s="34">
        <v>1338</v>
      </c>
      <c r="B247" s="35"/>
      <c r="C247" s="36"/>
      <c r="D247" s="36"/>
      <c r="E247" s="48" t="str">
        <f t="shared" si="6"/>
        <v/>
      </c>
      <c r="F247" s="37"/>
      <c r="G247" s="37"/>
      <c r="H247" s="37"/>
      <c r="I247" s="38"/>
      <c r="J247" s="37"/>
      <c r="K247" s="39"/>
      <c r="L247" s="34"/>
      <c r="M247" s="49"/>
      <c r="N247" s="49"/>
      <c r="O247" s="40"/>
    </row>
    <row r="248" spans="1:15" x14ac:dyDescent="0.2">
      <c r="A248" s="34">
        <v>1339</v>
      </c>
      <c r="B248" s="35"/>
      <c r="C248" s="36"/>
      <c r="D248" s="36"/>
      <c r="E248" s="48" t="str">
        <f t="shared" si="6"/>
        <v/>
      </c>
      <c r="F248" s="37"/>
      <c r="G248" s="37"/>
      <c r="H248" s="37"/>
      <c r="I248" s="38"/>
      <c r="J248" s="37"/>
      <c r="K248" s="39"/>
      <c r="L248" s="34"/>
      <c r="M248" s="49"/>
      <c r="N248" s="49"/>
      <c r="O248" s="40"/>
    </row>
    <row r="249" spans="1:15" x14ac:dyDescent="0.2">
      <c r="A249" s="34">
        <v>1340</v>
      </c>
      <c r="B249" s="35"/>
      <c r="C249" s="36"/>
      <c r="D249" s="36"/>
      <c r="E249" s="48" t="str">
        <f t="shared" si="6"/>
        <v/>
      </c>
      <c r="F249" s="37"/>
      <c r="G249" s="37"/>
      <c r="H249" s="37"/>
      <c r="I249" s="38"/>
      <c r="J249" s="37"/>
      <c r="K249" s="39"/>
      <c r="L249" s="34"/>
      <c r="M249" s="49"/>
      <c r="N249" s="49"/>
      <c r="O249" s="40"/>
    </row>
    <row r="250" spans="1:15" x14ac:dyDescent="0.2">
      <c r="A250" s="34">
        <v>1341</v>
      </c>
      <c r="B250" s="35"/>
      <c r="C250" s="36"/>
      <c r="D250" s="36"/>
      <c r="E250" s="48" t="str">
        <f t="shared" si="6"/>
        <v/>
      </c>
      <c r="F250" s="37"/>
      <c r="G250" s="37"/>
      <c r="H250" s="37"/>
      <c r="I250" s="38"/>
      <c r="J250" s="37"/>
      <c r="K250" s="39"/>
      <c r="L250" s="34"/>
      <c r="M250" s="49"/>
      <c r="N250" s="49"/>
      <c r="O250" s="40"/>
    </row>
    <row r="251" spans="1:15" x14ac:dyDescent="0.2">
      <c r="A251" s="34">
        <v>1342</v>
      </c>
      <c r="B251" s="35"/>
      <c r="C251" s="36"/>
      <c r="D251" s="36"/>
      <c r="E251" s="48" t="str">
        <f t="shared" si="6"/>
        <v/>
      </c>
      <c r="F251" s="37"/>
      <c r="G251" s="37"/>
      <c r="H251" s="37"/>
      <c r="I251" s="38"/>
      <c r="J251" s="37"/>
      <c r="K251" s="39"/>
      <c r="L251" s="34"/>
      <c r="M251" s="49"/>
      <c r="N251" s="49"/>
      <c r="O251" s="40"/>
    </row>
    <row r="252" spans="1:15" x14ac:dyDescent="0.2">
      <c r="A252" s="34">
        <v>1343</v>
      </c>
      <c r="B252" s="35"/>
      <c r="C252" s="36"/>
      <c r="D252" s="36"/>
      <c r="E252" s="48" t="str">
        <f t="shared" si="6"/>
        <v/>
      </c>
      <c r="F252" s="37"/>
      <c r="G252" s="37"/>
      <c r="H252" s="37"/>
      <c r="I252" s="38"/>
      <c r="J252" s="37"/>
      <c r="K252" s="39"/>
      <c r="L252" s="34"/>
      <c r="M252" s="49"/>
      <c r="N252" s="49"/>
      <c r="O252" s="40"/>
    </row>
    <row r="253" spans="1:15" x14ac:dyDescent="0.2">
      <c r="A253" s="34">
        <v>1344</v>
      </c>
      <c r="B253" s="35"/>
      <c r="C253" s="36"/>
      <c r="D253" s="36"/>
      <c r="E253" s="48" t="str">
        <f t="shared" si="6"/>
        <v/>
      </c>
      <c r="F253" s="37"/>
      <c r="G253" s="37"/>
      <c r="H253" s="37"/>
      <c r="I253" s="38"/>
      <c r="J253" s="37"/>
      <c r="K253" s="39"/>
      <c r="L253" s="34"/>
      <c r="M253" s="49"/>
      <c r="N253" s="49"/>
      <c r="O253" s="40"/>
    </row>
    <row r="254" spans="1:15" x14ac:dyDescent="0.2">
      <c r="A254" s="34">
        <v>1345</v>
      </c>
      <c r="B254" s="35"/>
      <c r="C254" s="36"/>
      <c r="D254" s="36"/>
      <c r="E254" s="48" t="str">
        <f t="shared" si="6"/>
        <v/>
      </c>
      <c r="F254" s="37"/>
      <c r="G254" s="37"/>
      <c r="H254" s="37"/>
      <c r="I254" s="38"/>
      <c r="J254" s="37"/>
      <c r="K254" s="39"/>
      <c r="L254" s="34"/>
      <c r="M254" s="49"/>
      <c r="N254" s="49"/>
      <c r="O254" s="40"/>
    </row>
    <row r="255" spans="1:15" x14ac:dyDescent="0.2">
      <c r="A255" s="34">
        <v>1346</v>
      </c>
      <c r="B255" s="35"/>
      <c r="C255" s="36"/>
      <c r="D255" s="36"/>
      <c r="E255" s="48" t="str">
        <f t="shared" si="6"/>
        <v/>
      </c>
      <c r="F255" s="37"/>
      <c r="G255" s="37"/>
      <c r="H255" s="37"/>
      <c r="I255" s="38"/>
      <c r="J255" s="37"/>
      <c r="K255" s="39"/>
      <c r="L255" s="34"/>
      <c r="M255" s="49"/>
      <c r="N255" s="49"/>
      <c r="O255" s="40"/>
    </row>
    <row r="256" spans="1:15" x14ac:dyDescent="0.2">
      <c r="A256" s="34">
        <v>1347</v>
      </c>
      <c r="B256" s="35"/>
      <c r="C256" s="36"/>
      <c r="D256" s="36"/>
      <c r="E256" s="48" t="str">
        <f t="shared" si="6"/>
        <v/>
      </c>
      <c r="F256" s="37"/>
      <c r="G256" s="37"/>
      <c r="H256" s="37"/>
      <c r="I256" s="38"/>
      <c r="J256" s="37"/>
      <c r="K256" s="39"/>
      <c r="L256" s="34"/>
      <c r="M256" s="49"/>
      <c r="N256" s="49"/>
      <c r="O256" s="40"/>
    </row>
    <row r="257" spans="1:15" x14ac:dyDescent="0.2">
      <c r="A257" s="34">
        <v>1348</v>
      </c>
      <c r="B257" s="35"/>
      <c r="C257" s="36"/>
      <c r="D257" s="36"/>
      <c r="E257" s="48" t="str">
        <f t="shared" si="6"/>
        <v/>
      </c>
      <c r="F257" s="37"/>
      <c r="G257" s="37"/>
      <c r="H257" s="37"/>
      <c r="I257" s="38"/>
      <c r="J257" s="37"/>
      <c r="K257" s="39"/>
      <c r="L257" s="34"/>
      <c r="M257" s="49"/>
      <c r="N257" s="49"/>
      <c r="O257" s="40"/>
    </row>
    <row r="258" spans="1:15" x14ac:dyDescent="0.2">
      <c r="A258" s="34">
        <v>1349</v>
      </c>
      <c r="B258" s="35"/>
      <c r="C258" s="36"/>
      <c r="D258" s="36"/>
      <c r="E258" s="48" t="str">
        <f t="shared" si="6"/>
        <v/>
      </c>
      <c r="F258" s="37"/>
      <c r="G258" s="37"/>
      <c r="H258" s="37"/>
      <c r="I258" s="38"/>
      <c r="J258" s="37"/>
      <c r="K258" s="39"/>
      <c r="L258" s="34"/>
      <c r="M258" s="49"/>
      <c r="N258" s="49"/>
      <c r="O258" s="40"/>
    </row>
    <row r="259" spans="1:15" x14ac:dyDescent="0.2">
      <c r="A259" s="34">
        <v>1350</v>
      </c>
      <c r="B259" s="35"/>
      <c r="C259" s="36"/>
      <c r="D259" s="36"/>
      <c r="E259" s="48" t="str">
        <f t="shared" si="6"/>
        <v/>
      </c>
      <c r="F259" s="37"/>
      <c r="G259" s="37"/>
      <c r="H259" s="37"/>
      <c r="I259" s="38"/>
      <c r="J259" s="37"/>
      <c r="K259" s="39"/>
      <c r="L259" s="34"/>
      <c r="M259" s="49"/>
      <c r="N259" s="49"/>
      <c r="O259" s="40"/>
    </row>
    <row r="260" spans="1:15" x14ac:dyDescent="0.2">
      <c r="A260" s="34">
        <v>1351</v>
      </c>
      <c r="B260" s="35"/>
      <c r="C260" s="36"/>
      <c r="D260" s="36"/>
      <c r="E260" s="48" t="str">
        <f t="shared" si="6"/>
        <v/>
      </c>
      <c r="F260" s="37"/>
      <c r="G260" s="37"/>
      <c r="H260" s="37"/>
      <c r="I260" s="38"/>
      <c r="J260" s="37"/>
      <c r="K260" s="39"/>
      <c r="L260" s="34"/>
      <c r="M260" s="49"/>
      <c r="N260" s="49"/>
      <c r="O260" s="40"/>
    </row>
    <row r="261" spans="1:15" x14ac:dyDescent="0.2">
      <c r="A261" s="34">
        <v>1352</v>
      </c>
      <c r="B261" s="35"/>
      <c r="C261" s="36"/>
      <c r="D261" s="36"/>
      <c r="E261" s="48" t="str">
        <f t="shared" si="6"/>
        <v/>
      </c>
      <c r="F261" s="37"/>
      <c r="G261" s="37"/>
      <c r="H261" s="37"/>
      <c r="I261" s="38"/>
      <c r="J261" s="37"/>
      <c r="K261" s="39"/>
      <c r="L261" s="34"/>
      <c r="M261" s="49"/>
      <c r="N261" s="49"/>
      <c r="O261" s="40"/>
    </row>
    <row r="262" spans="1:15" x14ac:dyDescent="0.2">
      <c r="A262" s="34">
        <v>1353</v>
      </c>
      <c r="B262" s="35"/>
      <c r="C262" s="36"/>
      <c r="D262" s="36"/>
      <c r="E262" s="48" t="str">
        <f t="shared" si="6"/>
        <v/>
      </c>
      <c r="F262" s="37"/>
      <c r="G262" s="37"/>
      <c r="H262" s="37"/>
      <c r="I262" s="38"/>
      <c r="J262" s="37"/>
      <c r="K262" s="39"/>
      <c r="L262" s="34"/>
      <c r="M262" s="49"/>
      <c r="N262" s="49"/>
      <c r="O262" s="40"/>
    </row>
    <row r="263" spans="1:15" x14ac:dyDescent="0.2">
      <c r="A263" s="34">
        <v>1354</v>
      </c>
      <c r="B263" s="35"/>
      <c r="C263" s="36"/>
      <c r="D263" s="36"/>
      <c r="E263" s="48" t="str">
        <f t="shared" si="6"/>
        <v/>
      </c>
      <c r="F263" s="37"/>
      <c r="G263" s="37"/>
      <c r="H263" s="37"/>
      <c r="I263" s="38"/>
      <c r="J263" s="37"/>
      <c r="K263" s="39"/>
      <c r="L263" s="34"/>
      <c r="M263" s="49"/>
      <c r="N263" s="49"/>
      <c r="O263" s="40"/>
    </row>
    <row r="264" spans="1:15" x14ac:dyDescent="0.2">
      <c r="A264" s="34">
        <v>1355</v>
      </c>
      <c r="B264" s="35"/>
      <c r="C264" s="36"/>
      <c r="D264" s="36"/>
      <c r="E264" s="48" t="str">
        <f t="shared" si="6"/>
        <v/>
      </c>
      <c r="F264" s="37"/>
      <c r="G264" s="37"/>
      <c r="H264" s="37"/>
      <c r="I264" s="38"/>
      <c r="J264" s="37"/>
      <c r="K264" s="39"/>
      <c r="L264" s="34"/>
      <c r="M264" s="49"/>
      <c r="N264" s="49"/>
      <c r="O264" s="40"/>
    </row>
    <row r="265" spans="1:15" x14ac:dyDescent="0.2">
      <c r="A265" s="34">
        <v>1356</v>
      </c>
      <c r="B265" s="35"/>
      <c r="C265" s="36"/>
      <c r="D265" s="36"/>
      <c r="E265" s="48" t="str">
        <f t="shared" si="6"/>
        <v/>
      </c>
      <c r="F265" s="37"/>
      <c r="G265" s="37"/>
      <c r="H265" s="37"/>
      <c r="I265" s="38"/>
      <c r="J265" s="37"/>
      <c r="K265" s="39"/>
      <c r="L265" s="34"/>
      <c r="M265" s="49"/>
      <c r="N265" s="49"/>
      <c r="O265" s="40"/>
    </row>
    <row r="266" spans="1:15" x14ac:dyDescent="0.2">
      <c r="A266" s="34">
        <v>1357</v>
      </c>
      <c r="B266" s="35"/>
      <c r="C266" s="36"/>
      <c r="D266" s="36"/>
      <c r="E266" s="48" t="str">
        <f t="shared" si="6"/>
        <v/>
      </c>
      <c r="F266" s="37"/>
      <c r="G266" s="37"/>
      <c r="H266" s="37"/>
      <c r="I266" s="38"/>
      <c r="J266" s="37"/>
      <c r="K266" s="39"/>
      <c r="L266" s="34"/>
      <c r="M266" s="49"/>
      <c r="N266" s="49"/>
      <c r="O266" s="40"/>
    </row>
    <row r="267" spans="1:15" x14ac:dyDescent="0.2">
      <c r="A267" s="34">
        <v>1358</v>
      </c>
      <c r="B267" s="35"/>
      <c r="C267" s="36"/>
      <c r="D267" s="36"/>
      <c r="E267" s="48" t="str">
        <f t="shared" si="6"/>
        <v/>
      </c>
      <c r="F267" s="37"/>
      <c r="G267" s="37"/>
      <c r="H267" s="37"/>
      <c r="I267" s="38"/>
      <c r="J267" s="37"/>
      <c r="K267" s="39"/>
      <c r="L267" s="34"/>
      <c r="M267" s="49"/>
      <c r="N267" s="49"/>
      <c r="O267" s="40"/>
    </row>
    <row r="268" spans="1:15" x14ac:dyDescent="0.2">
      <c r="A268" s="34">
        <v>1359</v>
      </c>
      <c r="B268" s="35"/>
      <c r="C268" s="36"/>
      <c r="D268" s="36"/>
      <c r="E268" s="48" t="str">
        <f t="shared" si="6"/>
        <v/>
      </c>
      <c r="F268" s="37"/>
      <c r="G268" s="37"/>
      <c r="H268" s="37"/>
      <c r="I268" s="38"/>
      <c r="J268" s="37"/>
      <c r="K268" s="39"/>
      <c r="L268" s="34"/>
      <c r="M268" s="49"/>
      <c r="N268" s="49"/>
      <c r="O268" s="40"/>
    </row>
    <row r="269" spans="1:15" x14ac:dyDescent="0.2">
      <c r="A269" s="34">
        <v>1360</v>
      </c>
      <c r="B269" s="35"/>
      <c r="C269" s="36"/>
      <c r="D269" s="36"/>
      <c r="E269" s="48" t="str">
        <f t="shared" si="6"/>
        <v/>
      </c>
      <c r="F269" s="37"/>
      <c r="G269" s="37"/>
      <c r="H269" s="37"/>
      <c r="I269" s="38"/>
      <c r="J269" s="37"/>
      <c r="K269" s="39"/>
      <c r="L269" s="34"/>
      <c r="M269" s="49"/>
      <c r="N269" s="49"/>
      <c r="O269" s="40"/>
    </row>
    <row r="270" spans="1:15" x14ac:dyDescent="0.2">
      <c r="A270" s="34">
        <v>1361</v>
      </c>
      <c r="B270" s="35"/>
      <c r="C270" s="36"/>
      <c r="D270" s="36"/>
      <c r="E270" s="48" t="str">
        <f t="shared" si="6"/>
        <v/>
      </c>
      <c r="F270" s="37"/>
      <c r="G270" s="37"/>
      <c r="H270" s="37"/>
      <c r="I270" s="38"/>
      <c r="J270" s="37"/>
      <c r="K270" s="39"/>
      <c r="L270" s="34"/>
      <c r="M270" s="49"/>
      <c r="N270" s="49"/>
      <c r="O270" s="40"/>
    </row>
    <row r="271" spans="1:15" x14ac:dyDescent="0.2">
      <c r="A271" s="34">
        <v>1362</v>
      </c>
      <c r="B271" s="35"/>
      <c r="C271" s="36"/>
      <c r="D271" s="36"/>
      <c r="E271" s="48" t="str">
        <f t="shared" si="6"/>
        <v/>
      </c>
      <c r="F271" s="37"/>
      <c r="G271" s="37"/>
      <c r="H271" s="37"/>
      <c r="I271" s="38"/>
      <c r="J271" s="37"/>
      <c r="K271" s="39"/>
      <c r="L271" s="34"/>
      <c r="M271" s="49"/>
      <c r="N271" s="49"/>
      <c r="O271" s="40"/>
    </row>
    <row r="272" spans="1:15" x14ac:dyDescent="0.2">
      <c r="A272" s="34">
        <v>1363</v>
      </c>
      <c r="B272" s="35"/>
      <c r="C272" s="36"/>
      <c r="D272" s="36"/>
      <c r="E272" s="48" t="str">
        <f t="shared" si="6"/>
        <v/>
      </c>
      <c r="F272" s="37"/>
      <c r="G272" s="37"/>
      <c r="H272" s="37"/>
      <c r="I272" s="38"/>
      <c r="J272" s="37"/>
      <c r="K272" s="39"/>
      <c r="L272" s="34"/>
      <c r="M272" s="49"/>
      <c r="N272" s="49"/>
      <c r="O272" s="40"/>
    </row>
    <row r="273" spans="1:15" x14ac:dyDescent="0.2">
      <c r="A273" s="34">
        <v>1364</v>
      </c>
      <c r="B273" s="35"/>
      <c r="C273" s="36"/>
      <c r="D273" s="36"/>
      <c r="E273" s="48" t="str">
        <f t="shared" si="6"/>
        <v/>
      </c>
      <c r="F273" s="37"/>
      <c r="G273" s="37"/>
      <c r="H273" s="37"/>
      <c r="I273" s="38"/>
      <c r="J273" s="37"/>
      <c r="K273" s="39"/>
      <c r="L273" s="34"/>
      <c r="M273" s="49"/>
      <c r="N273" s="49"/>
      <c r="O273" s="40"/>
    </row>
    <row r="274" spans="1:15" x14ac:dyDescent="0.2">
      <c r="A274" s="34">
        <v>1365</v>
      </c>
      <c r="B274" s="35"/>
      <c r="C274" s="36"/>
      <c r="D274" s="36"/>
      <c r="E274" s="48" t="str">
        <f t="shared" si="6"/>
        <v/>
      </c>
      <c r="F274" s="37"/>
      <c r="G274" s="37"/>
      <c r="H274" s="37"/>
      <c r="I274" s="38"/>
      <c r="J274" s="37"/>
      <c r="K274" s="39"/>
      <c r="L274" s="34"/>
      <c r="M274" s="49"/>
      <c r="N274" s="49"/>
      <c r="O274" s="40"/>
    </row>
    <row r="275" spans="1:15" x14ac:dyDescent="0.2">
      <c r="A275" s="34">
        <v>1366</v>
      </c>
      <c r="B275" s="35"/>
      <c r="C275" s="36"/>
      <c r="D275" s="36"/>
      <c r="E275" s="48" t="str">
        <f t="shared" si="6"/>
        <v/>
      </c>
      <c r="F275" s="37"/>
      <c r="G275" s="37"/>
      <c r="H275" s="37"/>
      <c r="I275" s="38"/>
      <c r="J275" s="37"/>
      <c r="K275" s="39"/>
      <c r="L275" s="34"/>
      <c r="M275" s="49"/>
      <c r="N275" s="49"/>
      <c r="O275" s="40"/>
    </row>
    <row r="276" spans="1:15" x14ac:dyDescent="0.2">
      <c r="A276" s="34">
        <v>1367</v>
      </c>
      <c r="B276" s="35"/>
      <c r="C276" s="36"/>
      <c r="D276" s="36"/>
      <c r="E276" s="48" t="str">
        <f t="shared" si="6"/>
        <v/>
      </c>
      <c r="F276" s="37"/>
      <c r="G276" s="37"/>
      <c r="H276" s="37"/>
      <c r="I276" s="38"/>
      <c r="J276" s="37"/>
      <c r="K276" s="39"/>
      <c r="L276" s="34"/>
      <c r="M276" s="49"/>
      <c r="N276" s="49"/>
      <c r="O276" s="40"/>
    </row>
    <row r="277" spans="1:15" x14ac:dyDescent="0.2">
      <c r="A277" s="34">
        <v>1368</v>
      </c>
      <c r="B277" s="35"/>
      <c r="C277" s="36"/>
      <c r="D277" s="36"/>
      <c r="E277" s="48" t="str">
        <f t="shared" si="6"/>
        <v/>
      </c>
      <c r="F277" s="37"/>
      <c r="G277" s="37"/>
      <c r="H277" s="37"/>
      <c r="I277" s="38"/>
      <c r="J277" s="37"/>
      <c r="K277" s="39"/>
      <c r="L277" s="34"/>
      <c r="M277" s="49"/>
      <c r="N277" s="49"/>
      <c r="O277" s="40"/>
    </row>
    <row r="278" spans="1:15" x14ac:dyDescent="0.2">
      <c r="A278" s="34">
        <v>1369</v>
      </c>
      <c r="B278" s="35"/>
      <c r="C278" s="36"/>
      <c r="D278" s="36"/>
      <c r="E278" s="48" t="str">
        <f t="shared" si="6"/>
        <v/>
      </c>
      <c r="F278" s="37"/>
      <c r="G278" s="37"/>
      <c r="H278" s="37"/>
      <c r="I278" s="38"/>
      <c r="J278" s="37"/>
      <c r="K278" s="39"/>
      <c r="L278" s="34"/>
      <c r="M278" s="49"/>
      <c r="N278" s="49"/>
      <c r="O278" s="40"/>
    </row>
    <row r="279" spans="1:15" x14ac:dyDescent="0.2">
      <c r="A279" s="34">
        <v>1370</v>
      </c>
      <c r="B279" s="35"/>
      <c r="C279" s="36"/>
      <c r="D279" s="36"/>
      <c r="E279" s="48" t="str">
        <f t="shared" si="6"/>
        <v/>
      </c>
      <c r="F279" s="37"/>
      <c r="G279" s="37"/>
      <c r="H279" s="37"/>
      <c r="I279" s="38"/>
      <c r="J279" s="37"/>
      <c r="K279" s="39"/>
      <c r="L279" s="34"/>
      <c r="M279" s="49"/>
      <c r="N279" s="49"/>
      <c r="O279" s="40"/>
    </row>
    <row r="280" spans="1:15" x14ac:dyDescent="0.2">
      <c r="A280" s="34">
        <v>1371</v>
      </c>
      <c r="B280" s="35"/>
      <c r="C280" s="36"/>
      <c r="D280" s="36"/>
      <c r="E280" s="48" t="str">
        <f t="shared" si="6"/>
        <v/>
      </c>
      <c r="F280" s="37"/>
      <c r="G280" s="37"/>
      <c r="H280" s="37"/>
      <c r="I280" s="38"/>
      <c r="J280" s="37"/>
      <c r="K280" s="39"/>
      <c r="L280" s="34"/>
      <c r="M280" s="49"/>
      <c r="N280" s="49"/>
      <c r="O280" s="40"/>
    </row>
    <row r="281" spans="1:15" x14ac:dyDescent="0.2">
      <c r="A281" s="34">
        <v>1372</v>
      </c>
      <c r="B281" s="35"/>
      <c r="C281" s="36"/>
      <c r="D281" s="36"/>
      <c r="E281" s="48" t="str">
        <f t="shared" si="6"/>
        <v/>
      </c>
      <c r="F281" s="37"/>
      <c r="G281" s="37"/>
      <c r="H281" s="37"/>
      <c r="I281" s="38"/>
      <c r="J281" s="37"/>
      <c r="K281" s="39"/>
      <c r="L281" s="34"/>
      <c r="M281" s="49"/>
      <c r="N281" s="49"/>
      <c r="O281" s="40"/>
    </row>
    <row r="282" spans="1:15" x14ac:dyDescent="0.2">
      <c r="A282" s="34">
        <v>1373</v>
      </c>
      <c r="B282" s="35"/>
      <c r="C282" s="36"/>
      <c r="D282" s="36"/>
      <c r="E282" s="48" t="str">
        <f t="shared" si="6"/>
        <v/>
      </c>
      <c r="F282" s="37"/>
      <c r="G282" s="37"/>
      <c r="H282" s="37"/>
      <c r="I282" s="38"/>
      <c r="J282" s="37"/>
      <c r="K282" s="39"/>
      <c r="L282" s="34"/>
      <c r="M282" s="49"/>
      <c r="N282" s="49"/>
      <c r="O282" s="40"/>
    </row>
    <row r="283" spans="1:15" x14ac:dyDescent="0.2">
      <c r="A283" s="34">
        <v>1374</v>
      </c>
      <c r="B283" s="35"/>
      <c r="C283" s="36"/>
      <c r="D283" s="36"/>
      <c r="E283" s="48" t="str">
        <f t="shared" si="6"/>
        <v/>
      </c>
      <c r="F283" s="37"/>
      <c r="G283" s="37"/>
      <c r="H283" s="37"/>
      <c r="I283" s="38"/>
      <c r="J283" s="37"/>
      <c r="K283" s="39"/>
      <c r="L283" s="34"/>
      <c r="M283" s="49"/>
      <c r="N283" s="49"/>
      <c r="O283" s="40"/>
    </row>
    <row r="284" spans="1:15" x14ac:dyDescent="0.2">
      <c r="A284" s="34">
        <v>1375</v>
      </c>
      <c r="B284" s="35"/>
      <c r="C284" s="36"/>
      <c r="D284" s="36"/>
      <c r="E284" s="48" t="str">
        <f t="shared" si="6"/>
        <v/>
      </c>
      <c r="F284" s="37"/>
      <c r="G284" s="37"/>
      <c r="H284" s="37"/>
      <c r="I284" s="38"/>
      <c r="J284" s="37"/>
      <c r="K284" s="39"/>
      <c r="L284" s="34"/>
      <c r="M284" s="49"/>
      <c r="N284" s="49"/>
      <c r="O284" s="40"/>
    </row>
    <row r="285" spans="1:15" x14ac:dyDescent="0.2">
      <c r="A285" s="34">
        <v>1376</v>
      </c>
      <c r="B285" s="35"/>
      <c r="C285" s="36"/>
      <c r="D285" s="36"/>
      <c r="E285" s="48" t="str">
        <f t="shared" si="6"/>
        <v/>
      </c>
      <c r="F285" s="37"/>
      <c r="G285" s="37"/>
      <c r="H285" s="37"/>
      <c r="I285" s="38"/>
      <c r="J285" s="37"/>
      <c r="K285" s="39"/>
      <c r="L285" s="34"/>
      <c r="M285" s="49"/>
      <c r="N285" s="49"/>
      <c r="O285" s="40"/>
    </row>
    <row r="286" spans="1:15" x14ac:dyDescent="0.2">
      <c r="A286" s="34">
        <v>1377</v>
      </c>
      <c r="B286" s="35"/>
      <c r="C286" s="36"/>
      <c r="D286" s="36"/>
      <c r="E286" s="48" t="str">
        <f t="shared" si="6"/>
        <v/>
      </c>
      <c r="F286" s="37"/>
      <c r="G286" s="37"/>
      <c r="H286" s="37"/>
      <c r="I286" s="38"/>
      <c r="J286" s="37"/>
      <c r="K286" s="39"/>
      <c r="L286" s="34"/>
      <c r="M286" s="49"/>
      <c r="N286" s="49"/>
      <c r="O286" s="40"/>
    </row>
    <row r="287" spans="1:15" x14ac:dyDescent="0.2">
      <c r="A287" s="34">
        <v>1378</v>
      </c>
      <c r="B287" s="35"/>
      <c r="C287" s="36"/>
      <c r="D287" s="36"/>
      <c r="E287" s="48" t="str">
        <f t="shared" ref="E287:E350" si="7">IF(D287&lt;&gt;"",EOMONTH(D287,5),"")</f>
        <v/>
      </c>
      <c r="F287" s="37"/>
      <c r="G287" s="37"/>
      <c r="H287" s="37"/>
      <c r="I287" s="38"/>
      <c r="J287" s="37"/>
      <c r="K287" s="39"/>
      <c r="L287" s="34"/>
      <c r="M287" s="49"/>
      <c r="N287" s="49"/>
      <c r="O287" s="40"/>
    </row>
    <row r="288" spans="1:15" x14ac:dyDescent="0.2">
      <c r="A288" s="34">
        <v>1379</v>
      </c>
      <c r="B288" s="35"/>
      <c r="C288" s="36"/>
      <c r="D288" s="36"/>
      <c r="E288" s="48" t="str">
        <f t="shared" si="7"/>
        <v/>
      </c>
      <c r="F288" s="37"/>
      <c r="G288" s="37"/>
      <c r="H288" s="37"/>
      <c r="I288" s="38"/>
      <c r="J288" s="37"/>
      <c r="K288" s="39"/>
      <c r="L288" s="34"/>
      <c r="M288" s="49"/>
      <c r="N288" s="49"/>
      <c r="O288" s="40"/>
    </row>
    <row r="289" spans="1:15" x14ac:dyDescent="0.2">
      <c r="A289" s="34">
        <v>1380</v>
      </c>
      <c r="B289" s="35"/>
      <c r="C289" s="36"/>
      <c r="D289" s="36"/>
      <c r="E289" s="48" t="str">
        <f t="shared" si="7"/>
        <v/>
      </c>
      <c r="F289" s="37"/>
      <c r="G289" s="37"/>
      <c r="H289" s="37"/>
      <c r="I289" s="38"/>
      <c r="J289" s="37"/>
      <c r="K289" s="39"/>
      <c r="L289" s="34"/>
      <c r="M289" s="49"/>
      <c r="N289" s="49"/>
      <c r="O289" s="40"/>
    </row>
    <row r="290" spans="1:15" x14ac:dyDescent="0.2">
      <c r="A290" s="34">
        <v>1381</v>
      </c>
      <c r="B290" s="35"/>
      <c r="C290" s="36"/>
      <c r="D290" s="36"/>
      <c r="E290" s="48" t="str">
        <f t="shared" si="7"/>
        <v/>
      </c>
      <c r="F290" s="37"/>
      <c r="G290" s="37"/>
      <c r="H290" s="37"/>
      <c r="I290" s="38"/>
      <c r="J290" s="37"/>
      <c r="K290" s="39"/>
      <c r="L290" s="34"/>
      <c r="M290" s="49"/>
      <c r="N290" s="49"/>
      <c r="O290" s="40"/>
    </row>
    <row r="291" spans="1:15" x14ac:dyDescent="0.2">
      <c r="A291" s="34">
        <v>1382</v>
      </c>
      <c r="B291" s="35"/>
      <c r="C291" s="36"/>
      <c r="D291" s="36"/>
      <c r="E291" s="48" t="str">
        <f t="shared" si="7"/>
        <v/>
      </c>
      <c r="F291" s="37"/>
      <c r="G291" s="37"/>
      <c r="H291" s="37"/>
      <c r="I291" s="38"/>
      <c r="J291" s="37"/>
      <c r="K291" s="39"/>
      <c r="L291" s="34"/>
      <c r="M291" s="49"/>
      <c r="N291" s="49"/>
      <c r="O291" s="40"/>
    </row>
    <row r="292" spans="1:15" x14ac:dyDescent="0.2">
      <c r="A292" s="34">
        <v>1383</v>
      </c>
      <c r="B292" s="35"/>
      <c r="C292" s="36"/>
      <c r="D292" s="36"/>
      <c r="E292" s="48" t="str">
        <f t="shared" si="7"/>
        <v/>
      </c>
      <c r="F292" s="37"/>
      <c r="G292" s="37"/>
      <c r="H292" s="37"/>
      <c r="I292" s="38"/>
      <c r="J292" s="37"/>
      <c r="K292" s="39"/>
      <c r="L292" s="34"/>
      <c r="M292" s="49"/>
      <c r="N292" s="49"/>
      <c r="O292" s="40"/>
    </row>
    <row r="293" spans="1:15" x14ac:dyDescent="0.2">
      <c r="A293" s="34">
        <v>1384</v>
      </c>
      <c r="B293" s="35"/>
      <c r="C293" s="36"/>
      <c r="D293" s="36"/>
      <c r="E293" s="48" t="str">
        <f t="shared" si="7"/>
        <v/>
      </c>
      <c r="F293" s="37"/>
      <c r="G293" s="37"/>
      <c r="H293" s="37"/>
      <c r="I293" s="38"/>
      <c r="J293" s="37"/>
      <c r="K293" s="39"/>
      <c r="L293" s="34"/>
      <c r="M293" s="49"/>
      <c r="N293" s="49"/>
      <c r="O293" s="40"/>
    </row>
    <row r="294" spans="1:15" x14ac:dyDescent="0.2">
      <c r="A294" s="34">
        <v>1385</v>
      </c>
      <c r="B294" s="35"/>
      <c r="C294" s="36"/>
      <c r="D294" s="36"/>
      <c r="E294" s="48" t="str">
        <f t="shared" si="7"/>
        <v/>
      </c>
      <c r="F294" s="37"/>
      <c r="G294" s="37"/>
      <c r="H294" s="37"/>
      <c r="I294" s="38"/>
      <c r="J294" s="37"/>
      <c r="K294" s="39"/>
      <c r="L294" s="34"/>
      <c r="M294" s="49"/>
      <c r="N294" s="49"/>
      <c r="O294" s="40"/>
    </row>
    <row r="295" spans="1:15" x14ac:dyDescent="0.2">
      <c r="A295" s="34">
        <v>1386</v>
      </c>
      <c r="B295" s="35"/>
      <c r="C295" s="36"/>
      <c r="D295" s="36"/>
      <c r="E295" s="48" t="str">
        <f t="shared" si="7"/>
        <v/>
      </c>
      <c r="F295" s="37"/>
      <c r="G295" s="37"/>
      <c r="H295" s="37"/>
      <c r="I295" s="38"/>
      <c r="J295" s="37"/>
      <c r="K295" s="39"/>
      <c r="L295" s="34"/>
      <c r="M295" s="49"/>
      <c r="N295" s="49"/>
      <c r="O295" s="40"/>
    </row>
    <row r="296" spans="1:15" x14ac:dyDescent="0.2">
      <c r="A296" s="34">
        <v>1387</v>
      </c>
      <c r="B296" s="35"/>
      <c r="C296" s="36"/>
      <c r="D296" s="36"/>
      <c r="E296" s="48" t="str">
        <f t="shared" si="7"/>
        <v/>
      </c>
      <c r="F296" s="37"/>
      <c r="G296" s="37"/>
      <c r="H296" s="37"/>
      <c r="I296" s="38"/>
      <c r="J296" s="37"/>
      <c r="K296" s="39"/>
      <c r="L296" s="34"/>
      <c r="M296" s="49"/>
      <c r="N296" s="49"/>
      <c r="O296" s="40"/>
    </row>
    <row r="297" spans="1:15" x14ac:dyDescent="0.2">
      <c r="A297" s="34">
        <v>1388</v>
      </c>
      <c r="B297" s="35"/>
      <c r="C297" s="36"/>
      <c r="D297" s="36"/>
      <c r="E297" s="48" t="str">
        <f t="shared" si="7"/>
        <v/>
      </c>
      <c r="F297" s="37"/>
      <c r="G297" s="37"/>
      <c r="H297" s="37"/>
      <c r="I297" s="38"/>
      <c r="J297" s="37"/>
      <c r="K297" s="39"/>
      <c r="L297" s="34"/>
      <c r="M297" s="49"/>
      <c r="N297" s="49"/>
      <c r="O297" s="40"/>
    </row>
    <row r="298" spans="1:15" x14ac:dyDescent="0.2">
      <c r="A298" s="34">
        <v>1389</v>
      </c>
      <c r="B298" s="35"/>
      <c r="C298" s="36"/>
      <c r="D298" s="36"/>
      <c r="E298" s="48" t="str">
        <f t="shared" si="7"/>
        <v/>
      </c>
      <c r="F298" s="37"/>
      <c r="G298" s="37"/>
      <c r="H298" s="37"/>
      <c r="I298" s="38"/>
      <c r="J298" s="37"/>
      <c r="K298" s="39"/>
      <c r="L298" s="34"/>
      <c r="M298" s="49"/>
      <c r="N298" s="49"/>
      <c r="O298" s="40"/>
    </row>
    <row r="299" spans="1:15" x14ac:dyDescent="0.2">
      <c r="A299" s="34">
        <v>1390</v>
      </c>
      <c r="B299" s="35"/>
      <c r="C299" s="36"/>
      <c r="D299" s="36"/>
      <c r="E299" s="48" t="str">
        <f t="shared" si="7"/>
        <v/>
      </c>
      <c r="F299" s="37"/>
      <c r="G299" s="37"/>
      <c r="H299" s="37"/>
      <c r="I299" s="38"/>
      <c r="J299" s="37"/>
      <c r="K299" s="39"/>
      <c r="L299" s="34"/>
      <c r="M299" s="49"/>
      <c r="N299" s="49"/>
      <c r="O299" s="40"/>
    </row>
    <row r="300" spans="1:15" x14ac:dyDescent="0.2">
      <c r="A300" s="34">
        <v>1391</v>
      </c>
      <c r="B300" s="35"/>
      <c r="C300" s="36"/>
      <c r="D300" s="36"/>
      <c r="E300" s="48" t="str">
        <f t="shared" si="7"/>
        <v/>
      </c>
      <c r="F300" s="37"/>
      <c r="G300" s="37"/>
      <c r="H300" s="37"/>
      <c r="I300" s="38"/>
      <c r="J300" s="37"/>
      <c r="K300" s="39"/>
      <c r="L300" s="34"/>
      <c r="M300" s="49"/>
      <c r="N300" s="49"/>
      <c r="O300" s="40"/>
    </row>
    <row r="301" spans="1:15" x14ac:dyDescent="0.2">
      <c r="A301" s="34">
        <v>1392</v>
      </c>
      <c r="B301" s="35"/>
      <c r="C301" s="36"/>
      <c r="D301" s="36"/>
      <c r="E301" s="48" t="str">
        <f t="shared" si="7"/>
        <v/>
      </c>
      <c r="F301" s="37"/>
      <c r="G301" s="37"/>
      <c r="H301" s="37"/>
      <c r="I301" s="38"/>
      <c r="J301" s="37"/>
      <c r="K301" s="39"/>
      <c r="L301" s="34"/>
      <c r="M301" s="49"/>
      <c r="N301" s="49"/>
      <c r="O301" s="40"/>
    </row>
    <row r="302" spans="1:15" x14ac:dyDescent="0.2">
      <c r="A302" s="34">
        <v>1393</v>
      </c>
      <c r="B302" s="35"/>
      <c r="C302" s="36"/>
      <c r="D302" s="36"/>
      <c r="E302" s="48" t="str">
        <f t="shared" si="7"/>
        <v/>
      </c>
      <c r="F302" s="37"/>
      <c r="G302" s="37"/>
      <c r="H302" s="37"/>
      <c r="I302" s="38"/>
      <c r="J302" s="37"/>
      <c r="K302" s="39"/>
      <c r="L302" s="34"/>
      <c r="M302" s="49"/>
      <c r="N302" s="49"/>
      <c r="O302" s="40"/>
    </row>
    <row r="303" spans="1:15" x14ac:dyDescent="0.2">
      <c r="A303" s="34">
        <v>1394</v>
      </c>
      <c r="B303" s="35"/>
      <c r="C303" s="36"/>
      <c r="D303" s="36"/>
      <c r="E303" s="48" t="str">
        <f t="shared" si="7"/>
        <v/>
      </c>
      <c r="F303" s="37"/>
      <c r="G303" s="37"/>
      <c r="H303" s="37"/>
      <c r="I303" s="38"/>
      <c r="J303" s="37"/>
      <c r="K303" s="39"/>
      <c r="L303" s="34"/>
      <c r="M303" s="49"/>
      <c r="N303" s="49"/>
      <c r="O303" s="40"/>
    </row>
    <row r="304" spans="1:15" x14ac:dyDescent="0.2">
      <c r="A304" s="34">
        <v>1395</v>
      </c>
      <c r="B304" s="35"/>
      <c r="C304" s="36"/>
      <c r="D304" s="36"/>
      <c r="E304" s="48" t="str">
        <f t="shared" si="7"/>
        <v/>
      </c>
      <c r="F304" s="37"/>
      <c r="G304" s="37"/>
      <c r="H304" s="37"/>
      <c r="I304" s="38"/>
      <c r="J304" s="37"/>
      <c r="K304" s="39"/>
      <c r="L304" s="34"/>
      <c r="M304" s="49"/>
      <c r="N304" s="49"/>
      <c r="O304" s="40"/>
    </row>
    <row r="305" spans="1:15" x14ac:dyDescent="0.2">
      <c r="A305" s="34">
        <v>1396</v>
      </c>
      <c r="B305" s="35"/>
      <c r="C305" s="36"/>
      <c r="D305" s="36"/>
      <c r="E305" s="48" t="str">
        <f t="shared" si="7"/>
        <v/>
      </c>
      <c r="F305" s="37"/>
      <c r="G305" s="37"/>
      <c r="H305" s="37"/>
      <c r="I305" s="38"/>
      <c r="J305" s="37"/>
      <c r="K305" s="39"/>
      <c r="L305" s="34"/>
      <c r="M305" s="49"/>
      <c r="N305" s="49"/>
      <c r="O305" s="40"/>
    </row>
    <row r="306" spans="1:15" x14ac:dyDescent="0.2">
      <c r="A306" s="34">
        <v>1397</v>
      </c>
      <c r="B306" s="35"/>
      <c r="C306" s="36"/>
      <c r="D306" s="36"/>
      <c r="E306" s="48" t="str">
        <f t="shared" si="7"/>
        <v/>
      </c>
      <c r="F306" s="37"/>
      <c r="G306" s="37"/>
      <c r="H306" s="37"/>
      <c r="I306" s="38"/>
      <c r="J306" s="37"/>
      <c r="K306" s="39"/>
      <c r="L306" s="34"/>
      <c r="M306" s="49"/>
      <c r="N306" s="49"/>
      <c r="O306" s="40"/>
    </row>
    <row r="307" spans="1:15" x14ac:dyDescent="0.2">
      <c r="A307" s="34">
        <v>1398</v>
      </c>
      <c r="B307" s="35"/>
      <c r="C307" s="36"/>
      <c r="D307" s="36"/>
      <c r="E307" s="48" t="str">
        <f t="shared" si="7"/>
        <v/>
      </c>
      <c r="F307" s="37"/>
      <c r="G307" s="37"/>
      <c r="H307" s="37"/>
      <c r="I307" s="38"/>
      <c r="J307" s="37"/>
      <c r="K307" s="39"/>
      <c r="L307" s="34"/>
      <c r="M307" s="49"/>
      <c r="N307" s="49"/>
      <c r="O307" s="40"/>
    </row>
    <row r="308" spans="1:15" x14ac:dyDescent="0.2">
      <c r="A308" s="34">
        <v>1399</v>
      </c>
      <c r="B308" s="35"/>
      <c r="C308" s="36"/>
      <c r="D308" s="36"/>
      <c r="E308" s="48" t="str">
        <f t="shared" si="7"/>
        <v/>
      </c>
      <c r="F308" s="37"/>
      <c r="G308" s="37"/>
      <c r="H308" s="37"/>
      <c r="I308" s="38"/>
      <c r="J308" s="37"/>
      <c r="K308" s="39"/>
      <c r="L308" s="34"/>
      <c r="M308" s="49"/>
      <c r="N308" s="49"/>
      <c r="O308" s="40"/>
    </row>
    <row r="309" spans="1:15" x14ac:dyDescent="0.2">
      <c r="A309" s="34">
        <v>1400</v>
      </c>
      <c r="B309" s="35"/>
      <c r="C309" s="36"/>
      <c r="D309" s="36"/>
      <c r="E309" s="48" t="str">
        <f t="shared" si="7"/>
        <v/>
      </c>
      <c r="F309" s="37"/>
      <c r="G309" s="37"/>
      <c r="H309" s="37"/>
      <c r="I309" s="38"/>
      <c r="J309" s="37"/>
      <c r="K309" s="39"/>
      <c r="L309" s="34"/>
      <c r="M309" s="49"/>
      <c r="N309" s="49"/>
      <c r="O309" s="40"/>
    </row>
    <row r="310" spans="1:15" x14ac:dyDescent="0.2">
      <c r="A310" s="34">
        <v>1401</v>
      </c>
      <c r="B310" s="35"/>
      <c r="C310" s="36"/>
      <c r="D310" s="36"/>
      <c r="E310" s="48" t="str">
        <f t="shared" si="7"/>
        <v/>
      </c>
      <c r="F310" s="37"/>
      <c r="G310" s="37"/>
      <c r="H310" s="37"/>
      <c r="I310" s="38"/>
      <c r="J310" s="37"/>
      <c r="K310" s="39"/>
      <c r="L310" s="34"/>
      <c r="M310" s="49"/>
      <c r="N310" s="49"/>
      <c r="O310" s="40"/>
    </row>
    <row r="311" spans="1:15" x14ac:dyDescent="0.2">
      <c r="A311" s="34">
        <v>1402</v>
      </c>
      <c r="B311" s="35"/>
      <c r="C311" s="36"/>
      <c r="D311" s="36"/>
      <c r="E311" s="48" t="str">
        <f t="shared" si="7"/>
        <v/>
      </c>
      <c r="F311" s="37"/>
      <c r="G311" s="37"/>
      <c r="H311" s="37"/>
      <c r="I311" s="38"/>
      <c r="J311" s="37"/>
      <c r="K311" s="39"/>
      <c r="L311" s="34"/>
      <c r="M311" s="49"/>
      <c r="N311" s="49"/>
      <c r="O311" s="40"/>
    </row>
    <row r="312" spans="1:15" x14ac:dyDescent="0.2">
      <c r="A312" s="34">
        <v>1403</v>
      </c>
      <c r="B312" s="35"/>
      <c r="C312" s="36"/>
      <c r="D312" s="36"/>
      <c r="E312" s="48" t="str">
        <f t="shared" si="7"/>
        <v/>
      </c>
      <c r="F312" s="37"/>
      <c r="G312" s="37"/>
      <c r="H312" s="37"/>
      <c r="I312" s="38"/>
      <c r="J312" s="37"/>
      <c r="K312" s="39"/>
      <c r="L312" s="34"/>
      <c r="M312" s="49"/>
      <c r="N312" s="49"/>
      <c r="O312" s="40"/>
    </row>
    <row r="313" spans="1:15" x14ac:dyDescent="0.2">
      <c r="A313" s="34">
        <v>1404</v>
      </c>
      <c r="B313" s="35"/>
      <c r="C313" s="36"/>
      <c r="D313" s="36"/>
      <c r="E313" s="48" t="str">
        <f t="shared" si="7"/>
        <v/>
      </c>
      <c r="F313" s="37"/>
      <c r="G313" s="37"/>
      <c r="H313" s="37"/>
      <c r="I313" s="38"/>
      <c r="J313" s="37"/>
      <c r="K313" s="39"/>
      <c r="L313" s="34"/>
      <c r="M313" s="49"/>
      <c r="N313" s="49"/>
      <c r="O313" s="40"/>
    </row>
    <row r="314" spans="1:15" x14ac:dyDescent="0.2">
      <c r="A314" s="34">
        <v>1405</v>
      </c>
      <c r="B314" s="35"/>
      <c r="C314" s="36"/>
      <c r="D314" s="36"/>
      <c r="E314" s="48" t="str">
        <f t="shared" si="7"/>
        <v/>
      </c>
      <c r="F314" s="37"/>
      <c r="G314" s="37"/>
      <c r="H314" s="37"/>
      <c r="I314" s="38"/>
      <c r="J314" s="37"/>
      <c r="K314" s="39"/>
      <c r="L314" s="34"/>
      <c r="M314" s="49"/>
      <c r="N314" s="49"/>
      <c r="O314" s="40"/>
    </row>
    <row r="315" spans="1:15" x14ac:dyDescent="0.2">
      <c r="A315" s="34">
        <v>1406</v>
      </c>
      <c r="B315" s="35"/>
      <c r="C315" s="36"/>
      <c r="D315" s="36"/>
      <c r="E315" s="48" t="str">
        <f t="shared" si="7"/>
        <v/>
      </c>
      <c r="F315" s="37"/>
      <c r="G315" s="37"/>
      <c r="H315" s="37"/>
      <c r="I315" s="38"/>
      <c r="J315" s="37"/>
      <c r="K315" s="39"/>
      <c r="L315" s="34"/>
      <c r="M315" s="49"/>
      <c r="N315" s="49"/>
      <c r="O315" s="40"/>
    </row>
    <row r="316" spans="1:15" x14ac:dyDescent="0.2">
      <c r="A316" s="34">
        <v>1407</v>
      </c>
      <c r="B316" s="35"/>
      <c r="C316" s="36"/>
      <c r="D316" s="36"/>
      <c r="E316" s="48" t="str">
        <f t="shared" si="7"/>
        <v/>
      </c>
      <c r="F316" s="37"/>
      <c r="G316" s="37"/>
      <c r="H316" s="37"/>
      <c r="I316" s="38"/>
      <c r="J316" s="37"/>
      <c r="K316" s="39"/>
      <c r="L316" s="34"/>
      <c r="M316" s="49"/>
      <c r="N316" s="49"/>
      <c r="O316" s="40"/>
    </row>
    <row r="317" spans="1:15" x14ac:dyDescent="0.2">
      <c r="A317" s="34">
        <v>1408</v>
      </c>
      <c r="B317" s="35"/>
      <c r="C317" s="36"/>
      <c r="D317" s="36"/>
      <c r="E317" s="48" t="str">
        <f t="shared" si="7"/>
        <v/>
      </c>
      <c r="F317" s="37"/>
      <c r="G317" s="37"/>
      <c r="H317" s="37"/>
      <c r="I317" s="38"/>
      <c r="J317" s="37"/>
      <c r="K317" s="39"/>
      <c r="L317" s="34"/>
      <c r="M317" s="49"/>
      <c r="N317" s="49"/>
      <c r="O317" s="40"/>
    </row>
    <row r="318" spans="1:15" x14ac:dyDescent="0.2">
      <c r="A318" s="34">
        <v>1409</v>
      </c>
      <c r="B318" s="35"/>
      <c r="C318" s="36"/>
      <c r="D318" s="36"/>
      <c r="E318" s="48" t="str">
        <f t="shared" si="7"/>
        <v/>
      </c>
      <c r="F318" s="37"/>
      <c r="G318" s="37"/>
      <c r="H318" s="37"/>
      <c r="I318" s="38"/>
      <c r="J318" s="37"/>
      <c r="K318" s="39"/>
      <c r="L318" s="34"/>
      <c r="M318" s="49"/>
      <c r="N318" s="49"/>
      <c r="O318" s="40"/>
    </row>
    <row r="319" spans="1:15" x14ac:dyDescent="0.2">
      <c r="A319" s="34">
        <v>1410</v>
      </c>
      <c r="B319" s="35"/>
      <c r="C319" s="36"/>
      <c r="D319" s="36"/>
      <c r="E319" s="48" t="str">
        <f t="shared" si="7"/>
        <v/>
      </c>
      <c r="F319" s="37"/>
      <c r="G319" s="37"/>
      <c r="H319" s="37"/>
      <c r="I319" s="38"/>
      <c r="J319" s="37"/>
      <c r="K319" s="39"/>
      <c r="L319" s="34"/>
      <c r="M319" s="49"/>
      <c r="N319" s="49"/>
      <c r="O319" s="40"/>
    </row>
    <row r="320" spans="1:15" x14ac:dyDescent="0.2">
      <c r="A320" s="34">
        <v>1411</v>
      </c>
      <c r="B320" s="35"/>
      <c r="C320" s="36"/>
      <c r="D320" s="36"/>
      <c r="E320" s="48" t="str">
        <f t="shared" si="7"/>
        <v/>
      </c>
      <c r="F320" s="37"/>
      <c r="G320" s="37"/>
      <c r="H320" s="37"/>
      <c r="I320" s="38"/>
      <c r="J320" s="37"/>
      <c r="K320" s="39"/>
      <c r="L320" s="34"/>
      <c r="M320" s="49"/>
      <c r="N320" s="49"/>
      <c r="O320" s="40"/>
    </row>
    <row r="321" spans="1:15" x14ac:dyDescent="0.2">
      <c r="A321" s="34">
        <v>1412</v>
      </c>
      <c r="B321" s="35"/>
      <c r="C321" s="36"/>
      <c r="D321" s="36"/>
      <c r="E321" s="48" t="str">
        <f t="shared" si="7"/>
        <v/>
      </c>
      <c r="F321" s="37"/>
      <c r="G321" s="37"/>
      <c r="H321" s="37"/>
      <c r="I321" s="38"/>
      <c r="J321" s="37"/>
      <c r="K321" s="39"/>
      <c r="L321" s="34"/>
      <c r="M321" s="49"/>
      <c r="N321" s="49"/>
      <c r="O321" s="40"/>
    </row>
    <row r="322" spans="1:15" x14ac:dyDescent="0.2">
      <c r="A322" s="34">
        <v>1413</v>
      </c>
      <c r="B322" s="35"/>
      <c r="C322" s="36"/>
      <c r="D322" s="36"/>
      <c r="E322" s="48" t="str">
        <f t="shared" si="7"/>
        <v/>
      </c>
      <c r="F322" s="37"/>
      <c r="G322" s="37"/>
      <c r="H322" s="37"/>
      <c r="I322" s="38"/>
      <c r="J322" s="37"/>
      <c r="K322" s="39"/>
      <c r="L322" s="34"/>
      <c r="M322" s="49"/>
      <c r="N322" s="49"/>
      <c r="O322" s="40"/>
    </row>
    <row r="323" spans="1:15" x14ac:dyDescent="0.2">
      <c r="A323" s="34">
        <v>1414</v>
      </c>
      <c r="B323" s="35"/>
      <c r="C323" s="36"/>
      <c r="D323" s="36"/>
      <c r="E323" s="48" t="str">
        <f t="shared" si="7"/>
        <v/>
      </c>
      <c r="F323" s="37"/>
      <c r="G323" s="37"/>
      <c r="H323" s="37"/>
      <c r="I323" s="38"/>
      <c r="J323" s="37"/>
      <c r="K323" s="39"/>
      <c r="L323" s="34"/>
      <c r="M323" s="49"/>
      <c r="N323" s="49"/>
      <c r="O323" s="40"/>
    </row>
    <row r="324" spans="1:15" x14ac:dyDescent="0.2">
      <c r="A324" s="34">
        <v>1415</v>
      </c>
      <c r="B324" s="35"/>
      <c r="C324" s="36"/>
      <c r="D324" s="36"/>
      <c r="E324" s="48" t="str">
        <f t="shared" si="7"/>
        <v/>
      </c>
      <c r="F324" s="37"/>
      <c r="G324" s="37"/>
      <c r="H324" s="37"/>
      <c r="I324" s="38"/>
      <c r="J324" s="37"/>
      <c r="K324" s="39"/>
      <c r="L324" s="34"/>
      <c r="M324" s="49"/>
      <c r="N324" s="49"/>
      <c r="O324" s="40"/>
    </row>
    <row r="325" spans="1:15" x14ac:dyDescent="0.2">
      <c r="A325" s="34">
        <v>1416</v>
      </c>
      <c r="B325" s="35"/>
      <c r="C325" s="36"/>
      <c r="D325" s="36"/>
      <c r="E325" s="48" t="str">
        <f t="shared" si="7"/>
        <v/>
      </c>
      <c r="F325" s="37"/>
      <c r="G325" s="37"/>
      <c r="H325" s="37"/>
      <c r="I325" s="38"/>
      <c r="J325" s="37"/>
      <c r="K325" s="39"/>
      <c r="L325" s="34"/>
      <c r="M325" s="49"/>
      <c r="N325" s="49"/>
      <c r="O325" s="40"/>
    </row>
    <row r="326" spans="1:15" x14ac:dyDescent="0.2">
      <c r="A326" s="34">
        <v>1417</v>
      </c>
      <c r="B326" s="35"/>
      <c r="C326" s="36"/>
      <c r="D326" s="36"/>
      <c r="E326" s="48" t="str">
        <f t="shared" si="7"/>
        <v/>
      </c>
      <c r="F326" s="37"/>
      <c r="G326" s="37"/>
      <c r="H326" s="37"/>
      <c r="I326" s="38"/>
      <c r="J326" s="37"/>
      <c r="K326" s="39"/>
      <c r="L326" s="34"/>
      <c r="M326" s="49"/>
      <c r="N326" s="49"/>
      <c r="O326" s="40"/>
    </row>
    <row r="327" spans="1:15" x14ac:dyDescent="0.2">
      <c r="A327" s="34">
        <v>1418</v>
      </c>
      <c r="B327" s="35"/>
      <c r="C327" s="36"/>
      <c r="D327" s="36"/>
      <c r="E327" s="48" t="str">
        <f t="shared" si="7"/>
        <v/>
      </c>
      <c r="F327" s="37"/>
      <c r="G327" s="37"/>
      <c r="H327" s="37"/>
      <c r="I327" s="38"/>
      <c r="J327" s="37"/>
      <c r="K327" s="39"/>
      <c r="L327" s="34"/>
      <c r="M327" s="49"/>
      <c r="N327" s="49"/>
      <c r="O327" s="40"/>
    </row>
    <row r="328" spans="1:15" x14ac:dyDescent="0.2">
      <c r="A328" s="34">
        <v>1419</v>
      </c>
      <c r="B328" s="35"/>
      <c r="C328" s="36"/>
      <c r="D328" s="36"/>
      <c r="E328" s="48" t="str">
        <f t="shared" si="7"/>
        <v/>
      </c>
      <c r="F328" s="37"/>
      <c r="G328" s="37"/>
      <c r="H328" s="37"/>
      <c r="I328" s="38"/>
      <c r="J328" s="37"/>
      <c r="K328" s="39"/>
      <c r="L328" s="34"/>
      <c r="M328" s="49"/>
      <c r="N328" s="49"/>
      <c r="O328" s="40"/>
    </row>
    <row r="329" spans="1:15" x14ac:dyDescent="0.2">
      <c r="A329" s="34">
        <v>1420</v>
      </c>
      <c r="B329" s="35"/>
      <c r="C329" s="36"/>
      <c r="D329" s="36"/>
      <c r="E329" s="48" t="str">
        <f t="shared" si="7"/>
        <v/>
      </c>
      <c r="F329" s="37"/>
      <c r="G329" s="37"/>
      <c r="H329" s="37"/>
      <c r="I329" s="38"/>
      <c r="J329" s="37"/>
      <c r="K329" s="39"/>
      <c r="L329" s="34"/>
      <c r="M329" s="49"/>
      <c r="N329" s="49"/>
      <c r="O329" s="40"/>
    </row>
    <row r="330" spans="1:15" x14ac:dyDescent="0.2">
      <c r="A330" s="34">
        <v>1421</v>
      </c>
      <c r="B330" s="35"/>
      <c r="C330" s="36"/>
      <c r="D330" s="36"/>
      <c r="E330" s="48" t="str">
        <f t="shared" si="7"/>
        <v/>
      </c>
      <c r="F330" s="37"/>
      <c r="G330" s="37"/>
      <c r="H330" s="37"/>
      <c r="I330" s="38"/>
      <c r="J330" s="37"/>
      <c r="K330" s="39"/>
      <c r="L330" s="34"/>
      <c r="M330" s="49"/>
      <c r="N330" s="49"/>
      <c r="O330" s="40"/>
    </row>
    <row r="331" spans="1:15" x14ac:dyDescent="0.2">
      <c r="A331" s="34">
        <v>1422</v>
      </c>
      <c r="B331" s="35"/>
      <c r="C331" s="36"/>
      <c r="D331" s="36"/>
      <c r="E331" s="48" t="str">
        <f t="shared" si="7"/>
        <v/>
      </c>
      <c r="F331" s="37"/>
      <c r="G331" s="37"/>
      <c r="H331" s="37"/>
      <c r="I331" s="38"/>
      <c r="J331" s="37"/>
      <c r="K331" s="39"/>
      <c r="L331" s="34"/>
      <c r="M331" s="49"/>
      <c r="N331" s="49"/>
      <c r="O331" s="40"/>
    </row>
    <row r="332" spans="1:15" x14ac:dyDescent="0.2">
      <c r="A332" s="34">
        <v>1423</v>
      </c>
      <c r="B332" s="35"/>
      <c r="C332" s="36"/>
      <c r="D332" s="36"/>
      <c r="E332" s="48" t="str">
        <f t="shared" si="7"/>
        <v/>
      </c>
      <c r="F332" s="37"/>
      <c r="G332" s="37"/>
      <c r="H332" s="37"/>
      <c r="I332" s="38"/>
      <c r="J332" s="37"/>
      <c r="K332" s="39"/>
      <c r="L332" s="34"/>
      <c r="M332" s="49"/>
      <c r="N332" s="49"/>
      <c r="O332" s="40"/>
    </row>
    <row r="333" spans="1:15" x14ac:dyDescent="0.2">
      <c r="A333" s="34">
        <v>1424</v>
      </c>
      <c r="B333" s="35"/>
      <c r="C333" s="36"/>
      <c r="D333" s="36"/>
      <c r="E333" s="48" t="str">
        <f t="shared" si="7"/>
        <v/>
      </c>
      <c r="F333" s="37"/>
      <c r="G333" s="37"/>
      <c r="H333" s="37"/>
      <c r="I333" s="38"/>
      <c r="J333" s="37"/>
      <c r="K333" s="39"/>
      <c r="L333" s="34"/>
      <c r="M333" s="49"/>
      <c r="N333" s="49"/>
      <c r="O333" s="40"/>
    </row>
    <row r="334" spans="1:15" x14ac:dyDescent="0.2">
      <c r="A334" s="34">
        <v>1425</v>
      </c>
      <c r="B334" s="35"/>
      <c r="C334" s="36"/>
      <c r="D334" s="36"/>
      <c r="E334" s="48" t="str">
        <f t="shared" si="7"/>
        <v/>
      </c>
      <c r="F334" s="37"/>
      <c r="G334" s="37"/>
      <c r="H334" s="37"/>
      <c r="I334" s="38"/>
      <c r="J334" s="37"/>
      <c r="K334" s="39"/>
      <c r="L334" s="34"/>
      <c r="M334" s="49"/>
      <c r="N334" s="49"/>
      <c r="O334" s="40"/>
    </row>
    <row r="335" spans="1:15" x14ac:dyDescent="0.2">
      <c r="A335" s="34">
        <v>1426</v>
      </c>
      <c r="B335" s="35"/>
      <c r="C335" s="36"/>
      <c r="D335" s="36"/>
      <c r="E335" s="48" t="str">
        <f t="shared" si="7"/>
        <v/>
      </c>
      <c r="F335" s="37"/>
      <c r="G335" s="37"/>
      <c r="H335" s="37"/>
      <c r="I335" s="38"/>
      <c r="J335" s="37"/>
      <c r="K335" s="39"/>
      <c r="L335" s="34"/>
      <c r="M335" s="49"/>
      <c r="N335" s="49"/>
      <c r="O335" s="40"/>
    </row>
    <row r="336" spans="1:15" x14ac:dyDescent="0.2">
      <c r="A336" s="34">
        <v>1427</v>
      </c>
      <c r="B336" s="35"/>
      <c r="C336" s="36"/>
      <c r="D336" s="36"/>
      <c r="E336" s="48" t="str">
        <f t="shared" si="7"/>
        <v/>
      </c>
      <c r="F336" s="37"/>
      <c r="G336" s="37"/>
      <c r="H336" s="37"/>
      <c r="I336" s="38"/>
      <c r="J336" s="37"/>
      <c r="K336" s="39"/>
      <c r="L336" s="34"/>
      <c r="M336" s="49"/>
      <c r="N336" s="49"/>
      <c r="O336" s="40"/>
    </row>
    <row r="337" spans="1:15" x14ac:dyDescent="0.2">
      <c r="A337" s="34">
        <v>1428</v>
      </c>
      <c r="B337" s="35"/>
      <c r="C337" s="36"/>
      <c r="D337" s="36"/>
      <c r="E337" s="48" t="str">
        <f t="shared" si="7"/>
        <v/>
      </c>
      <c r="F337" s="37"/>
      <c r="G337" s="37"/>
      <c r="H337" s="37"/>
      <c r="I337" s="38"/>
      <c r="J337" s="37"/>
      <c r="K337" s="39"/>
      <c r="L337" s="34"/>
      <c r="M337" s="49"/>
      <c r="N337" s="49"/>
      <c r="O337" s="40"/>
    </row>
    <row r="338" spans="1:15" x14ac:dyDescent="0.2">
      <c r="A338" s="34">
        <v>1429</v>
      </c>
      <c r="B338" s="35"/>
      <c r="C338" s="36"/>
      <c r="D338" s="36"/>
      <c r="E338" s="48" t="str">
        <f t="shared" si="7"/>
        <v/>
      </c>
      <c r="F338" s="37"/>
      <c r="G338" s="37"/>
      <c r="H338" s="37"/>
      <c r="I338" s="38"/>
      <c r="J338" s="37"/>
      <c r="K338" s="39"/>
      <c r="L338" s="34"/>
      <c r="M338" s="49"/>
      <c r="N338" s="49"/>
      <c r="O338" s="40"/>
    </row>
    <row r="339" spans="1:15" x14ac:dyDescent="0.2">
      <c r="A339" s="34">
        <v>1430</v>
      </c>
      <c r="B339" s="35"/>
      <c r="C339" s="36"/>
      <c r="D339" s="36"/>
      <c r="E339" s="48" t="str">
        <f t="shared" si="7"/>
        <v/>
      </c>
      <c r="F339" s="37"/>
      <c r="G339" s="37"/>
      <c r="H339" s="37"/>
      <c r="I339" s="38"/>
      <c r="J339" s="37"/>
      <c r="K339" s="39"/>
      <c r="L339" s="34"/>
      <c r="M339" s="49"/>
      <c r="N339" s="49"/>
      <c r="O339" s="40"/>
    </row>
    <row r="340" spans="1:15" x14ac:dyDescent="0.2">
      <c r="A340" s="34">
        <v>1431</v>
      </c>
      <c r="B340" s="35"/>
      <c r="C340" s="36"/>
      <c r="D340" s="36"/>
      <c r="E340" s="48" t="str">
        <f t="shared" si="7"/>
        <v/>
      </c>
      <c r="F340" s="37"/>
      <c r="G340" s="37"/>
      <c r="H340" s="37"/>
      <c r="I340" s="38"/>
      <c r="J340" s="37"/>
      <c r="K340" s="39"/>
      <c r="L340" s="34"/>
      <c r="M340" s="49"/>
      <c r="N340" s="49"/>
      <c r="O340" s="40"/>
    </row>
    <row r="341" spans="1:15" x14ac:dyDescent="0.2">
      <c r="A341" s="34">
        <v>1432</v>
      </c>
      <c r="B341" s="35"/>
      <c r="C341" s="36"/>
      <c r="D341" s="36"/>
      <c r="E341" s="48" t="str">
        <f t="shared" si="7"/>
        <v/>
      </c>
      <c r="F341" s="37"/>
      <c r="G341" s="37"/>
      <c r="H341" s="37"/>
      <c r="I341" s="38"/>
      <c r="J341" s="37"/>
      <c r="K341" s="39"/>
      <c r="L341" s="34"/>
      <c r="M341" s="49"/>
      <c r="N341" s="49"/>
      <c r="O341" s="40"/>
    </row>
    <row r="342" spans="1:15" x14ac:dyDescent="0.2">
      <c r="A342" s="34">
        <v>1433</v>
      </c>
      <c r="B342" s="35"/>
      <c r="C342" s="36"/>
      <c r="D342" s="36"/>
      <c r="E342" s="48" t="str">
        <f t="shared" si="7"/>
        <v/>
      </c>
      <c r="F342" s="37"/>
      <c r="G342" s="37"/>
      <c r="H342" s="37"/>
      <c r="I342" s="38"/>
      <c r="J342" s="37"/>
      <c r="K342" s="39"/>
      <c r="L342" s="34"/>
      <c r="M342" s="49"/>
      <c r="N342" s="49"/>
      <c r="O342" s="40"/>
    </row>
    <row r="343" spans="1:15" x14ac:dyDescent="0.2">
      <c r="A343" s="34">
        <v>1434</v>
      </c>
      <c r="B343" s="35"/>
      <c r="C343" s="36"/>
      <c r="D343" s="36"/>
      <c r="E343" s="48" t="str">
        <f t="shared" si="7"/>
        <v/>
      </c>
      <c r="F343" s="37"/>
      <c r="G343" s="37"/>
      <c r="H343" s="37"/>
      <c r="I343" s="38"/>
      <c r="J343" s="37"/>
      <c r="K343" s="39"/>
      <c r="L343" s="34"/>
      <c r="M343" s="49"/>
      <c r="N343" s="49"/>
      <c r="O343" s="40"/>
    </row>
    <row r="344" spans="1:15" x14ac:dyDescent="0.2">
      <c r="A344" s="34">
        <v>1435</v>
      </c>
      <c r="B344" s="35"/>
      <c r="C344" s="36"/>
      <c r="D344" s="36"/>
      <c r="E344" s="48" t="str">
        <f t="shared" si="7"/>
        <v/>
      </c>
      <c r="F344" s="37"/>
      <c r="G344" s="37"/>
      <c r="H344" s="37"/>
      <c r="I344" s="38"/>
      <c r="J344" s="37"/>
      <c r="K344" s="39"/>
      <c r="L344" s="34"/>
      <c r="M344" s="49"/>
      <c r="N344" s="49"/>
      <c r="O344" s="40"/>
    </row>
    <row r="345" spans="1:15" x14ac:dyDescent="0.2">
      <c r="A345" s="34">
        <v>1436</v>
      </c>
      <c r="B345" s="35"/>
      <c r="C345" s="36"/>
      <c r="D345" s="36"/>
      <c r="E345" s="48" t="str">
        <f t="shared" si="7"/>
        <v/>
      </c>
      <c r="F345" s="37"/>
      <c r="G345" s="37"/>
      <c r="H345" s="37"/>
      <c r="I345" s="38"/>
      <c r="J345" s="37"/>
      <c r="K345" s="39"/>
      <c r="L345" s="34"/>
      <c r="M345" s="49"/>
      <c r="N345" s="49"/>
      <c r="O345" s="40"/>
    </row>
    <row r="346" spans="1:15" x14ac:dyDescent="0.2">
      <c r="A346" s="34">
        <v>1437</v>
      </c>
      <c r="B346" s="35"/>
      <c r="C346" s="36"/>
      <c r="D346" s="36"/>
      <c r="E346" s="48" t="str">
        <f t="shared" si="7"/>
        <v/>
      </c>
      <c r="F346" s="37"/>
      <c r="G346" s="37"/>
      <c r="H346" s="37"/>
      <c r="I346" s="38"/>
      <c r="J346" s="37"/>
      <c r="K346" s="39"/>
      <c r="L346" s="34"/>
      <c r="M346" s="49"/>
      <c r="N346" s="49"/>
      <c r="O346" s="40"/>
    </row>
    <row r="347" spans="1:15" x14ac:dyDescent="0.2">
      <c r="A347" s="34">
        <v>1438</v>
      </c>
      <c r="B347" s="35"/>
      <c r="C347" s="36"/>
      <c r="D347" s="36"/>
      <c r="E347" s="48" t="str">
        <f t="shared" si="7"/>
        <v/>
      </c>
      <c r="F347" s="37"/>
      <c r="G347" s="37"/>
      <c r="H347" s="37"/>
      <c r="I347" s="38"/>
      <c r="J347" s="37"/>
      <c r="K347" s="39"/>
      <c r="L347" s="34"/>
      <c r="M347" s="49"/>
      <c r="N347" s="49"/>
      <c r="O347" s="40"/>
    </row>
    <row r="348" spans="1:15" x14ac:dyDescent="0.2">
      <c r="A348" s="34">
        <v>1439</v>
      </c>
      <c r="B348" s="35"/>
      <c r="C348" s="36"/>
      <c r="D348" s="36"/>
      <c r="E348" s="48" t="str">
        <f t="shared" si="7"/>
        <v/>
      </c>
      <c r="F348" s="37"/>
      <c r="G348" s="37"/>
      <c r="H348" s="37"/>
      <c r="I348" s="38"/>
      <c r="J348" s="37"/>
      <c r="K348" s="39"/>
      <c r="L348" s="34"/>
      <c r="M348" s="49"/>
      <c r="N348" s="49"/>
      <c r="O348" s="40"/>
    </row>
    <row r="349" spans="1:15" x14ac:dyDescent="0.2">
      <c r="A349" s="34">
        <v>1440</v>
      </c>
      <c r="B349" s="35"/>
      <c r="C349" s="36"/>
      <c r="D349" s="36"/>
      <c r="E349" s="48" t="str">
        <f t="shared" si="7"/>
        <v/>
      </c>
      <c r="F349" s="37"/>
      <c r="G349" s="37"/>
      <c r="H349" s="37"/>
      <c r="I349" s="38"/>
      <c r="J349" s="37"/>
      <c r="K349" s="39"/>
      <c r="L349" s="34"/>
      <c r="M349" s="49"/>
      <c r="N349" s="49"/>
      <c r="O349" s="40"/>
    </row>
    <row r="350" spans="1:15" x14ac:dyDescent="0.2">
      <c r="A350" s="34">
        <v>1441</v>
      </c>
      <c r="B350" s="35"/>
      <c r="C350" s="36"/>
      <c r="D350" s="36"/>
      <c r="E350" s="48" t="str">
        <f t="shared" si="7"/>
        <v/>
      </c>
      <c r="F350" s="37"/>
      <c r="G350" s="37"/>
      <c r="H350" s="37"/>
      <c r="I350" s="38"/>
      <c r="J350" s="37"/>
      <c r="K350" s="39"/>
      <c r="L350" s="34"/>
      <c r="M350" s="49"/>
      <c r="N350" s="49"/>
      <c r="O350" s="40"/>
    </row>
    <row r="351" spans="1:15" x14ac:dyDescent="0.2">
      <c r="A351" s="34">
        <v>1442</v>
      </c>
      <c r="B351" s="35"/>
      <c r="C351" s="36"/>
      <c r="D351" s="36"/>
      <c r="E351" s="48" t="str">
        <f t="shared" ref="E351:E359" si="8">IF(D351&lt;&gt;"",EOMONTH(D351,5),"")</f>
        <v/>
      </c>
      <c r="F351" s="37"/>
      <c r="G351" s="37"/>
      <c r="H351" s="37"/>
      <c r="I351" s="38"/>
      <c r="J351" s="37"/>
      <c r="K351" s="39"/>
      <c r="L351" s="34"/>
      <c r="M351" s="49"/>
      <c r="N351" s="49"/>
      <c r="O351" s="40"/>
    </row>
    <row r="352" spans="1:15" x14ac:dyDescent="0.2">
      <c r="A352" s="34">
        <v>1443</v>
      </c>
      <c r="B352" s="35"/>
      <c r="C352" s="36"/>
      <c r="D352" s="36"/>
      <c r="E352" s="48" t="str">
        <f t="shared" si="8"/>
        <v/>
      </c>
      <c r="F352" s="37"/>
      <c r="G352" s="37"/>
      <c r="H352" s="37"/>
      <c r="I352" s="38"/>
      <c r="J352" s="37"/>
      <c r="K352" s="39"/>
      <c r="L352" s="34"/>
      <c r="M352" s="49"/>
      <c r="N352" s="49"/>
      <c r="O352" s="40"/>
    </row>
    <row r="353" spans="1:15" x14ac:dyDescent="0.2">
      <c r="A353" s="34">
        <v>1444</v>
      </c>
      <c r="B353" s="35"/>
      <c r="C353" s="36"/>
      <c r="D353" s="36"/>
      <c r="E353" s="48" t="str">
        <f t="shared" si="8"/>
        <v/>
      </c>
      <c r="F353" s="37"/>
      <c r="G353" s="37"/>
      <c r="H353" s="37"/>
      <c r="I353" s="38"/>
      <c r="J353" s="37"/>
      <c r="K353" s="39"/>
      <c r="L353" s="34"/>
      <c r="M353" s="49"/>
      <c r="N353" s="49"/>
      <c r="O353" s="40"/>
    </row>
    <row r="354" spans="1:15" x14ac:dyDescent="0.2">
      <c r="A354" s="34">
        <v>1445</v>
      </c>
      <c r="B354" s="35"/>
      <c r="C354" s="36"/>
      <c r="D354" s="36"/>
      <c r="E354" s="48" t="str">
        <f t="shared" si="8"/>
        <v/>
      </c>
      <c r="F354" s="37"/>
      <c r="G354" s="37"/>
      <c r="H354" s="37"/>
      <c r="I354" s="38"/>
      <c r="J354" s="37"/>
      <c r="K354" s="39"/>
      <c r="L354" s="34"/>
      <c r="M354" s="49"/>
      <c r="N354" s="49"/>
      <c r="O354" s="40"/>
    </row>
    <row r="355" spans="1:15" x14ac:dyDescent="0.2">
      <c r="A355" s="34">
        <v>1446</v>
      </c>
      <c r="B355" s="35"/>
      <c r="C355" s="36"/>
      <c r="D355" s="36"/>
      <c r="E355" s="48" t="str">
        <f t="shared" si="8"/>
        <v/>
      </c>
      <c r="F355" s="37"/>
      <c r="G355" s="37"/>
      <c r="H355" s="37"/>
      <c r="I355" s="38"/>
      <c r="J355" s="37"/>
      <c r="K355" s="39"/>
      <c r="L355" s="34"/>
      <c r="M355" s="49"/>
      <c r="N355" s="49"/>
      <c r="O355" s="40"/>
    </row>
    <row r="356" spans="1:15" x14ac:dyDescent="0.2">
      <c r="A356" s="34">
        <v>1447</v>
      </c>
      <c r="B356" s="35"/>
      <c r="C356" s="36"/>
      <c r="D356" s="36"/>
      <c r="E356" s="48" t="str">
        <f t="shared" si="8"/>
        <v/>
      </c>
      <c r="F356" s="37"/>
      <c r="G356" s="37"/>
      <c r="H356" s="37"/>
      <c r="I356" s="38"/>
      <c r="J356" s="37"/>
      <c r="K356" s="39"/>
      <c r="L356" s="34"/>
      <c r="M356" s="49"/>
      <c r="N356" s="49"/>
      <c r="O356" s="40"/>
    </row>
    <row r="357" spans="1:15" x14ac:dyDescent="0.2">
      <c r="A357" s="34">
        <v>1448</v>
      </c>
      <c r="B357" s="35"/>
      <c r="C357" s="36"/>
      <c r="D357" s="36"/>
      <c r="E357" s="48" t="str">
        <f t="shared" si="8"/>
        <v/>
      </c>
      <c r="F357" s="37"/>
      <c r="G357" s="37"/>
      <c r="H357" s="37"/>
      <c r="I357" s="38"/>
      <c r="J357" s="37"/>
      <c r="K357" s="39"/>
      <c r="L357" s="34"/>
      <c r="M357" s="49"/>
      <c r="N357" s="49"/>
      <c r="O357" s="40"/>
    </row>
    <row r="358" spans="1:15" x14ac:dyDescent="0.2">
      <c r="A358" s="34">
        <v>1449</v>
      </c>
      <c r="B358" s="35"/>
      <c r="C358" s="36"/>
      <c r="D358" s="36"/>
      <c r="E358" s="48" t="str">
        <f t="shared" si="8"/>
        <v/>
      </c>
      <c r="F358" s="37"/>
      <c r="G358" s="37"/>
      <c r="H358" s="37"/>
      <c r="I358" s="38"/>
      <c r="J358" s="37"/>
      <c r="K358" s="39"/>
      <c r="L358" s="34"/>
      <c r="M358" s="49"/>
      <c r="N358" s="49"/>
      <c r="O358" s="40"/>
    </row>
    <row r="359" spans="1:15" x14ac:dyDescent="0.2">
      <c r="A359" s="34">
        <v>1450</v>
      </c>
      <c r="B359" s="35"/>
      <c r="C359" s="36"/>
      <c r="D359" s="36"/>
      <c r="E359" s="48" t="str">
        <f t="shared" si="8"/>
        <v/>
      </c>
      <c r="F359" s="37"/>
      <c r="G359" s="37"/>
      <c r="H359" s="37"/>
      <c r="I359" s="38"/>
      <c r="J359" s="37"/>
      <c r="K359" s="39"/>
      <c r="L359" s="34"/>
      <c r="M359" s="49"/>
      <c r="N359" s="49"/>
      <c r="O359" s="40"/>
    </row>
  </sheetData>
  <sortState ref="J6:J21">
    <sortCondition descending="1" ref="J6:J21"/>
  </sortState>
  <mergeCells count="17">
    <mergeCell ref="N4:O13"/>
    <mergeCell ref="A2:O2"/>
    <mergeCell ref="A18:A19"/>
    <mergeCell ref="B18:B19"/>
    <mergeCell ref="C18:C19"/>
    <mergeCell ref="F18:F19"/>
    <mergeCell ref="D18:D19"/>
    <mergeCell ref="E18:E19"/>
    <mergeCell ref="O18:O19"/>
    <mergeCell ref="G18:G19"/>
    <mergeCell ref="I18:I19"/>
    <mergeCell ref="J18:J19"/>
    <mergeCell ref="N18:N19"/>
    <mergeCell ref="M18:M19"/>
    <mergeCell ref="K18:K19"/>
    <mergeCell ref="L18:L19"/>
    <mergeCell ref="H18:H19"/>
  </mergeCells>
  <phoneticPr fontId="0" type="noConversion"/>
  <hyperlinks>
    <hyperlink ref="B16" r:id="rId1"/>
  </hyperlinks>
  <pageMargins left="0.75" right="0.75" top="1" bottom="1" header="0" footer="0"/>
  <pageSetup paperSize="9" orientation="portrait" horizontalDpi="300" verticalDpi="30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6" tint="0.79998168889431442"/>
    <pageSetUpPr fitToPage="1"/>
  </sheetPr>
  <dimension ref="A1:Q67"/>
  <sheetViews>
    <sheetView zoomScale="85" zoomScaleNormal="85" zoomScaleSheetLayoutView="85" zoomScalePageLayoutView="40" workbookViewId="0">
      <selection activeCell="E6" sqref="E6"/>
    </sheetView>
  </sheetViews>
  <sheetFormatPr baseColWidth="10" defaultColWidth="0" defaultRowHeight="12.75" customHeight="1" zeroHeight="1" x14ac:dyDescent="0.2"/>
  <cols>
    <col min="1" max="1" width="3.28515625" style="2" customWidth="1"/>
    <col min="2" max="2" width="5.28515625" style="1" customWidth="1"/>
    <col min="3" max="3" width="26.28515625" style="1" customWidth="1"/>
    <col min="4" max="4" width="16.28515625" style="1" customWidth="1"/>
    <col min="5" max="5" width="14.28515625" style="1" customWidth="1"/>
    <col min="6" max="6" width="16.140625" style="1" customWidth="1"/>
    <col min="7" max="7" width="13.85546875" style="1" customWidth="1"/>
    <col min="8" max="8" width="13.28515625" style="1" customWidth="1"/>
    <col min="9" max="9" width="14.85546875" style="1" customWidth="1"/>
    <col min="10" max="10" width="20.28515625" style="1" hidden="1" customWidth="1"/>
    <col min="11" max="17" width="0" style="1" hidden="1" customWidth="1"/>
    <col min="18" max="16384" width="20.28515625" style="1" hidden="1"/>
  </cols>
  <sheetData>
    <row r="1" spans="1:16" s="6" customFormat="1" x14ac:dyDescent="0.2">
      <c r="A1" s="5"/>
      <c r="B1" s="42"/>
      <c r="C1" s="42"/>
      <c r="D1" s="42"/>
      <c r="E1" s="42"/>
      <c r="F1" s="42"/>
      <c r="G1" s="42"/>
      <c r="H1" s="42"/>
      <c r="I1" s="42"/>
      <c r="J1" s="42"/>
      <c r="K1" s="42"/>
      <c r="L1" s="42"/>
      <c r="M1" s="42"/>
      <c r="N1" s="42"/>
      <c r="O1" s="42"/>
      <c r="P1" s="42">
        <v>15</v>
      </c>
    </row>
    <row r="2" spans="1:16" s="6" customFormat="1" x14ac:dyDescent="0.2">
      <c r="A2" s="5"/>
      <c r="B2" s="165"/>
      <c r="C2" s="165"/>
      <c r="D2" s="167"/>
      <c r="E2" s="167"/>
      <c r="F2" s="167"/>
      <c r="G2" s="173" t="s">
        <v>61</v>
      </c>
      <c r="H2" s="173"/>
      <c r="I2" s="173"/>
      <c r="J2" s="168"/>
      <c r="K2" s="168"/>
      <c r="L2" s="168"/>
      <c r="M2" s="168"/>
      <c r="N2" s="168"/>
      <c r="O2" s="168"/>
      <c r="P2" s="168"/>
    </row>
    <row r="3" spans="1:16" s="6" customFormat="1" x14ac:dyDescent="0.2">
      <c r="A3" s="5"/>
      <c r="B3" s="166"/>
      <c r="C3" s="166"/>
      <c r="D3" s="167"/>
      <c r="E3" s="167"/>
      <c r="F3" s="167"/>
      <c r="G3" s="173"/>
      <c r="H3" s="173"/>
      <c r="I3" s="173"/>
      <c r="J3" s="168"/>
      <c r="K3" s="166"/>
      <c r="L3" s="166"/>
      <c r="M3" s="166"/>
      <c r="N3" s="166"/>
      <c r="O3" s="166"/>
      <c r="P3" s="166"/>
    </row>
    <row r="4" spans="1:16" ht="26.25" x14ac:dyDescent="0.4">
      <c r="C4" s="2"/>
      <c r="E4" s="96" t="s">
        <v>36</v>
      </c>
    </row>
    <row r="5" spans="1:16" ht="13.5" thickBot="1" x14ac:dyDescent="0.25">
      <c r="C5" s="2"/>
      <c r="D5" s="2"/>
    </row>
    <row r="6" spans="1:16" ht="13.5" thickBot="1" x14ac:dyDescent="0.25">
      <c r="C6" s="2" t="s">
        <v>13</v>
      </c>
      <c r="D6" s="3" t="s">
        <v>0</v>
      </c>
      <c r="E6" s="51">
        <v>1111</v>
      </c>
      <c r="H6" s="43" t="s">
        <v>59</v>
      </c>
    </row>
    <row r="7" spans="1:16" x14ac:dyDescent="0.2">
      <c r="C7" s="2" t="s">
        <v>1</v>
      </c>
      <c r="D7" s="3" t="s">
        <v>0</v>
      </c>
      <c r="E7" s="2" t="str">
        <f>VLOOKUP(E6,TAB,2,0)</f>
        <v>ALVAREZ DAZA MANUEL</v>
      </c>
      <c r="H7" s="1" t="s">
        <v>60</v>
      </c>
    </row>
    <row r="8" spans="1:16" x14ac:dyDescent="0.2">
      <c r="C8" s="2" t="s">
        <v>20</v>
      </c>
      <c r="D8" s="3" t="s">
        <v>0</v>
      </c>
      <c r="E8" s="20">
        <f>VLOOKUP(E6,TAB,15,0)</f>
        <v>49774689</v>
      </c>
    </row>
    <row r="9" spans="1:16" x14ac:dyDescent="0.2">
      <c r="C9" s="2" t="s">
        <v>2</v>
      </c>
      <c r="D9" s="3" t="s">
        <v>0</v>
      </c>
      <c r="E9" s="4">
        <f>VLOOKUP(E6,TAB,3,0)</f>
        <v>42583</v>
      </c>
    </row>
    <row r="10" spans="1:16" x14ac:dyDescent="0.2">
      <c r="C10" s="2"/>
      <c r="D10" s="3"/>
    </row>
    <row r="11" spans="1:16" ht="13.5" customHeight="1" x14ac:dyDescent="0.2">
      <c r="C11" s="2"/>
      <c r="D11" s="3"/>
    </row>
    <row r="12" spans="1:16" x14ac:dyDescent="0.2">
      <c r="C12" s="2"/>
      <c r="D12" s="3"/>
    </row>
    <row r="13" spans="1:16" x14ac:dyDescent="0.2">
      <c r="C13" s="2" t="s">
        <v>126</v>
      </c>
      <c r="D13" s="3"/>
      <c r="E13" s="20" t="s">
        <v>37</v>
      </c>
      <c r="F13" s="4">
        <f>VLOOKUP(E6,TAB,4,0)</f>
        <v>43405</v>
      </c>
      <c r="G13" s="20" t="s">
        <v>15</v>
      </c>
      <c r="H13" s="4">
        <f>VLOOKUP(E6,TAB,5,0)</f>
        <v>43585</v>
      </c>
      <c r="I13" s="19"/>
    </row>
    <row r="14" spans="1:16" x14ac:dyDescent="0.2">
      <c r="C14" s="2"/>
      <c r="D14" s="3"/>
      <c r="E14" s="7"/>
      <c r="F14" s="19"/>
      <c r="G14" s="3"/>
      <c r="H14" s="19"/>
      <c r="I14" s="19"/>
    </row>
    <row r="15" spans="1:16" x14ac:dyDescent="0.2">
      <c r="C15" s="2"/>
      <c r="D15" s="3"/>
      <c r="E15" s="7"/>
      <c r="F15" s="2"/>
    </row>
    <row r="16" spans="1:16" ht="15.75" x14ac:dyDescent="0.25">
      <c r="B16" s="2"/>
      <c r="C16" s="2" t="s">
        <v>125</v>
      </c>
      <c r="D16" s="2"/>
      <c r="F16" s="21"/>
    </row>
    <row r="17" spans="1:9" ht="15.75" x14ac:dyDescent="0.25">
      <c r="B17" s="2"/>
      <c r="D17" s="3"/>
      <c r="E17" s="26"/>
      <c r="F17" s="21"/>
    </row>
    <row r="18" spans="1:9" ht="15" customHeight="1" x14ac:dyDescent="0.2">
      <c r="C18" s="1" t="s">
        <v>3</v>
      </c>
      <c r="F18" s="22">
        <f>+VLOOKUP(E6,TAB,6,0)</f>
        <v>4000</v>
      </c>
      <c r="G18" s="8"/>
      <c r="H18" s="6"/>
      <c r="I18" s="6"/>
    </row>
    <row r="19" spans="1:9" ht="15" customHeight="1" x14ac:dyDescent="0.2">
      <c r="C19" s="1" t="s">
        <v>40</v>
      </c>
      <c r="F19" s="22">
        <f>VLOOKUP(E6,TAB,7,0)</f>
        <v>0</v>
      </c>
      <c r="G19" s="6"/>
      <c r="H19" s="6"/>
      <c r="I19" s="6"/>
    </row>
    <row r="20" spans="1:9" ht="15" customHeight="1" x14ac:dyDescent="0.2">
      <c r="C20" s="1" t="s">
        <v>23</v>
      </c>
      <c r="F20" s="22">
        <f>VLOOKUP(E6,TAB,10,0)</f>
        <v>800</v>
      </c>
      <c r="G20" s="8"/>
      <c r="H20" s="6"/>
      <c r="I20" s="6"/>
    </row>
    <row r="21" spans="1:9" ht="15" customHeight="1" x14ac:dyDescent="0.2">
      <c r="C21" s="1" t="s">
        <v>43</v>
      </c>
      <c r="F21" s="22">
        <f>VLOOKUP(E6,TAB,8,0)</f>
        <v>0</v>
      </c>
      <c r="G21" s="6"/>
      <c r="H21" s="6"/>
      <c r="I21" s="6"/>
    </row>
    <row r="22" spans="1:9" ht="15" customHeight="1" x14ac:dyDescent="0.2">
      <c r="C22" s="1" t="s">
        <v>44</v>
      </c>
      <c r="F22" s="22">
        <f>VLOOKUP(E6,TAB,9,0)</f>
        <v>0</v>
      </c>
      <c r="G22" s="6"/>
      <c r="H22" s="6"/>
      <c r="I22" s="6"/>
    </row>
    <row r="23" spans="1:9" ht="15" customHeight="1" x14ac:dyDescent="0.2">
      <c r="B23" s="6"/>
      <c r="C23" s="31"/>
      <c r="D23" s="31"/>
      <c r="E23" s="31"/>
      <c r="F23" s="32"/>
      <c r="G23" s="6"/>
    </row>
    <row r="24" spans="1:9" ht="15" customHeight="1" x14ac:dyDescent="0.2">
      <c r="C24" s="6"/>
      <c r="D24" s="6"/>
      <c r="E24" s="6"/>
      <c r="F24" s="23"/>
      <c r="G24" s="6"/>
    </row>
    <row r="25" spans="1:9" ht="15" customHeight="1" x14ac:dyDescent="0.2">
      <c r="B25" s="2"/>
      <c r="C25" s="2" t="s">
        <v>127</v>
      </c>
      <c r="D25" s="2"/>
      <c r="F25" s="24"/>
      <c r="G25" s="6"/>
    </row>
    <row r="26" spans="1:9" ht="15" customHeight="1" x14ac:dyDescent="0.2">
      <c r="B26" s="2"/>
      <c r="D26" s="2"/>
      <c r="F26" s="24"/>
      <c r="G26" s="6"/>
    </row>
    <row r="27" spans="1:9" ht="15" customHeight="1" x14ac:dyDescent="0.2">
      <c r="C27" s="2" t="s">
        <v>3</v>
      </c>
      <c r="F27" s="25">
        <f>F18</f>
        <v>4000</v>
      </c>
      <c r="G27" s="6"/>
    </row>
    <row r="28" spans="1:9" ht="15" customHeight="1" x14ac:dyDescent="0.2">
      <c r="C28" s="2" t="s">
        <v>40</v>
      </c>
      <c r="F28" s="22">
        <f>F19</f>
        <v>0</v>
      </c>
      <c r="G28" s="6"/>
    </row>
    <row r="29" spans="1:9" ht="15" customHeight="1" x14ac:dyDescent="0.2">
      <c r="A29" s="27"/>
      <c r="B29" s="9"/>
      <c r="C29" s="2" t="str">
        <f>C20</f>
        <v>Gratificación Ordinaria</v>
      </c>
      <c r="F29" s="10">
        <f>F20/6</f>
        <v>133.33333333333334</v>
      </c>
      <c r="G29" s="6"/>
    </row>
    <row r="30" spans="1:9" ht="15" customHeight="1" x14ac:dyDescent="0.2">
      <c r="A30" s="27"/>
      <c r="B30" s="9"/>
      <c r="C30" s="2" t="s">
        <v>41</v>
      </c>
      <c r="F30" s="22">
        <f>F21/6</f>
        <v>0</v>
      </c>
      <c r="G30" s="6"/>
      <c r="I30" s="10"/>
    </row>
    <row r="31" spans="1:9" ht="15" customHeight="1" x14ac:dyDescent="0.2">
      <c r="C31" s="2" t="s">
        <v>4</v>
      </c>
      <c r="F31" s="25">
        <f>F22/6</f>
        <v>0</v>
      </c>
      <c r="G31" s="6"/>
    </row>
    <row r="32" spans="1:9" ht="15" customHeight="1" x14ac:dyDescent="0.2">
      <c r="C32" s="2"/>
      <c r="F32" s="10"/>
      <c r="G32" s="6"/>
    </row>
    <row r="33" spans="1:11" ht="15" customHeight="1" x14ac:dyDescent="0.2">
      <c r="B33" s="2"/>
      <c r="C33" s="2" t="s">
        <v>5</v>
      </c>
      <c r="F33" s="30">
        <f>SUM(F27:F31)</f>
        <v>4133.333333333333</v>
      </c>
      <c r="G33" s="6"/>
    </row>
    <row r="34" spans="1:11" x14ac:dyDescent="0.2">
      <c r="G34" s="6"/>
    </row>
    <row r="35" spans="1:11" x14ac:dyDescent="0.2">
      <c r="C35" s="6"/>
      <c r="D35" s="6"/>
      <c r="E35" s="6"/>
      <c r="F35" s="6"/>
      <c r="G35" s="6"/>
    </row>
    <row r="36" spans="1:11" s="11" customFormat="1" ht="27.75" customHeight="1" x14ac:dyDescent="0.2">
      <c r="A36" s="28"/>
      <c r="C36" s="169" t="s">
        <v>19</v>
      </c>
      <c r="D36" s="171" t="s">
        <v>39</v>
      </c>
      <c r="E36" s="171" t="s">
        <v>38</v>
      </c>
      <c r="F36" s="171" t="s">
        <v>21</v>
      </c>
      <c r="G36" s="171" t="s">
        <v>45</v>
      </c>
      <c r="H36" s="171" t="s">
        <v>7</v>
      </c>
    </row>
    <row r="37" spans="1:11" s="11" customFormat="1" ht="27.75" customHeight="1" x14ac:dyDescent="0.2">
      <c r="A37" s="28"/>
      <c r="C37" s="170"/>
      <c r="D37" s="172"/>
      <c r="E37" s="172"/>
      <c r="F37" s="172"/>
      <c r="G37" s="172"/>
      <c r="H37" s="172"/>
    </row>
    <row r="38" spans="1:11" s="12" customFormat="1" ht="27" customHeight="1" x14ac:dyDescent="0.2">
      <c r="A38" s="97"/>
      <c r="C38" s="81" t="str">
        <f>VLOOKUP(E6,TAB,11,0)</f>
        <v>BBVA BANCO CONTINENTAL</v>
      </c>
      <c r="D38" s="13" t="str">
        <f>VLOOKUP(E6,TAB,12,0)</f>
        <v>111-01-1111111</v>
      </c>
      <c r="E38" s="14">
        <f>F33</f>
        <v>4133.333333333333</v>
      </c>
      <c r="F38" s="15">
        <f>VLOOKUP(E6,TAB,13,0)</f>
        <v>6</v>
      </c>
      <c r="G38" s="15">
        <f>VLOOKUP(E6,TAB,14,0)</f>
        <v>0</v>
      </c>
      <c r="H38" s="14">
        <f>((E38/12)*F38)+((E38/12/30)*G38)</f>
        <v>2066.6666666666665</v>
      </c>
    </row>
    <row r="39" spans="1:11" ht="15" customHeight="1" x14ac:dyDescent="0.2"/>
    <row r="40" spans="1:11" ht="15" customHeight="1" x14ac:dyDescent="0.2">
      <c r="C40" s="2"/>
      <c r="G40" s="2" t="s">
        <v>6</v>
      </c>
      <c r="H40" s="16">
        <f>H38</f>
        <v>2066.6666666666665</v>
      </c>
      <c r="I40" s="17"/>
      <c r="K40" s="44">
        <f>INT(H40)</f>
        <v>2066</v>
      </c>
    </row>
    <row r="41" spans="1:11" ht="15" customHeight="1" x14ac:dyDescent="0.2">
      <c r="D41" s="18"/>
    </row>
    <row r="42" spans="1:11" ht="12.75" hidden="1" customHeight="1" x14ac:dyDescent="0.2"/>
    <row r="43" spans="1:11" ht="12.75" hidden="1" customHeight="1" x14ac:dyDescent="0.2"/>
    <row r="44" spans="1:11" ht="12.75" hidden="1" customHeight="1" x14ac:dyDescent="0.2"/>
    <row r="45" spans="1:11" ht="12.75" hidden="1" customHeight="1" x14ac:dyDescent="0.2"/>
    <row r="46" spans="1:11" ht="12.75" hidden="1" customHeight="1" x14ac:dyDescent="0.2"/>
    <row r="47" spans="1:11" ht="12.75" hidden="1" customHeight="1" x14ac:dyDescent="0.2"/>
    <row r="48" spans="1:11"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t="12.75" hidden="1" customHeight="1" x14ac:dyDescent="0.2"/>
    <row r="63" ht="12.75" hidden="1" customHeight="1" x14ac:dyDescent="0.2"/>
    <row r="64" ht="12.75" hidden="1" customHeight="1" x14ac:dyDescent="0.2"/>
    <row r="65" ht="12.75" hidden="1" customHeight="1" x14ac:dyDescent="0.2"/>
    <row r="66" ht="12.75" hidden="1" customHeight="1" x14ac:dyDescent="0.2"/>
    <row r="67" ht="12.75" hidden="1" customHeight="1" x14ac:dyDescent="0.2"/>
  </sheetData>
  <mergeCells count="19">
    <mergeCell ref="P2:P3"/>
    <mergeCell ref="C36:C37"/>
    <mergeCell ref="D36:D37"/>
    <mergeCell ref="E36:E37"/>
    <mergeCell ref="F36:F37"/>
    <mergeCell ref="G36:G37"/>
    <mergeCell ref="H36:H37"/>
    <mergeCell ref="J2:J3"/>
    <mergeCell ref="K2:K3"/>
    <mergeCell ref="L2:L3"/>
    <mergeCell ref="M2:M3"/>
    <mergeCell ref="N2:N3"/>
    <mergeCell ref="O2:O3"/>
    <mergeCell ref="G2:I3"/>
    <mergeCell ref="B2:B3"/>
    <mergeCell ref="C2:C3"/>
    <mergeCell ref="D2:D3"/>
    <mergeCell ref="E2:E3"/>
    <mergeCell ref="F2:F3"/>
  </mergeCells>
  <hyperlinks>
    <hyperlink ref="G2" r:id="rId1"/>
  </hyperlinks>
  <pageMargins left="0.7" right="0.7" top="0.75" bottom="0.75" header="0.3" footer="0.3"/>
  <pageSetup paperSize="9" scale="72"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TABLAS!$A$20:$A$350</xm:f>
          </x14:formula1>
          <xm:sqref>E6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6" tint="0.79998168889431442"/>
    <pageSetUpPr fitToPage="1"/>
  </sheetPr>
  <dimension ref="A1:Q71"/>
  <sheetViews>
    <sheetView zoomScale="85" zoomScaleNormal="85" zoomScaleSheetLayoutView="85" zoomScalePageLayoutView="40" workbookViewId="0">
      <selection activeCell="E6" sqref="E6"/>
    </sheetView>
  </sheetViews>
  <sheetFormatPr baseColWidth="10" defaultColWidth="0" defaultRowHeight="12.75" zeroHeight="1" x14ac:dyDescent="0.2"/>
  <cols>
    <col min="1" max="1" width="3.28515625" style="2" customWidth="1"/>
    <col min="2" max="2" width="5.28515625" style="1" customWidth="1"/>
    <col min="3" max="3" width="22.42578125" style="1" customWidth="1"/>
    <col min="4" max="4" width="18.42578125" style="1" customWidth="1"/>
    <col min="5" max="5" width="15.5703125" style="1" customWidth="1"/>
    <col min="6" max="6" width="17.140625" style="1" customWidth="1"/>
    <col min="7" max="7" width="15.42578125" style="1" customWidth="1"/>
    <col min="8" max="8" width="13" style="1" customWidth="1"/>
    <col min="9" max="9" width="14.85546875" style="1" customWidth="1"/>
    <col min="10" max="10" width="20.28515625" style="1" hidden="1" customWidth="1"/>
    <col min="11" max="17" width="0" style="1" hidden="1" customWidth="1"/>
    <col min="18" max="16384" width="20.28515625" style="1" hidden="1"/>
  </cols>
  <sheetData>
    <row r="1" spans="1:16" s="6" customFormat="1" x14ac:dyDescent="0.2">
      <c r="A1" s="5"/>
      <c r="B1" s="42"/>
      <c r="C1" s="42"/>
      <c r="D1" s="42"/>
      <c r="E1" s="42"/>
      <c r="F1" s="42"/>
      <c r="G1" s="42"/>
      <c r="H1" s="42"/>
      <c r="I1" s="42"/>
      <c r="J1" s="42"/>
      <c r="K1" s="42"/>
      <c r="L1" s="42"/>
      <c r="M1" s="42"/>
      <c r="N1" s="42"/>
      <c r="O1" s="42"/>
      <c r="P1" s="42">
        <v>15</v>
      </c>
    </row>
    <row r="2" spans="1:16" s="6" customFormat="1" x14ac:dyDescent="0.2">
      <c r="A2" s="5"/>
      <c r="B2" s="165"/>
      <c r="C2" s="165"/>
      <c r="D2" s="167"/>
      <c r="E2" s="167"/>
      <c r="F2" s="167"/>
      <c r="G2" s="173" t="s">
        <v>61</v>
      </c>
      <c r="H2" s="173"/>
      <c r="I2" s="173"/>
      <c r="J2" s="168"/>
      <c r="K2" s="168"/>
      <c r="L2" s="168"/>
      <c r="M2" s="168"/>
      <c r="N2" s="168"/>
      <c r="O2" s="168"/>
      <c r="P2" s="168"/>
    </row>
    <row r="3" spans="1:16" s="6" customFormat="1" x14ac:dyDescent="0.2">
      <c r="A3" s="5"/>
      <c r="B3" s="166"/>
      <c r="C3" s="166"/>
      <c r="D3" s="167"/>
      <c r="E3" s="167"/>
      <c r="F3" s="167"/>
      <c r="G3" s="173"/>
      <c r="H3" s="173"/>
      <c r="I3" s="173"/>
      <c r="J3" s="168"/>
      <c r="K3" s="166"/>
      <c r="L3" s="166"/>
      <c r="M3" s="166"/>
      <c r="N3" s="166"/>
      <c r="O3" s="166"/>
      <c r="P3" s="166"/>
    </row>
    <row r="4" spans="1:16" ht="26.25" x14ac:dyDescent="0.4">
      <c r="C4" s="2"/>
      <c r="E4" s="45" t="s">
        <v>36</v>
      </c>
    </row>
    <row r="5" spans="1:16" ht="13.5" thickBot="1" x14ac:dyDescent="0.25">
      <c r="C5" s="2"/>
      <c r="D5" s="2"/>
    </row>
    <row r="6" spans="1:16" ht="13.5" thickBot="1" x14ac:dyDescent="0.25">
      <c r="C6" s="2" t="s">
        <v>13</v>
      </c>
      <c r="D6" s="3" t="s">
        <v>0</v>
      </c>
      <c r="E6" s="51">
        <v>1111</v>
      </c>
      <c r="H6" s="43" t="s">
        <v>59</v>
      </c>
    </row>
    <row r="7" spans="1:16" x14ac:dyDescent="0.2">
      <c r="C7" s="2" t="s">
        <v>1</v>
      </c>
      <c r="D7" s="3" t="s">
        <v>0</v>
      </c>
      <c r="E7" s="2" t="str">
        <f>VLOOKUP(E6,TAB,2,0)</f>
        <v>ALVAREZ DAZA MANUEL</v>
      </c>
      <c r="H7" s="1" t="s">
        <v>60</v>
      </c>
    </row>
    <row r="8" spans="1:16" x14ac:dyDescent="0.2">
      <c r="C8" s="2" t="s">
        <v>20</v>
      </c>
      <c r="D8" s="3" t="s">
        <v>0</v>
      </c>
      <c r="E8" s="20">
        <f>VLOOKUP(E6,TAB,15,0)</f>
        <v>49774689</v>
      </c>
    </row>
    <row r="9" spans="1:16" x14ac:dyDescent="0.2">
      <c r="C9" s="2" t="s">
        <v>2</v>
      </c>
      <c r="D9" s="3" t="s">
        <v>0</v>
      </c>
      <c r="E9" s="4">
        <f>VLOOKUP(E6,TAB,3,0)</f>
        <v>42583</v>
      </c>
    </row>
    <row r="10" spans="1:16" x14ac:dyDescent="0.2">
      <c r="C10" s="2"/>
      <c r="D10" s="3"/>
    </row>
    <row r="11" spans="1:16" ht="13.5" customHeight="1" x14ac:dyDescent="0.2">
      <c r="C11" s="2"/>
      <c r="D11" s="3"/>
    </row>
    <row r="12" spans="1:16" ht="13.5" customHeight="1" x14ac:dyDescent="0.2">
      <c r="C12" s="2"/>
      <c r="D12" s="3"/>
    </row>
    <row r="13" spans="1:16" ht="13.5" customHeight="1" x14ac:dyDescent="0.2">
      <c r="C13" s="2"/>
      <c r="D13" s="3"/>
    </row>
    <row r="14" spans="1:16" ht="25.5" customHeight="1" x14ac:dyDescent="0.4">
      <c r="C14" s="181" t="s">
        <v>124</v>
      </c>
      <c r="D14" s="181"/>
      <c r="E14" s="181"/>
      <c r="F14" s="181"/>
      <c r="G14" s="181"/>
      <c r="H14" s="181"/>
    </row>
    <row r="15" spans="1:16" x14ac:dyDescent="0.2">
      <c r="C15" s="2"/>
      <c r="D15" s="3"/>
    </row>
    <row r="16" spans="1:16" ht="15.75" x14ac:dyDescent="0.25">
      <c r="C16" s="98"/>
      <c r="D16" s="99"/>
      <c r="E16" s="100"/>
      <c r="F16" s="100"/>
      <c r="G16" s="100"/>
      <c r="H16" s="100"/>
      <c r="I16" s="100"/>
    </row>
    <row r="17" spans="1:9" ht="15.75" x14ac:dyDescent="0.25">
      <c r="C17" s="98"/>
      <c r="D17" s="99"/>
      <c r="E17" s="100"/>
      <c r="F17" s="100"/>
      <c r="G17" s="100"/>
      <c r="H17" s="100"/>
      <c r="I17" s="100"/>
    </row>
    <row r="18" spans="1:9" ht="93.75" customHeight="1" x14ac:dyDescent="0.25">
      <c r="C18" s="180" t="str">
        <f>+CONCATENATE(DATOS!C6," con RUC Nº ",DATOS!C8,","," domiciliado en ",DATOS!C10," representado por su Gerente General el Sr. ",DATOS!C12,", ","en aplicación del artículo 24º del TUO del D.Leg. Nº 650, Ley de Compensación por Tiempo de Servicios aprobado mediante el D.S. Nº 001-97-TR otorga a ",E7," la presente constancia del depósito de su Compensación por Tiempo de Servicios realizado el ", DATOS!C16,  " de ", DATOS!C18, " del ", DATOS!C20, ", en la cuenta CTS N° ",VLOOKUP(E6,TABLAS!A20:L24,12,FALSE)," de la institución financiera ",VLOOKUP(E6,TABLAS!A20:K24,11,FALSE)," por los siguientes montos y periodos:")</f>
        <v>Excel Negocios con RUC Nº 20128004301, domiciliado en Av. Metropolitana 1102 representado por su Gerente General el Sr. Gustavo Sebastiani, en aplicación del artículo 24º del TUO del D.Leg. Nº 650, Ley de Compensación por Tiempo de Servicios aprobado mediante el D.S. Nº 001-97-TR otorga a ALVAREZ DAZA MANUEL la presente constancia del depósito de su Compensación por Tiempo de Servicios realizado el 15 de Mayo del 2019, en la cuenta CTS N° 111-01-1111111 de la institución financiera BBVA BANCO CONTINENTAL por los siguientes montos y periodos:</v>
      </c>
      <c r="D18" s="180"/>
      <c r="E18" s="180"/>
      <c r="F18" s="180"/>
      <c r="G18" s="180"/>
      <c r="H18" s="180"/>
      <c r="I18" s="100"/>
    </row>
    <row r="19" spans="1:9" ht="15.75" x14ac:dyDescent="0.25">
      <c r="C19" s="98"/>
      <c r="D19" s="99"/>
      <c r="E19" s="100"/>
      <c r="F19" s="100"/>
      <c r="G19" s="100"/>
      <c r="H19" s="100"/>
      <c r="I19" s="100"/>
    </row>
    <row r="20" spans="1:9" ht="15.75" x14ac:dyDescent="0.25">
      <c r="C20" s="98"/>
      <c r="D20" s="99"/>
      <c r="E20" s="100"/>
      <c r="F20" s="100"/>
      <c r="G20" s="100"/>
      <c r="H20" s="100"/>
      <c r="I20" s="100"/>
    </row>
    <row r="21" spans="1:9" ht="15.75" x14ac:dyDescent="0.25">
      <c r="C21" s="98"/>
      <c r="D21" s="99"/>
      <c r="E21" s="100"/>
      <c r="F21" s="100"/>
      <c r="G21" s="100"/>
      <c r="H21" s="100"/>
      <c r="I21" s="100"/>
    </row>
    <row r="22" spans="1:9" ht="15.75" x14ac:dyDescent="0.25">
      <c r="C22" s="98" t="s">
        <v>143</v>
      </c>
      <c r="D22" s="99"/>
      <c r="E22" s="21" t="s">
        <v>37</v>
      </c>
      <c r="F22" s="101">
        <f>VLOOKUP(E6,TAB,4,0)</f>
        <v>43405</v>
      </c>
      <c r="G22" s="21" t="s">
        <v>15</v>
      </c>
      <c r="H22" s="101">
        <f>VLOOKUP(E6,TAB,5,0)</f>
        <v>43585</v>
      </c>
      <c r="I22" s="102"/>
    </row>
    <row r="23" spans="1:9" ht="15.75" x14ac:dyDescent="0.25">
      <c r="C23" s="98"/>
      <c r="D23" s="99"/>
      <c r="E23" s="103"/>
      <c r="F23" s="102"/>
      <c r="G23" s="99"/>
      <c r="H23" s="102"/>
      <c r="I23" s="102"/>
    </row>
    <row r="24" spans="1:9" ht="15.75" x14ac:dyDescent="0.25">
      <c r="C24" s="98"/>
      <c r="D24" s="99"/>
      <c r="E24" s="103"/>
      <c r="F24" s="98"/>
      <c r="G24" s="100"/>
      <c r="H24" s="100"/>
      <c r="I24" s="100"/>
    </row>
    <row r="25" spans="1:9" ht="15" customHeight="1" x14ac:dyDescent="0.25">
      <c r="C25" s="104"/>
      <c r="D25" s="104"/>
      <c r="E25" s="104"/>
      <c r="F25" s="105"/>
      <c r="G25" s="104"/>
      <c r="H25" s="100"/>
      <c r="I25" s="100"/>
    </row>
    <row r="26" spans="1:9" ht="18" customHeight="1" x14ac:dyDescent="0.25">
      <c r="B26" s="2"/>
      <c r="C26" s="98" t="s">
        <v>127</v>
      </c>
      <c r="D26" s="98"/>
      <c r="E26" s="100"/>
      <c r="F26" s="106"/>
      <c r="G26" s="104"/>
      <c r="H26" s="100"/>
      <c r="I26" s="100"/>
    </row>
    <row r="27" spans="1:9" ht="18" customHeight="1" x14ac:dyDescent="0.25">
      <c r="B27" s="2"/>
      <c r="C27" s="100"/>
      <c r="D27" s="98"/>
      <c r="E27" s="100"/>
      <c r="F27" s="106"/>
      <c r="G27" s="104"/>
      <c r="H27" s="100"/>
      <c r="I27" s="100"/>
    </row>
    <row r="28" spans="1:9" ht="18" customHeight="1" x14ac:dyDescent="0.25">
      <c r="C28" s="98" t="s">
        <v>3</v>
      </c>
      <c r="D28" s="100"/>
      <c r="E28" s="100"/>
      <c r="F28" s="107">
        <f>+VLOOKUP(E6,TABLAS!A20:F24,6)</f>
        <v>4000</v>
      </c>
      <c r="G28" s="104"/>
      <c r="H28" s="100"/>
      <c r="I28" s="100"/>
    </row>
    <row r="29" spans="1:9" ht="18" customHeight="1" x14ac:dyDescent="0.25">
      <c r="C29" s="98" t="s">
        <v>40</v>
      </c>
      <c r="D29" s="100"/>
      <c r="E29" s="100"/>
      <c r="F29" s="108">
        <f>+VLOOKUP(E6,TABLAS!A18:G2400,7,FALSE)</f>
        <v>0</v>
      </c>
      <c r="G29" s="104"/>
      <c r="H29" s="100"/>
      <c r="I29" s="100"/>
    </row>
    <row r="30" spans="1:9" ht="18" customHeight="1" x14ac:dyDescent="0.25">
      <c r="A30" s="27"/>
      <c r="B30" s="9"/>
      <c r="C30" s="98" t="s">
        <v>23</v>
      </c>
      <c r="D30" s="100"/>
      <c r="E30" s="100"/>
      <c r="F30" s="109">
        <f>(+VLOOKUP(E6,TABLAS!A18:J2400,10,FALSE))/6</f>
        <v>133.33333333333334</v>
      </c>
      <c r="G30" s="104"/>
      <c r="H30" s="100"/>
      <c r="I30" s="100"/>
    </row>
    <row r="31" spans="1:9" ht="18" customHeight="1" x14ac:dyDescent="0.25">
      <c r="A31" s="27"/>
      <c r="B31" s="9"/>
      <c r="C31" s="98" t="s">
        <v>41</v>
      </c>
      <c r="D31" s="100"/>
      <c r="E31" s="100"/>
      <c r="F31" s="108">
        <f>+(VLOOKUP(E6,TABLAS!A20:H2400,8,FALSE))/6</f>
        <v>0</v>
      </c>
      <c r="G31" s="104"/>
      <c r="H31" s="100"/>
      <c r="I31" s="109"/>
    </row>
    <row r="32" spans="1:9" ht="18" customHeight="1" x14ac:dyDescent="0.25">
      <c r="C32" s="98" t="s">
        <v>4</v>
      </c>
      <c r="D32" s="100"/>
      <c r="E32" s="100"/>
      <c r="F32" s="108">
        <f>+(VLOOKUP(E6,TABLAS!A20:I2400,9,FALSE))/6</f>
        <v>0</v>
      </c>
      <c r="G32" s="104"/>
      <c r="H32" s="100"/>
      <c r="I32" s="100"/>
    </row>
    <row r="33" spans="1:11" ht="18" customHeight="1" x14ac:dyDescent="0.25">
      <c r="C33" s="98"/>
      <c r="D33" s="100"/>
      <c r="E33" s="100"/>
      <c r="F33" s="109"/>
      <c r="G33" s="104"/>
      <c r="H33" s="100"/>
      <c r="I33" s="100"/>
    </row>
    <row r="34" spans="1:11" ht="18" customHeight="1" x14ac:dyDescent="0.25">
      <c r="B34" s="2"/>
      <c r="C34" s="178" t="s">
        <v>5</v>
      </c>
      <c r="D34" s="178"/>
      <c r="E34" s="179"/>
      <c r="F34" s="110">
        <f>SUM(F28:F32)</f>
        <v>4133.333333333333</v>
      </c>
      <c r="G34" s="104"/>
      <c r="H34" s="100"/>
      <c r="I34" s="100"/>
    </row>
    <row r="35" spans="1:11" ht="18" customHeight="1" x14ac:dyDescent="0.25">
      <c r="C35" s="100"/>
      <c r="D35" s="100"/>
      <c r="E35" s="100"/>
      <c r="F35" s="100"/>
      <c r="G35" s="104"/>
      <c r="H35" s="100"/>
      <c r="I35" s="100"/>
    </row>
    <row r="36" spans="1:11" ht="18" customHeight="1" x14ac:dyDescent="0.25">
      <c r="C36" s="100"/>
      <c r="D36" s="100"/>
      <c r="E36" s="100"/>
      <c r="F36" s="100"/>
      <c r="G36" s="104"/>
      <c r="H36" s="100"/>
      <c r="I36" s="100"/>
    </row>
    <row r="37" spans="1:11" ht="18" customHeight="1" x14ac:dyDescent="0.25">
      <c r="C37" s="98" t="s">
        <v>144</v>
      </c>
      <c r="D37" s="100"/>
      <c r="E37" s="100"/>
      <c r="F37" s="100"/>
      <c r="G37" s="104"/>
      <c r="H37" s="100"/>
      <c r="I37" s="100"/>
    </row>
    <row r="38" spans="1:11" ht="18" customHeight="1" x14ac:dyDescent="0.25">
      <c r="C38" s="104"/>
      <c r="D38" s="104"/>
      <c r="E38" s="104"/>
      <c r="F38" s="104"/>
      <c r="G38" s="104"/>
      <c r="H38" s="100"/>
      <c r="I38" s="100"/>
    </row>
    <row r="39" spans="1:11" s="11" customFormat="1" ht="27.75" customHeight="1" x14ac:dyDescent="0.25">
      <c r="A39" s="28"/>
      <c r="C39" s="98"/>
      <c r="D39" s="176" t="s">
        <v>142</v>
      </c>
      <c r="E39" s="176" t="s">
        <v>21</v>
      </c>
      <c r="F39" s="176" t="s">
        <v>45</v>
      </c>
      <c r="G39" s="176" t="s">
        <v>7</v>
      </c>
      <c r="H39" s="111"/>
    </row>
    <row r="40" spans="1:11" s="11" customFormat="1" ht="27.75" customHeight="1" x14ac:dyDescent="0.25">
      <c r="A40" s="28"/>
      <c r="C40" s="98"/>
      <c r="D40" s="176"/>
      <c r="E40" s="177"/>
      <c r="F40" s="177"/>
      <c r="G40" s="177"/>
      <c r="H40" s="111"/>
    </row>
    <row r="41" spans="1:11" s="12" customFormat="1" ht="27" customHeight="1" x14ac:dyDescent="0.25">
      <c r="A41" s="29"/>
      <c r="C41" s="98"/>
      <c r="D41" s="126">
        <f>+F34</f>
        <v>4133.333333333333</v>
      </c>
      <c r="E41" s="112">
        <f>VLOOKUP(E6,TAB,13,0)</f>
        <v>6</v>
      </c>
      <c r="F41" s="112">
        <f>VLOOKUP(E6,TAB,14,0)</f>
        <v>0</v>
      </c>
      <c r="G41" s="113">
        <f>((D41/12)*E41)+((D41/12/30)*F41)</f>
        <v>2066.6666666666665</v>
      </c>
      <c r="H41" s="114"/>
    </row>
    <row r="42" spans="1:11" ht="15" customHeight="1" x14ac:dyDescent="0.25">
      <c r="C42" s="100"/>
      <c r="D42" s="100"/>
      <c r="E42" s="100"/>
      <c r="F42" s="100"/>
      <c r="G42" s="100"/>
      <c r="H42" s="100"/>
      <c r="I42" s="100"/>
    </row>
    <row r="43" spans="1:11" ht="15" customHeight="1" x14ac:dyDescent="0.25">
      <c r="C43" s="98"/>
      <c r="D43" s="100"/>
      <c r="E43" s="100"/>
      <c r="F43" s="100"/>
      <c r="G43" s="98" t="s">
        <v>6</v>
      </c>
      <c r="H43" s="115">
        <f>G41</f>
        <v>2066.6666666666665</v>
      </c>
      <c r="I43" s="116"/>
      <c r="K43" s="44">
        <f>INT(H43)</f>
        <v>2066</v>
      </c>
    </row>
    <row r="44" spans="1:11" ht="15" customHeight="1" x14ac:dyDescent="0.25">
      <c r="C44" s="100"/>
      <c r="D44" s="117"/>
      <c r="E44" s="100"/>
      <c r="F44" s="100"/>
      <c r="G44" s="100"/>
      <c r="H44" s="100"/>
      <c r="I44" s="100"/>
    </row>
    <row r="45" spans="1:11" ht="15.75" x14ac:dyDescent="0.25">
      <c r="C45" s="100"/>
      <c r="D45" s="100"/>
      <c r="E45" s="100"/>
      <c r="F45" s="100"/>
      <c r="G45" s="100"/>
      <c r="H45" s="100"/>
      <c r="I45" s="100"/>
    </row>
    <row r="46" spans="1:11" ht="15.75" x14ac:dyDescent="0.25">
      <c r="C46" s="100"/>
      <c r="D46" s="100"/>
      <c r="E46" s="100"/>
      <c r="F46" s="100"/>
      <c r="G46" s="100"/>
      <c r="H46" s="118"/>
      <c r="I46" s="100"/>
    </row>
    <row r="47" spans="1:11" ht="15.75" x14ac:dyDescent="0.25">
      <c r="C47" s="119"/>
      <c r="D47" s="100"/>
      <c r="E47" s="100"/>
      <c r="F47" s="100"/>
      <c r="G47" s="100"/>
      <c r="H47" s="100"/>
      <c r="I47" s="100"/>
    </row>
    <row r="48" spans="1:11" ht="15.75" x14ac:dyDescent="0.25">
      <c r="C48" s="100"/>
      <c r="D48" s="100"/>
      <c r="E48" s="100"/>
      <c r="F48" s="175" t="str">
        <f ca="1">"Lima - " &amp; TEXT(TODAY(),"dddd, dd mmmm, yyyy")</f>
        <v>Lima - jueves, 09 Mayo, 2019</v>
      </c>
      <c r="G48" s="175"/>
      <c r="H48" s="175"/>
      <c r="I48" s="100"/>
    </row>
    <row r="49" spans="3:9" ht="15.75" x14ac:dyDescent="0.25">
      <c r="C49" s="100"/>
      <c r="D49" s="100"/>
      <c r="E49" s="100"/>
      <c r="F49" s="100"/>
      <c r="G49" s="100"/>
      <c r="H49" s="100"/>
      <c r="I49" s="100"/>
    </row>
    <row r="50" spans="3:9" ht="15.75" x14ac:dyDescent="0.25">
      <c r="C50" s="100"/>
      <c r="D50" s="100"/>
      <c r="E50" s="100"/>
      <c r="F50" s="100"/>
      <c r="G50" s="100"/>
      <c r="H50" s="100"/>
      <c r="I50" s="100"/>
    </row>
    <row r="51" spans="3:9" ht="15.75" x14ac:dyDescent="0.25">
      <c r="C51" s="100"/>
      <c r="D51" s="100"/>
      <c r="E51" s="100"/>
      <c r="F51" s="100"/>
      <c r="G51" s="100"/>
      <c r="H51" s="100"/>
      <c r="I51" s="100"/>
    </row>
    <row r="52" spans="3:9" ht="15.75" x14ac:dyDescent="0.25">
      <c r="C52" s="120"/>
      <c r="D52" s="100"/>
      <c r="E52" s="100"/>
      <c r="F52" s="120"/>
      <c r="G52" s="121"/>
      <c r="H52" s="122"/>
      <c r="I52" s="100"/>
    </row>
    <row r="53" spans="3:9" ht="15.75" x14ac:dyDescent="0.25">
      <c r="C53" s="123"/>
      <c r="D53" s="124" t="s">
        <v>22</v>
      </c>
      <c r="E53" s="100"/>
      <c r="F53" s="125"/>
      <c r="G53" s="174" t="str">
        <f>E7</f>
        <v>ALVAREZ DAZA MANUEL</v>
      </c>
      <c r="H53" s="174"/>
      <c r="I53" s="98"/>
    </row>
    <row r="54" spans="3:9" ht="15.75" x14ac:dyDescent="0.25">
      <c r="C54" s="98"/>
      <c r="D54" s="98"/>
      <c r="E54" s="100"/>
      <c r="F54" s="125"/>
      <c r="G54" s="174" t="str">
        <f>+"DNI "&amp;VLOOKUP(E6,TAB,15,0)</f>
        <v>DNI 49774689</v>
      </c>
      <c r="H54" s="174"/>
      <c r="I54" s="98"/>
    </row>
    <row r="55" spans="3:9" ht="15.75" x14ac:dyDescent="0.25">
      <c r="C55" s="100"/>
      <c r="D55" s="100"/>
      <c r="E55" s="100"/>
      <c r="F55" s="100"/>
      <c r="G55" s="100"/>
      <c r="H55" s="100"/>
      <c r="I55" s="100"/>
    </row>
    <row r="56" spans="3:9" ht="15.75" hidden="1" x14ac:dyDescent="0.25">
      <c r="C56" s="100"/>
      <c r="D56" s="100"/>
      <c r="E56" s="100"/>
      <c r="F56" s="100"/>
      <c r="G56" s="100"/>
      <c r="H56" s="100"/>
      <c r="I56" s="100"/>
    </row>
    <row r="57" spans="3:9" ht="15.75" hidden="1" x14ac:dyDescent="0.25">
      <c r="C57" s="100"/>
      <c r="D57" s="100"/>
      <c r="E57" s="100"/>
      <c r="F57" s="100"/>
      <c r="G57" s="100"/>
      <c r="H57" s="100"/>
      <c r="I57" s="100"/>
    </row>
    <row r="58" spans="3:9" ht="15.75" hidden="1" x14ac:dyDescent="0.25">
      <c r="C58" s="100"/>
      <c r="D58" s="100"/>
      <c r="E58" s="100"/>
      <c r="F58" s="100"/>
      <c r="G58" s="100"/>
      <c r="H58" s="100"/>
      <c r="I58" s="100"/>
    </row>
    <row r="59" spans="3:9" ht="15.75" hidden="1" x14ac:dyDescent="0.25">
      <c r="C59" s="100"/>
      <c r="D59" s="100"/>
      <c r="E59" s="100"/>
      <c r="F59" s="100"/>
      <c r="G59" s="100"/>
      <c r="H59" s="100"/>
      <c r="I59" s="100"/>
    </row>
    <row r="60" spans="3:9" ht="15.75" hidden="1" x14ac:dyDescent="0.25">
      <c r="C60" s="100"/>
      <c r="D60" s="100"/>
      <c r="E60" s="100"/>
      <c r="F60" s="100"/>
      <c r="G60" s="100"/>
      <c r="H60" s="100"/>
      <c r="I60" s="100"/>
    </row>
    <row r="61" spans="3:9" ht="15.75" hidden="1" x14ac:dyDescent="0.25">
      <c r="C61" s="100"/>
      <c r="D61" s="100"/>
      <c r="E61" s="100"/>
      <c r="F61" s="100"/>
      <c r="G61" s="100"/>
      <c r="H61" s="100"/>
      <c r="I61" s="100"/>
    </row>
    <row r="62" spans="3:9" hidden="1" x14ac:dyDescent="0.2"/>
    <row r="63" spans="3:9" hidden="1" x14ac:dyDescent="0.2"/>
    <row r="64" spans="3:9" hidden="1" x14ac:dyDescent="0.2"/>
    <row r="65" hidden="1" x14ac:dyDescent="0.2"/>
    <row r="66" hidden="1" x14ac:dyDescent="0.2"/>
    <row r="67" hidden="1" x14ac:dyDescent="0.2"/>
    <row r="68" hidden="1" x14ac:dyDescent="0.2"/>
    <row r="69" hidden="1" x14ac:dyDescent="0.2"/>
    <row r="70" hidden="1" x14ac:dyDescent="0.2"/>
    <row r="71" hidden="1" x14ac:dyDescent="0.2"/>
  </sheetData>
  <mergeCells count="23">
    <mergeCell ref="C34:E34"/>
    <mergeCell ref="D39:D40"/>
    <mergeCell ref="C18:H18"/>
    <mergeCell ref="B2:B3"/>
    <mergeCell ref="C2:C3"/>
    <mergeCell ref="D2:D3"/>
    <mergeCell ref="E2:E3"/>
    <mergeCell ref="F2:F3"/>
    <mergeCell ref="G2:I3"/>
    <mergeCell ref="C14:H14"/>
    <mergeCell ref="E39:E40"/>
    <mergeCell ref="F39:F40"/>
    <mergeCell ref="N2:N3"/>
    <mergeCell ref="O2:O3"/>
    <mergeCell ref="P2:P3"/>
    <mergeCell ref="J2:J3"/>
    <mergeCell ref="K2:K3"/>
    <mergeCell ref="L2:L3"/>
    <mergeCell ref="G53:H53"/>
    <mergeCell ref="G54:H54"/>
    <mergeCell ref="F48:H48"/>
    <mergeCell ref="G39:G40"/>
    <mergeCell ref="M2:M3"/>
  </mergeCells>
  <conditionalFormatting sqref="C18:H18">
    <cfRule type="cellIs" dxfId="3" priority="1" operator="equal">
      <formula>"""MICREDITO SAC, con RUC Nº  20481622400, domiciliado en Húsares de Junín Nº 1124-Urb. La Merced, representada por su Gerente de Créditos la Sra. Ziara Helka Silva Valverde, en aplicación del artículo"""</formula>
    </cfRule>
    <cfRule type="cellIs" dxfId="2" priority="2" operator="equal">
      <formula>"""MICREDITO SAC, con RUC Nº  20481622400, domiciliado en Húsares de Junín Nº 1124-Urb. La Merced, representada por su Gerente de Créditos la Sra. Ziara Helka Silva Valverde, en aplicación del artículo"""</formula>
    </cfRule>
    <cfRule type="cellIs" dxfId="1" priority="3" operator="equal">
      <formula>"CONSULTAV(C37,'BASE DATOS'!$A$7:$W$74,4,FALSO)$B$6"</formula>
    </cfRule>
    <cfRule type="cellIs" dxfId="0" priority="4" operator="equal">
      <formula>"CONSULTAV(C37,'BASE DATOS'!$A$7:$W$74,4,FALSO)"</formula>
    </cfRule>
  </conditionalFormatting>
  <hyperlinks>
    <hyperlink ref="G2" r:id="rId1"/>
  </hyperlinks>
  <pageMargins left="0.7" right="0.7" top="0.75" bottom="0.75" header="0.3" footer="0.3"/>
  <pageSetup paperSize="9" scale="71"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TABLAS!$A$20:$A$35</xm:f>
          </x14:formula1>
          <xm:sqref>E6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1:AC66"/>
  <sheetViews>
    <sheetView workbookViewId="0">
      <selection activeCell="D5" sqref="D5"/>
    </sheetView>
  </sheetViews>
  <sheetFormatPr baseColWidth="10" defaultColWidth="9.140625" defaultRowHeight="12.75" x14ac:dyDescent="0.2"/>
  <cols>
    <col min="1" max="1" width="9.140625" style="58"/>
    <col min="2" max="2" width="5.5703125" style="58" customWidth="1"/>
    <col min="3" max="3" width="5.140625" style="58" customWidth="1"/>
    <col min="4" max="4" width="16.85546875" style="58" customWidth="1"/>
    <col min="5" max="5" width="15.85546875" style="58" customWidth="1"/>
    <col min="6" max="22" width="3.7109375" style="58" customWidth="1"/>
    <col min="23" max="23" width="9.140625" style="58"/>
    <col min="24" max="24" width="13.28515625" style="58" customWidth="1"/>
    <col min="25" max="25" width="9.140625" style="58"/>
    <col min="26" max="26" width="5.28515625" style="60" customWidth="1"/>
    <col min="27" max="27" width="3.85546875" style="60" customWidth="1"/>
    <col min="28" max="28" width="5.140625" style="60" customWidth="1"/>
    <col min="29" max="29" width="9.140625" style="60"/>
    <col min="30" max="16384" width="9.140625" style="58"/>
  </cols>
  <sheetData>
    <row r="1" spans="4:28" x14ac:dyDescent="0.2">
      <c r="D1" s="58" t="s">
        <v>63</v>
      </c>
      <c r="E1" s="59" t="s">
        <v>64</v>
      </c>
    </row>
    <row r="2" spans="4:28" x14ac:dyDescent="0.2">
      <c r="D2" s="58" t="s">
        <v>65</v>
      </c>
      <c r="E2" s="70" t="s">
        <v>122</v>
      </c>
    </row>
    <row r="3" spans="4:28" ht="13.5" thickBot="1" x14ac:dyDescent="0.25"/>
    <row r="4" spans="4:28" ht="15.75" thickBot="1" x14ac:dyDescent="0.3">
      <c r="D4" s="61">
        <f>+'HOJA DE LIQUIDACIÓN'!H43</f>
        <v>2066.6666666666665</v>
      </c>
      <c r="E4" s="182" t="str">
        <f>X7&amp;Y7&amp;X8&amp;Y8&amp;X9&amp;Y9&amp;X10&amp;Y10&amp;X11&amp;Y11&amp;X12&amp;Y12&amp;X13&amp;Y13&amp;X14&amp;Y14&amp;X15&amp;Y15&amp;" "&amp;IF(X16="UN","Sol",E1)&amp;" "&amp;D7&amp;E2</f>
        <v xml:space="preserve"> dos mil sesenta y seis con 67/100 soles</v>
      </c>
      <c r="F4" s="182"/>
      <c r="G4" s="182"/>
      <c r="H4" s="182"/>
      <c r="I4" s="182"/>
      <c r="J4" s="182"/>
      <c r="K4" s="182"/>
      <c r="L4" s="182"/>
      <c r="M4" s="182"/>
      <c r="N4" s="182"/>
      <c r="O4" s="182"/>
      <c r="P4" s="182"/>
      <c r="Q4" s="182"/>
      <c r="R4" s="182"/>
      <c r="S4" s="182"/>
      <c r="T4" s="182"/>
      <c r="U4" s="182"/>
      <c r="V4" s="182"/>
      <c r="W4" s="182"/>
    </row>
    <row r="5" spans="4:28" x14ac:dyDescent="0.2">
      <c r="D5" s="62">
        <f>ROUNDDOWN(D4,0)</f>
        <v>2066</v>
      </c>
      <c r="E5" s="58" t="str">
        <f>PROPER(TEXT(E4,""))</f>
        <v xml:space="preserve"> Dos Mil Sesenta Y Seis Con 67/100 Soles</v>
      </c>
    </row>
    <row r="6" spans="4:28" x14ac:dyDescent="0.2">
      <c r="D6" s="62">
        <f>ROUND(+D4-D5,2)</f>
        <v>0.67</v>
      </c>
      <c r="W6" s="63">
        <f>IF(W7&lt;&gt;0,1,7)</f>
        <v>7</v>
      </c>
    </row>
    <row r="7" spans="4:28" x14ac:dyDescent="0.2">
      <c r="D7" s="63" t="str">
        <f>IF(D6=0,"00",TEXT(D6*100,"00"))</f>
        <v>67</v>
      </c>
      <c r="E7" s="58" t="s">
        <v>66</v>
      </c>
      <c r="F7" s="64">
        <f>IF(D4&gt;99999999.99,ROUNDDOWN(D4/100000000,0),0)</f>
        <v>0</v>
      </c>
      <c r="G7" s="65" t="str">
        <f>TEXT(F7,"0")</f>
        <v>0</v>
      </c>
      <c r="W7" s="64">
        <f>SUM(F7:V7)</f>
        <v>0</v>
      </c>
      <c r="X7" s="58" t="str">
        <f>IF(W7=0,"",IF(AB9=100,"cien",IF(W7=1,"ciento",VLOOKUP(W7,$B$57:$D$65,3,FALSE))))</f>
        <v/>
      </c>
      <c r="Y7" s="58" t="str">
        <f>IF(X7&lt;&gt;""," ","")</f>
        <v/>
      </c>
    </row>
    <row r="8" spans="4:28" x14ac:dyDescent="0.2">
      <c r="D8" s="64"/>
      <c r="E8" s="58" t="s">
        <v>67</v>
      </c>
      <c r="F8" s="58">
        <f>IF(F7=0,0,IF(F7&lt;&gt;0,MID(D4,2,1),D4/10000000))</f>
        <v>0</v>
      </c>
      <c r="G8" s="66">
        <f>VALUE(F8)</f>
        <v>0</v>
      </c>
      <c r="H8" s="67">
        <f>IF(D4&lt;=99999999.99,ROUNDDOWN(D4/10000000,0),0)</f>
        <v>0</v>
      </c>
      <c r="I8" s="65" t="str">
        <f>TEXT(H8,"0")</f>
        <v>0</v>
      </c>
      <c r="W8" s="64">
        <f t="shared" ref="W8:W15" si="0">SUM(F8:V8)</f>
        <v>0</v>
      </c>
      <c r="X8" s="58" t="str">
        <f>IF(W8=0,"",IF(W8&gt;=3,VLOOKUP(W8,$B$49:$D$55,3,FALSE),IF(W8&lt;=2,VLOOKUP($Z$9,$C$19:$D$47,2,FALSE))))</f>
        <v/>
      </c>
      <c r="Y8" s="58" t="str">
        <f>IF(AB9=0,"",IF(AA9=0," millones ",IF(W9=0," millones ",IF(Z9&gt;=30," y ",IF(W8=0,"",IF($Z$9&lt;30," millones ",""))))))</f>
        <v/>
      </c>
    </row>
    <row r="9" spans="4:28" x14ac:dyDescent="0.2">
      <c r="E9" s="58" t="s">
        <v>68</v>
      </c>
      <c r="F9" s="58">
        <f>IF(F7=0,0,IF(F8&gt;=1,MID(D4,3,1),D4/1000000))</f>
        <v>0</v>
      </c>
      <c r="G9" s="66">
        <f t="shared" ref="G9:I15" si="1">VALUE(F9)</f>
        <v>0</v>
      </c>
      <c r="H9" s="58">
        <f>IF(H8=0,0,IF(H8&lt;&gt;0,MID(D4,2,1),D4/1000000))</f>
        <v>0</v>
      </c>
      <c r="I9" s="66">
        <f t="shared" si="1"/>
        <v>0</v>
      </c>
      <c r="J9" s="67">
        <f>IF(D4&lt;=9999999.99,ROUNDDOWN(D4/1000000,0),0)</f>
        <v>0</v>
      </c>
      <c r="K9" s="65" t="str">
        <f>TEXT(J9,"0")</f>
        <v>0</v>
      </c>
      <c r="W9" s="64">
        <f t="shared" si="0"/>
        <v>0</v>
      </c>
      <c r="X9" s="58" t="str">
        <f>IF(W9=0,"",IF(Z9&lt;10,VLOOKUP(W9,$C$19:$D$27,2,FALSE),IF(Z9&lt;=30,"",IF(Z9=11,"",IF(W9=1,"un ",VLOOKUP(W9,$C$19:$D$27,2,FALSE))))))</f>
        <v/>
      </c>
      <c r="Y9" s="58" t="str">
        <f>IF(AB9=1," millon ",IF(X9&lt;&gt;""," millones ",""))</f>
        <v/>
      </c>
      <c r="Z9" s="60">
        <f>+W8*10+W9</f>
        <v>0</v>
      </c>
      <c r="AA9" s="68">
        <f>+W8+W9</f>
        <v>0</v>
      </c>
      <c r="AB9" s="60">
        <f>+W7*100+W8*10+W9*1</f>
        <v>0</v>
      </c>
    </row>
    <row r="10" spans="4:28" x14ac:dyDescent="0.2">
      <c r="E10" s="58" t="s">
        <v>69</v>
      </c>
      <c r="F10" s="58">
        <f>IF(F7=0,0,IF(F9&gt;=1,MID(D4,4,1),D4/100000))</f>
        <v>0</v>
      </c>
      <c r="G10" s="66">
        <f t="shared" si="1"/>
        <v>0</v>
      </c>
      <c r="H10" s="58">
        <f>IF(H8=0,0,IF(H9&gt;=1,MID(D4,3,1),D4/100000))</f>
        <v>0</v>
      </c>
      <c r="I10" s="66">
        <f t="shared" si="1"/>
        <v>0</v>
      </c>
      <c r="J10" s="58">
        <f>IF(J9=0,0,IF(J9&gt;=1,MID(D4,2,1),D4/100000))</f>
        <v>0</v>
      </c>
      <c r="K10" s="66">
        <f t="shared" ref="K10:K15" si="2">VALUE(J10)</f>
        <v>0</v>
      </c>
      <c r="L10" s="69">
        <f>IF(D4&lt;=999999.99,ROUNDDOWN(D4/100000,0),0)</f>
        <v>0</v>
      </c>
      <c r="M10" s="65" t="str">
        <f>TEXT(L10,"0")</f>
        <v>0</v>
      </c>
      <c r="W10" s="64">
        <f t="shared" si="0"/>
        <v>0</v>
      </c>
      <c r="X10" s="58" t="str">
        <f>IF(W10=0,"",IF(AB12=100," cien",IF(W10=1," ciento",VLOOKUP(W10,$B$57:$D$65,3,FALSE))))</f>
        <v/>
      </c>
      <c r="Y10" s="58" t="s">
        <v>70</v>
      </c>
    </row>
    <row r="11" spans="4:28" x14ac:dyDescent="0.2">
      <c r="E11" s="58" t="s">
        <v>71</v>
      </c>
      <c r="F11" s="58">
        <f>IF(F7=0,0,IF(F10&gt;=1,MID(D4,5,1),D4/10000))</f>
        <v>0</v>
      </c>
      <c r="G11" s="66">
        <f t="shared" si="1"/>
        <v>0</v>
      </c>
      <c r="H11" s="58">
        <f>IF(H8=0,0,IF(H10&gt;=1,MID(D4,4,1),D4/10000))</f>
        <v>0</v>
      </c>
      <c r="I11" s="66">
        <f t="shared" si="1"/>
        <v>0</v>
      </c>
      <c r="J11" s="58">
        <f>IF(J9=0,0,IF(J10&gt;=1,MID(D4,3,1),D4/10000))</f>
        <v>0</v>
      </c>
      <c r="K11" s="66">
        <f t="shared" si="2"/>
        <v>0</v>
      </c>
      <c r="L11" s="58">
        <f>IF(L10=0,0,IF(L10&lt;&gt;0,MID(D4,2,1),D4/10000))</f>
        <v>0</v>
      </c>
      <c r="M11" s="66">
        <f>VALUE(L11)</f>
        <v>0</v>
      </c>
      <c r="N11" s="67">
        <f>IF(D4&lt;=99999.99,ROUNDDOWN(D4/10000,0),0)</f>
        <v>0</v>
      </c>
      <c r="O11" s="65" t="str">
        <f>TEXT(N11,"0")</f>
        <v>0</v>
      </c>
      <c r="W11" s="64">
        <f t="shared" si="0"/>
        <v>0</v>
      </c>
      <c r="X11" s="58" t="str">
        <f>IF(W11=0,"",IF(W11&gt;=3,VLOOKUP(W11,$B$49:$D$55,3,FALSE),IF(W11&lt;=2,VLOOKUP($Z$12,$C$19:$D$47,2,FALSE))))</f>
        <v/>
      </c>
      <c r="Y11" s="58" t="str">
        <f>IF(AB12=0,"",IF(AA12=W11," mil ",IF(Z12&gt;=30," y ","")))</f>
        <v/>
      </c>
    </row>
    <row r="12" spans="4:28" x14ac:dyDescent="0.2">
      <c r="E12" s="58" t="s">
        <v>72</v>
      </c>
      <c r="F12" s="58">
        <f>IF(F7=0,0,IF(F11&gt;=1,MID(D4,6,1),D4/1000))</f>
        <v>0</v>
      </c>
      <c r="G12" s="66">
        <f t="shared" si="1"/>
        <v>0</v>
      </c>
      <c r="H12" s="58">
        <f>IF(H8=0,0,IF(H11&gt;=1,MID(D4,5,1),D4/1000))</f>
        <v>0</v>
      </c>
      <c r="I12" s="66">
        <f t="shared" si="1"/>
        <v>0</v>
      </c>
      <c r="J12" s="58">
        <f>IF(J9=0,0,IF(J11&gt;=1,MID(D4,4,1),D4/1000))</f>
        <v>0</v>
      </c>
      <c r="K12" s="66">
        <f t="shared" si="2"/>
        <v>0</v>
      </c>
      <c r="L12" s="58">
        <f>IF(L10=0,0,IF(L11&gt;=1,MID(D4,3,1),D4/1000))</f>
        <v>0</v>
      </c>
      <c r="M12" s="66">
        <f>VALUE(L12)</f>
        <v>0</v>
      </c>
      <c r="N12" s="58">
        <f>IF(N11=0,0,IF(N11&gt;=1,MID(D4,2,1),D4/1000))</f>
        <v>0</v>
      </c>
      <c r="O12" s="66">
        <f>VALUE(N12)</f>
        <v>0</v>
      </c>
      <c r="P12" s="67">
        <f>IF(D4&lt;=9999.99,ROUNDDOWN(D4/1000,0),0)</f>
        <v>2</v>
      </c>
      <c r="Q12" s="65" t="str">
        <f>TEXT(P12,"0")</f>
        <v>2</v>
      </c>
      <c r="W12" s="64">
        <f t="shared" si="0"/>
        <v>2</v>
      </c>
      <c r="X12" s="58" t="str">
        <f>IF(W12=0,"",IF(AND(W12=1,Z12+AA12+AB12=3)=TRUE,"un",IF(Z12&lt;10,VLOOKUP(W12,$C$19:$D$27,2,FALSE),IF(Z12=21,"",IF(Z12=11,"",IF(W12=1,"un",IF(Z12&lt;=30,"",VLOOKUP(W12,$C$19:$D$27,2,FALSE))))))))</f>
        <v>dos</v>
      </c>
      <c r="Y12" s="58" t="str">
        <f>IF(AB12=0,"",IF(Y11=" mil ","",IF(AA12=0," mil ",IF(W12&lt;&gt;0," mil ",IF($Z$12&lt;30," mil ","")))))</f>
        <v xml:space="preserve"> mil </v>
      </c>
      <c r="Z12" s="60">
        <f>+W11*10+W12</f>
        <v>2</v>
      </c>
      <c r="AA12" s="68">
        <f>+W11+W12</f>
        <v>2</v>
      </c>
      <c r="AB12" s="60">
        <f>+W10*100+W11*10+W12*1</f>
        <v>2</v>
      </c>
    </row>
    <row r="13" spans="4:28" x14ac:dyDescent="0.2">
      <c r="E13" s="58" t="s">
        <v>73</v>
      </c>
      <c r="F13" s="58">
        <f>IF(F7=0,0,IF(F12&gt;=1,MID(D4,7,1),D4/100))</f>
        <v>0</v>
      </c>
      <c r="G13" s="66">
        <f t="shared" si="1"/>
        <v>0</v>
      </c>
      <c r="H13" s="58">
        <f>IF(H8=0,0,IF(H12&gt;=1,MID(D4,6,1),D4/100))</f>
        <v>0</v>
      </c>
      <c r="I13" s="66">
        <f t="shared" si="1"/>
        <v>0</v>
      </c>
      <c r="J13" s="58">
        <f>IF(J9=0,0,IF(J12&gt;=1,MID(D4,5,1),D4/100))</f>
        <v>0</v>
      </c>
      <c r="K13" s="66">
        <f t="shared" si="2"/>
        <v>0</v>
      </c>
      <c r="L13" s="58">
        <f>IF(L10=0,0,IF(L12&gt;=1,MID(D4,4,1),D4/100))</f>
        <v>0</v>
      </c>
      <c r="M13" s="66">
        <f>VALUE(L13)</f>
        <v>0</v>
      </c>
      <c r="N13" s="58">
        <f>IF(N11=0,0,IF(N12&gt;=1,MID(D4,3,1),D4/100))</f>
        <v>0</v>
      </c>
      <c r="O13" s="66">
        <f>VALUE(N13)</f>
        <v>0</v>
      </c>
      <c r="P13" s="58" t="str">
        <f>IF(P12=0,0,IF(P12&gt;=1,MID(D4,2,1),D4/100))</f>
        <v>0</v>
      </c>
      <c r="Q13" s="66">
        <f>VALUE(P13)</f>
        <v>0</v>
      </c>
      <c r="R13" s="67">
        <f>IF(D4&lt;=999.99,ROUNDDOWN(D4/100,0),0)</f>
        <v>0</v>
      </c>
      <c r="S13" s="65" t="str">
        <f>TEXT(R13,"0")</f>
        <v>0</v>
      </c>
      <c r="W13" s="64">
        <f t="shared" si="0"/>
        <v>0</v>
      </c>
      <c r="X13" s="58" t="str">
        <f>IF(W13=0,"",IF(AA15=100,"cien",IF(W13=1,"ciento",VLOOKUP(W13,$B$57:$D$65,3,FALSE))))</f>
        <v/>
      </c>
      <c r="Y13" s="58" t="str">
        <f>IF(X13&lt;&gt;""," ","")</f>
        <v/>
      </c>
    </row>
    <row r="14" spans="4:28" x14ac:dyDescent="0.2">
      <c r="E14" s="58" t="s">
        <v>74</v>
      </c>
      <c r="F14" s="58">
        <f>IF(F7=0,0,IF(F13&gt;=1,MID(D4,8,1),D4/10))</f>
        <v>0</v>
      </c>
      <c r="G14" s="66">
        <f t="shared" si="1"/>
        <v>0</v>
      </c>
      <c r="H14" s="58">
        <f>IF(H8=0,0,IF(H13&gt;=1,MID(D4,7,1),D4/10))</f>
        <v>0</v>
      </c>
      <c r="I14" s="66">
        <f t="shared" si="1"/>
        <v>0</v>
      </c>
      <c r="J14" s="58">
        <f>IF(J9=0,0,IF(J13&gt;=1,MID(D4,6,1),D4/10))</f>
        <v>0</v>
      </c>
      <c r="K14" s="66">
        <f t="shared" si="2"/>
        <v>0</v>
      </c>
      <c r="L14" s="58">
        <f>IF(L10=0,0,IF(L13&gt;=1,MID(D4,5,1),D4/10))</f>
        <v>0</v>
      </c>
      <c r="M14" s="66">
        <f>VALUE(L14)</f>
        <v>0</v>
      </c>
      <c r="N14" s="58">
        <f>IF(N11=0,0,IF(N13&gt;=1,MID(D4,4,1),D4/10))</f>
        <v>0</v>
      </c>
      <c r="O14" s="66">
        <f>VALUE(N14)</f>
        <v>0</v>
      </c>
      <c r="P14" s="58" t="str">
        <f>IF(P12=0,0,IF(P13&gt;=1,MID(D4,3,1),D4/10))</f>
        <v>6</v>
      </c>
      <c r="Q14" s="66">
        <f>VALUE(P14)</f>
        <v>6</v>
      </c>
      <c r="R14" s="58">
        <f>IF(R13=0,0,IF(R13&lt;&gt;0,MID(D4,2,1),D4/10))</f>
        <v>0</v>
      </c>
      <c r="S14" s="66">
        <f>VALUE(R14)</f>
        <v>0</v>
      </c>
      <c r="T14" s="67">
        <f>IF(D4&lt;=99.99,ROUNDDOWN(D4/10,0),0)</f>
        <v>0</v>
      </c>
      <c r="U14" s="65" t="str">
        <f>TEXT(T14,"0")</f>
        <v>0</v>
      </c>
      <c r="W14" s="64">
        <f t="shared" si="0"/>
        <v>6</v>
      </c>
      <c r="X14" s="58" t="str">
        <f>IF(W14=0,"",IF(W14&gt;=3,VLOOKUP(W14,$B$49:$D$55,3,FALSE),IF(W14&lt;=2,VLOOKUP($Z$15,$C$19:$D$47,2,FALSE))))</f>
        <v>sesenta</v>
      </c>
      <c r="Y14" s="58" t="str">
        <f>IF(W14=0,"",IF(W15=0,"",IF(Z15&gt;=30," y ","")))</f>
        <v xml:space="preserve"> y </v>
      </c>
    </row>
    <row r="15" spans="4:28" x14ac:dyDescent="0.2">
      <c r="E15" s="58" t="s">
        <v>75</v>
      </c>
      <c r="F15" s="58">
        <f>IF(F7=0,0,IF(F14&gt;=1,MID(D4,9,1),D4/10))</f>
        <v>0</v>
      </c>
      <c r="G15" s="66">
        <f t="shared" si="1"/>
        <v>0</v>
      </c>
      <c r="H15" s="58">
        <f>IF(H8=0,0,IF(H14&gt;=1,MID(D4,8,1),D4/10))</f>
        <v>0</v>
      </c>
      <c r="I15" s="66">
        <f t="shared" si="1"/>
        <v>0</v>
      </c>
      <c r="J15" s="58">
        <f>IF(J9=0,0,IF(J14&gt;=1,MID(D4,7,1),D4/10))</f>
        <v>0</v>
      </c>
      <c r="K15" s="66">
        <f t="shared" si="2"/>
        <v>0</v>
      </c>
      <c r="L15" s="58">
        <f>IF(L10=0,0,IF(L14&gt;=1,MID(D4,6,1),D4/10))</f>
        <v>0</v>
      </c>
      <c r="M15" s="66">
        <f>VALUE(L15)</f>
        <v>0</v>
      </c>
      <c r="N15" s="58">
        <f>IF(N11=0,0,IF(N14&gt;=1,MID(D4,5,1),D4/10))</f>
        <v>0</v>
      </c>
      <c r="O15" s="66">
        <f>VALUE(N15)</f>
        <v>0</v>
      </c>
      <c r="P15" s="58" t="str">
        <f>IF(P12=0,0,IF(P14&gt;=1,MID(D4,4,1),D4/10))</f>
        <v>6</v>
      </c>
      <c r="Q15" s="66">
        <f>VALUE(P15)</f>
        <v>6</v>
      </c>
      <c r="R15" s="58">
        <f>IF(R13=0,0,IF(R14&gt;=1,MID(D4,3,1),D4/10))</f>
        <v>0</v>
      </c>
      <c r="S15" s="66">
        <f>VALUE(R15)</f>
        <v>0</v>
      </c>
      <c r="T15" s="58">
        <f>IF(T14=0,0,IF(T14&gt;=1,MID(D4,2,1),D4/1))</f>
        <v>0</v>
      </c>
      <c r="U15" s="66">
        <f>VALUE(T15)</f>
        <v>0</v>
      </c>
      <c r="V15" s="67">
        <f>IF(D4&lt;=9.99,ROUNDDOWN(D4/1,0),0)</f>
        <v>0</v>
      </c>
      <c r="W15" s="64">
        <f t="shared" si="0"/>
        <v>6</v>
      </c>
      <c r="X15" s="58" t="str">
        <f>IF(D4&lt;1,"CERO ",IF(W15=0,"",IF(Z15&lt;10,VLOOKUP(W15,$C$19:$D$27,2,FALSE),IF(Z15&lt;=30,"",VLOOKUP(W15,$C$19:$D$27,2,FALSE)))))</f>
        <v>seis</v>
      </c>
      <c r="Z15" s="60">
        <f>+W14*10+W15</f>
        <v>66</v>
      </c>
      <c r="AA15" s="68">
        <f>+W13*100+W14*10+W15*1</f>
        <v>66</v>
      </c>
    </row>
    <row r="16" spans="4:28" x14ac:dyDescent="0.2">
      <c r="X16" s="58" t="str">
        <f>TEXT(X15,"")</f>
        <v>seis</v>
      </c>
    </row>
    <row r="19" spans="3:4" x14ac:dyDescent="0.2">
      <c r="C19" s="58">
        <v>1</v>
      </c>
      <c r="D19" s="60" t="s">
        <v>76</v>
      </c>
    </row>
    <row r="20" spans="3:4" x14ac:dyDescent="0.2">
      <c r="C20" s="58">
        <f>+C19+1</f>
        <v>2</v>
      </c>
      <c r="D20" s="58" t="s">
        <v>77</v>
      </c>
    </row>
    <row r="21" spans="3:4" x14ac:dyDescent="0.2">
      <c r="C21" s="58">
        <f t="shared" ref="C21:C47" si="3">+C20+1</f>
        <v>3</v>
      </c>
      <c r="D21" s="58" t="s">
        <v>78</v>
      </c>
    </row>
    <row r="22" spans="3:4" x14ac:dyDescent="0.2">
      <c r="C22" s="58">
        <f t="shared" si="3"/>
        <v>4</v>
      </c>
      <c r="D22" s="58" t="s">
        <v>79</v>
      </c>
    </row>
    <row r="23" spans="3:4" x14ac:dyDescent="0.2">
      <c r="C23" s="58">
        <f t="shared" si="3"/>
        <v>5</v>
      </c>
      <c r="D23" s="58" t="s">
        <v>80</v>
      </c>
    </row>
    <row r="24" spans="3:4" x14ac:dyDescent="0.2">
      <c r="C24" s="58">
        <f t="shared" si="3"/>
        <v>6</v>
      </c>
      <c r="D24" s="58" t="s">
        <v>81</v>
      </c>
    </row>
    <row r="25" spans="3:4" x14ac:dyDescent="0.2">
      <c r="C25" s="58">
        <f t="shared" si="3"/>
        <v>7</v>
      </c>
      <c r="D25" s="58" t="s">
        <v>82</v>
      </c>
    </row>
    <row r="26" spans="3:4" x14ac:dyDescent="0.2">
      <c r="C26" s="58">
        <f t="shared" si="3"/>
        <v>8</v>
      </c>
      <c r="D26" s="58" t="s">
        <v>83</v>
      </c>
    </row>
    <row r="27" spans="3:4" x14ac:dyDescent="0.2">
      <c r="C27" s="58">
        <f t="shared" si="3"/>
        <v>9</v>
      </c>
      <c r="D27" s="58" t="s">
        <v>84</v>
      </c>
    </row>
    <row r="28" spans="3:4" x14ac:dyDescent="0.2">
      <c r="C28" s="58">
        <f t="shared" si="3"/>
        <v>10</v>
      </c>
      <c r="D28" s="58" t="s">
        <v>85</v>
      </c>
    </row>
    <row r="29" spans="3:4" x14ac:dyDescent="0.2">
      <c r="C29" s="58">
        <f t="shared" si="3"/>
        <v>11</v>
      </c>
      <c r="D29" s="58" t="s">
        <v>86</v>
      </c>
    </row>
    <row r="30" spans="3:4" x14ac:dyDescent="0.2">
      <c r="C30" s="58">
        <f t="shared" si="3"/>
        <v>12</v>
      </c>
      <c r="D30" s="58" t="s">
        <v>87</v>
      </c>
    </row>
    <row r="31" spans="3:4" x14ac:dyDescent="0.2">
      <c r="C31" s="58">
        <f t="shared" si="3"/>
        <v>13</v>
      </c>
      <c r="D31" s="58" t="s">
        <v>88</v>
      </c>
    </row>
    <row r="32" spans="3:4" x14ac:dyDescent="0.2">
      <c r="C32" s="58">
        <f t="shared" si="3"/>
        <v>14</v>
      </c>
      <c r="D32" s="58" t="s">
        <v>89</v>
      </c>
    </row>
    <row r="33" spans="3:4" x14ac:dyDescent="0.2">
      <c r="C33" s="58">
        <f t="shared" si="3"/>
        <v>15</v>
      </c>
      <c r="D33" s="58" t="s">
        <v>90</v>
      </c>
    </row>
    <row r="34" spans="3:4" x14ac:dyDescent="0.2">
      <c r="C34" s="58">
        <f t="shared" si="3"/>
        <v>16</v>
      </c>
      <c r="D34" s="58" t="s">
        <v>91</v>
      </c>
    </row>
    <row r="35" spans="3:4" x14ac:dyDescent="0.2">
      <c r="C35" s="58">
        <f t="shared" si="3"/>
        <v>17</v>
      </c>
      <c r="D35" s="58" t="s">
        <v>92</v>
      </c>
    </row>
    <row r="36" spans="3:4" x14ac:dyDescent="0.2">
      <c r="C36" s="58">
        <f t="shared" si="3"/>
        <v>18</v>
      </c>
      <c r="D36" s="58" t="s">
        <v>93</v>
      </c>
    </row>
    <row r="37" spans="3:4" x14ac:dyDescent="0.2">
      <c r="C37" s="58">
        <f t="shared" si="3"/>
        <v>19</v>
      </c>
      <c r="D37" s="58" t="s">
        <v>94</v>
      </c>
    </row>
    <row r="38" spans="3:4" x14ac:dyDescent="0.2">
      <c r="C38" s="58">
        <f t="shared" si="3"/>
        <v>20</v>
      </c>
      <c r="D38" s="58" t="s">
        <v>95</v>
      </c>
    </row>
    <row r="39" spans="3:4" x14ac:dyDescent="0.2">
      <c r="C39" s="58">
        <f t="shared" si="3"/>
        <v>21</v>
      </c>
      <c r="D39" s="58" t="s">
        <v>96</v>
      </c>
    </row>
    <row r="40" spans="3:4" x14ac:dyDescent="0.2">
      <c r="C40" s="58">
        <f t="shared" si="3"/>
        <v>22</v>
      </c>
      <c r="D40" s="58" t="s">
        <v>97</v>
      </c>
    </row>
    <row r="41" spans="3:4" x14ac:dyDescent="0.2">
      <c r="C41" s="58">
        <f t="shared" si="3"/>
        <v>23</v>
      </c>
      <c r="D41" s="58" t="s">
        <v>98</v>
      </c>
    </row>
    <row r="42" spans="3:4" x14ac:dyDescent="0.2">
      <c r="C42" s="58">
        <f t="shared" si="3"/>
        <v>24</v>
      </c>
      <c r="D42" s="58" t="s">
        <v>99</v>
      </c>
    </row>
    <row r="43" spans="3:4" x14ac:dyDescent="0.2">
      <c r="C43" s="58">
        <f t="shared" si="3"/>
        <v>25</v>
      </c>
      <c r="D43" s="58" t="s">
        <v>100</v>
      </c>
    </row>
    <row r="44" spans="3:4" x14ac:dyDescent="0.2">
      <c r="C44" s="58">
        <f t="shared" si="3"/>
        <v>26</v>
      </c>
      <c r="D44" s="58" t="s">
        <v>101</v>
      </c>
    </row>
    <row r="45" spans="3:4" x14ac:dyDescent="0.2">
      <c r="C45" s="58">
        <f t="shared" si="3"/>
        <v>27</v>
      </c>
      <c r="D45" s="58" t="s">
        <v>102</v>
      </c>
    </row>
    <row r="46" spans="3:4" x14ac:dyDescent="0.2">
      <c r="C46" s="58">
        <f t="shared" si="3"/>
        <v>28</v>
      </c>
      <c r="D46" s="58" t="s">
        <v>103</v>
      </c>
    </row>
    <row r="47" spans="3:4" x14ac:dyDescent="0.2">
      <c r="C47" s="58">
        <f t="shared" si="3"/>
        <v>29</v>
      </c>
      <c r="D47" s="58" t="s">
        <v>104</v>
      </c>
    </row>
    <row r="49" spans="2:4" x14ac:dyDescent="0.2">
      <c r="B49" s="58">
        <v>3</v>
      </c>
      <c r="C49" s="58">
        <v>30</v>
      </c>
      <c r="D49" s="58" t="s">
        <v>105</v>
      </c>
    </row>
    <row r="50" spans="2:4" x14ac:dyDescent="0.2">
      <c r="B50" s="58">
        <v>4</v>
      </c>
      <c r="C50" s="58">
        <v>40</v>
      </c>
      <c r="D50" s="58" t="s">
        <v>106</v>
      </c>
    </row>
    <row r="51" spans="2:4" x14ac:dyDescent="0.2">
      <c r="B51" s="58">
        <v>5</v>
      </c>
      <c r="C51" s="58">
        <v>50</v>
      </c>
      <c r="D51" s="58" t="s">
        <v>107</v>
      </c>
    </row>
    <row r="52" spans="2:4" x14ac:dyDescent="0.2">
      <c r="B52" s="58">
        <v>6</v>
      </c>
      <c r="C52" s="58">
        <v>60</v>
      </c>
      <c r="D52" s="58" t="s">
        <v>108</v>
      </c>
    </row>
    <row r="53" spans="2:4" x14ac:dyDescent="0.2">
      <c r="B53" s="58">
        <v>7</v>
      </c>
      <c r="C53" s="58">
        <v>70</v>
      </c>
      <c r="D53" s="58" t="s">
        <v>109</v>
      </c>
    </row>
    <row r="54" spans="2:4" x14ac:dyDescent="0.2">
      <c r="B54" s="58">
        <v>8</v>
      </c>
      <c r="C54" s="58">
        <v>80</v>
      </c>
      <c r="D54" s="58" t="s">
        <v>110</v>
      </c>
    </row>
    <row r="55" spans="2:4" x14ac:dyDescent="0.2">
      <c r="B55" s="58">
        <v>9</v>
      </c>
      <c r="C55" s="58">
        <v>90</v>
      </c>
      <c r="D55" s="58" t="s">
        <v>111</v>
      </c>
    </row>
    <row r="57" spans="2:4" x14ac:dyDescent="0.2">
      <c r="B57" s="58">
        <v>1</v>
      </c>
      <c r="C57" s="58">
        <v>100</v>
      </c>
      <c r="D57" s="58" t="s">
        <v>112</v>
      </c>
    </row>
    <row r="58" spans="2:4" x14ac:dyDescent="0.2">
      <c r="B58" s="58">
        <v>2</v>
      </c>
      <c r="C58" s="58">
        <v>200</v>
      </c>
      <c r="D58" s="58" t="s">
        <v>113</v>
      </c>
    </row>
    <row r="59" spans="2:4" x14ac:dyDescent="0.2">
      <c r="B59" s="58">
        <v>3</v>
      </c>
      <c r="C59" s="58">
        <v>300</v>
      </c>
      <c r="D59" s="58" t="s">
        <v>114</v>
      </c>
    </row>
    <row r="60" spans="2:4" x14ac:dyDescent="0.2">
      <c r="B60" s="58">
        <v>4</v>
      </c>
      <c r="C60" s="58">
        <v>400</v>
      </c>
      <c r="D60" s="58" t="s">
        <v>115</v>
      </c>
    </row>
    <row r="61" spans="2:4" x14ac:dyDescent="0.2">
      <c r="B61" s="58">
        <v>5</v>
      </c>
      <c r="C61" s="58">
        <v>500</v>
      </c>
      <c r="D61" s="58" t="s">
        <v>116</v>
      </c>
    </row>
    <row r="62" spans="2:4" x14ac:dyDescent="0.2">
      <c r="B62" s="58">
        <v>6</v>
      </c>
      <c r="C62" s="58">
        <v>600</v>
      </c>
      <c r="D62" s="58" t="s">
        <v>117</v>
      </c>
    </row>
    <row r="63" spans="2:4" x14ac:dyDescent="0.2">
      <c r="B63" s="58">
        <v>7</v>
      </c>
      <c r="C63" s="58">
        <v>700</v>
      </c>
      <c r="D63" s="58" t="s">
        <v>118</v>
      </c>
    </row>
    <row r="64" spans="2:4" x14ac:dyDescent="0.2">
      <c r="B64" s="58">
        <v>8</v>
      </c>
      <c r="C64" s="58">
        <v>800</v>
      </c>
      <c r="D64" s="58" t="s">
        <v>119</v>
      </c>
    </row>
    <row r="65" spans="2:4" x14ac:dyDescent="0.2">
      <c r="B65" s="58">
        <v>9</v>
      </c>
      <c r="C65" s="58">
        <v>900</v>
      </c>
      <c r="D65" s="58" t="s">
        <v>120</v>
      </c>
    </row>
    <row r="66" spans="2:4" x14ac:dyDescent="0.2">
      <c r="C66" s="58">
        <v>1000</v>
      </c>
      <c r="D66" s="58" t="s">
        <v>121</v>
      </c>
    </row>
  </sheetData>
  <mergeCells count="1">
    <mergeCell ref="E4:W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PRESENTACION</vt:lpstr>
      <vt:lpstr>DATOS</vt:lpstr>
      <vt:lpstr>TABLAS</vt:lpstr>
      <vt:lpstr>CÁLCULO</vt:lpstr>
      <vt:lpstr>HOJA DE LIQUIDACIÓN</vt:lpstr>
      <vt:lpstr>Hoja2</vt:lpstr>
      <vt:lpstr>CÁLCULO!Área_de_impresión</vt:lpstr>
      <vt:lpstr>'HOJA DE LIQUIDACIÓN'!Área_de_impresión</vt:lpstr>
      <vt:lpstr>TAB</vt:lpstr>
    </vt:vector>
  </TitlesOfParts>
  <Company>Vision 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J. C.</dc:creator>
  <cp:lastModifiedBy>user</cp:lastModifiedBy>
  <cp:lastPrinted>2017-05-09T23:36:20Z</cp:lastPrinted>
  <dcterms:created xsi:type="dcterms:W3CDTF">2004-09-09T15:23:32Z</dcterms:created>
  <dcterms:modified xsi:type="dcterms:W3CDTF">2019-05-10T00:11:03Z</dcterms:modified>
</cp:coreProperties>
</file>