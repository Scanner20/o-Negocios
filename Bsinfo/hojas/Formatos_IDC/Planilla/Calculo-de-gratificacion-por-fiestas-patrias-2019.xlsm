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bookViews>
    <workbookView xWindow="0" yWindow="0" windowWidth="20490" windowHeight="7650" tabRatio="806"/>
  </bookViews>
  <sheets>
    <sheet name="PRESENTACION" sheetId="8" r:id="rId1"/>
    <sheet name="GRATIFICACION JULIO - REM FIJA" sheetId="3" r:id="rId2"/>
    <sheet name="GRATIFICACION JULIO - REM VARIA" sheetId="5" r:id="rId3"/>
  </sheets>
  <externalReferences>
    <externalReference r:id="rId4"/>
  </externalReferences>
  <definedNames>
    <definedName name="Añitos">#REF!</definedName>
    <definedName name="AÑOS">#REF!</definedName>
    <definedName name="LISTA_DE_RUCS">OFFSET(#REF!,0,0,COUNTA(#REF!)-1,1)</definedName>
    <definedName name="MESES">#REF!</definedName>
    <definedName name="mesesitos">#REF!</definedName>
    <definedName name="PRODUCTOS">[1]Data!$A$2:$A$4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0" i="5" l="1"/>
  <c r="H61" i="5"/>
  <c r="G55" i="5"/>
  <c r="D55" i="5"/>
  <c r="D51" i="5"/>
  <c r="R35" i="5"/>
  <c r="I32" i="5" s="1"/>
  <c r="Q35" i="5"/>
  <c r="I31" i="5" s="1"/>
  <c r="P35" i="5"/>
  <c r="I30" i="5" s="1"/>
  <c r="O35" i="5"/>
  <c r="I29" i="5"/>
  <c r="D19" i="5"/>
  <c r="N34" i="5" s="1"/>
  <c r="D18" i="5"/>
  <c r="N33" i="5" s="1"/>
  <c r="D17" i="5"/>
  <c r="I11" i="5"/>
  <c r="D16" i="5"/>
  <c r="D15" i="5"/>
  <c r="G11" i="5"/>
  <c r="D14" i="5"/>
  <c r="N29" i="5" s="1"/>
  <c r="C2" i="5"/>
  <c r="E17" i="5" l="1"/>
  <c r="G17" i="5" s="1"/>
  <c r="E15" i="5"/>
  <c r="G15" i="5" s="1"/>
  <c r="E16" i="5"/>
  <c r="G16" i="5" s="1"/>
  <c r="N31" i="5"/>
  <c r="N32" i="5"/>
  <c r="E19" i="5"/>
  <c r="G19" i="5" s="1"/>
  <c r="I35" i="5"/>
  <c r="N30" i="5"/>
  <c r="E14" i="5"/>
  <c r="G14" i="5" s="1"/>
  <c r="E18" i="5"/>
  <c r="G18" i="5" s="1"/>
  <c r="E20" i="5" l="1"/>
  <c r="G21" i="5"/>
  <c r="H46" i="5" s="1"/>
  <c r="H14" i="5" l="1"/>
  <c r="H15" i="5"/>
  <c r="H18" i="5" l="1"/>
  <c r="F29" i="5" s="1"/>
  <c r="F35" i="5" s="1"/>
  <c r="F37" i="5" s="1"/>
  <c r="D46" i="5" s="1"/>
  <c r="H19" i="5"/>
  <c r="G51" i="5" l="1"/>
  <c r="J51" i="5" s="1"/>
  <c r="G56" i="5" s="1"/>
  <c r="J46" i="5"/>
  <c r="D56" i="5" s="1"/>
  <c r="J56" i="5" l="1"/>
  <c r="F61" i="5" s="1"/>
  <c r="J61" i="5" s="1"/>
  <c r="G64" i="5" s="1"/>
  <c r="H59" i="3"/>
  <c r="O33" i="3"/>
  <c r="I27" i="3" s="1"/>
  <c r="P33" i="3"/>
  <c r="I28" i="3" s="1"/>
  <c r="G53" i="3"/>
  <c r="D53" i="3"/>
  <c r="D49" i="3"/>
  <c r="F33" i="3"/>
  <c r="Q33" i="3"/>
  <c r="I29" i="3" s="1"/>
  <c r="R33" i="3"/>
  <c r="I30" i="3" s="1"/>
  <c r="I33" i="3" l="1"/>
  <c r="F35" i="3" s="1"/>
  <c r="D44" i="3" s="1"/>
  <c r="G49" i="3" s="1"/>
  <c r="J49" i="3" s="1"/>
  <c r="G54" i="3" s="1"/>
  <c r="D15" i="3" l="1"/>
  <c r="N28" i="3" s="1"/>
  <c r="D16" i="3"/>
  <c r="N29" i="3" s="1"/>
  <c r="D17" i="3"/>
  <c r="N30" i="3" s="1"/>
  <c r="D18" i="3"/>
  <c r="N31" i="3" s="1"/>
  <c r="D19" i="3"/>
  <c r="N32" i="3" s="1"/>
  <c r="C2" i="3" l="1"/>
  <c r="D14" i="3" l="1"/>
  <c r="N27" i="3" s="1"/>
  <c r="I11" i="3"/>
  <c r="G11" i="3"/>
  <c r="E19" i="3" l="1"/>
  <c r="F19" i="3" s="1"/>
  <c r="E15" i="3"/>
  <c r="F15" i="3" s="1"/>
  <c r="E17" i="3"/>
  <c r="F17" i="3" s="1"/>
  <c r="E18" i="3"/>
  <c r="F18" i="3" s="1"/>
  <c r="E14" i="3"/>
  <c r="F14" i="3" s="1"/>
  <c r="E16" i="3"/>
  <c r="F16" i="3" s="1"/>
  <c r="H15" i="3" l="1"/>
  <c r="H44" i="3" s="1"/>
  <c r="J44" i="3" s="1"/>
  <c r="D54" i="3" s="1"/>
  <c r="J54" i="3" s="1"/>
  <c r="F59" i="3" l="1"/>
  <c r="J59" i="3" s="1"/>
  <c r="G62" i="3" s="1"/>
</calcChain>
</file>

<file path=xl/comments1.xml><?xml version="1.0" encoding="utf-8"?>
<comments xmlns="http://schemas.openxmlformats.org/spreadsheetml/2006/main">
  <authors>
    <author>www.excelnegocios.com</author>
  </authors>
  <commentList>
    <comment ref="I6" authorId="0" shapeId="0">
      <text>
        <r>
          <rPr>
            <sz val="9"/>
            <color indexed="81"/>
            <rFont val="Tahoma"/>
            <family val="2"/>
          </rPr>
          <t>Utilizar este campo solo si dejó de trabajar entre ENE-JUN.</t>
        </r>
      </text>
    </comment>
  </commentList>
</comments>
</file>

<file path=xl/comments2.xml><?xml version="1.0" encoding="utf-8"?>
<comments xmlns="http://schemas.openxmlformats.org/spreadsheetml/2006/main">
  <authors>
    <author>www.excelnegocios.com</author>
  </authors>
  <commentList>
    <comment ref="I6" authorId="0" shapeId="0">
      <text>
        <r>
          <rPr>
            <sz val="9"/>
            <color indexed="81"/>
            <rFont val="Tahoma"/>
            <family val="2"/>
          </rPr>
          <t>Utilizar este campo solo si dejó de trabajar entre ENE-JUN.</t>
        </r>
      </text>
    </comment>
  </commentList>
</comments>
</file>

<file path=xl/sharedStrings.xml><?xml version="1.0" encoding="utf-8"?>
<sst xmlns="http://schemas.openxmlformats.org/spreadsheetml/2006/main" count="138" uniqueCount="64">
  <si>
    <t>Fecha de cese</t>
  </si>
  <si>
    <t>Mes</t>
  </si>
  <si>
    <t>Fecha de ingreso</t>
  </si>
  <si>
    <t>DATOS</t>
  </si>
  <si>
    <t>A.</t>
  </si>
  <si>
    <t>Régimen de salud</t>
  </si>
  <si>
    <t>ESSALUD</t>
  </si>
  <si>
    <t>Faltas injustificadas</t>
  </si>
  <si>
    <t>B.</t>
  </si>
  <si>
    <t>PERIODO COMPUTABLE</t>
  </si>
  <si>
    <t>* Solo se toma en cuenta los meses completos</t>
  </si>
  <si>
    <t>Días Trabajados</t>
  </si>
  <si>
    <t>Hasta</t>
  </si>
  <si>
    <t>Fijos</t>
  </si>
  <si>
    <t>Remuneración Básica</t>
  </si>
  <si>
    <t>Asignación Familiar</t>
  </si>
  <si>
    <t>Alimentación Principal</t>
  </si>
  <si>
    <t>Otros conceptos A</t>
  </si>
  <si>
    <t>Otros conceptos B</t>
  </si>
  <si>
    <t>Total Conceptos Fijos</t>
  </si>
  <si>
    <t>Total Conceptos computables</t>
  </si>
  <si>
    <t>CONCEPTOS COMPUTABLES</t>
  </si>
  <si>
    <t>Horas Extras</t>
  </si>
  <si>
    <t>Comisiones</t>
  </si>
  <si>
    <t>Bonos</t>
  </si>
  <si>
    <t>Otros</t>
  </si>
  <si>
    <t xml:space="preserve">Total Conceptos Variables </t>
  </si>
  <si>
    <t>Conceptos Remunerativos complementarios variables</t>
  </si>
  <si>
    <t>Periodo</t>
  </si>
  <si>
    <t>otros</t>
  </si>
  <si>
    <t>Conceptos remunerativos variables o imprecisos</t>
  </si>
  <si>
    <t>* Deben haberse percibido al menos en 3 oportunidades,
    en tal caso se promediará entre los 6 meses de cómputo.</t>
  </si>
  <si>
    <t>C.</t>
  </si>
  <si>
    <t>D.</t>
  </si>
  <si>
    <t>CALCULO</t>
  </si>
  <si>
    <t>Remuneración Computable</t>
  </si>
  <si>
    <t>Periodo Computable</t>
  </si>
  <si>
    <t>Periodo Laborable</t>
  </si>
  <si>
    <t>Gratificación Completa</t>
  </si>
  <si>
    <t>x</t>
  </si>
  <si>
    <t>=</t>
  </si>
  <si>
    <t>/</t>
  </si>
  <si>
    <t>Descuento por inasistencias no justificadas</t>
  </si>
  <si>
    <t>Días inasistencias</t>
  </si>
  <si>
    <t>Factor x día</t>
  </si>
  <si>
    <t>Monto a descontar</t>
  </si>
  <si>
    <t>Gratificación Neta</t>
  </si>
  <si>
    <t>Gratificación después de descuentos</t>
  </si>
  <si>
    <t>Gratificación sin descuentos</t>
  </si>
  <si>
    <t>Cálculo de la bonificación extraordinaria</t>
  </si>
  <si>
    <t>Gratificación por Fiestas Patrias</t>
  </si>
  <si>
    <t>-</t>
  </si>
  <si>
    <t>MONTO A PERCIBIR</t>
  </si>
  <si>
    <t>Desde</t>
  </si>
  <si>
    <t>www.excelnegocios.com</t>
  </si>
  <si>
    <t>Archivo descargado de:</t>
  </si>
  <si>
    <t>CASO 1.- REMUNERACIÓN PRINCIPAL FIJA</t>
  </si>
  <si>
    <t>CASO 2.- REMUNERACIÓN PRINCIPAL VARIABLE O IMPRECISA</t>
  </si>
  <si>
    <t>Remuneración Variable</t>
  </si>
  <si>
    <t>Totales</t>
  </si>
  <si>
    <t>* Solo se toma en cuenta meses completos
de 30 días</t>
  </si>
  <si>
    <t>Cálculo del promedio diario</t>
  </si>
  <si>
    <t>EPS</t>
  </si>
  <si>
    <t>Contacto: Gustavo@excelnegocios.com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</si>
</sst>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 * #,##0.00_ ;_ * \-#,##0.00_ ;_ * &quot;-&quot;??_ ;_ @_ "/>
    <numFmt numFmtId="164" formatCode="&quot;S/.&quot;#,##0.00;&quot;S/.&quot;\-#,##0.00"/>
    <numFmt numFmtId="165" formatCode="mmmm"/>
    <numFmt numFmtId="166" formatCode="_ * #,##0_ ;_ * \-#,##0_ ;_ * &quot;-&quot;??_ ;_ @_ "/>
    <numFmt numFmtId="167" formatCode="&quot;S/.&quot;#,##0.0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u/>
      <sz val="14"/>
      <color rgb="FFFF0000"/>
      <name val="Calibri"/>
      <family val="2"/>
      <scheme val="minor"/>
    </font>
    <font>
      <b/>
      <sz val="11"/>
      <color rgb="FF0033CC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13067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9"/>
      <color indexed="81"/>
      <name val="Tahoma"/>
      <family val="2"/>
    </font>
    <font>
      <u/>
      <sz val="10"/>
      <color indexed="12"/>
      <name val="Arial"/>
      <family val="2"/>
    </font>
    <font>
      <b/>
      <u/>
      <sz val="20"/>
      <color rgb="FF0070C0"/>
      <name val="Calibri"/>
      <family val="2"/>
    </font>
    <font>
      <b/>
      <sz val="10"/>
      <color rgb="FF002060"/>
      <name val="Arial"/>
      <family val="2"/>
    </font>
    <font>
      <b/>
      <u/>
      <sz val="12"/>
      <color rgb="FF1108C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70C0"/>
      </top>
      <bottom/>
      <diagonal/>
    </border>
    <border>
      <left/>
      <right style="medium">
        <color rgb="FF0070C0"/>
      </right>
      <top style="medium">
        <color rgb="FF0070C0"/>
      </top>
      <bottom/>
      <diagonal/>
    </border>
    <border>
      <left/>
      <right style="medium">
        <color rgb="FF0070C0"/>
      </right>
      <top/>
      <bottom/>
      <diagonal/>
    </border>
    <border>
      <left/>
      <right/>
      <top/>
      <bottom style="medium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 style="medium">
        <color rgb="FF0070C0"/>
      </left>
      <right/>
      <top/>
      <bottom style="medium">
        <color rgb="FF0070C0"/>
      </bottom>
      <diagonal/>
    </border>
    <border>
      <left style="medium">
        <color rgb="FF0070C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/>
      <top/>
      <bottom style="thin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rgb="FF0070C0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</borders>
  <cellStyleXfs count="7">
    <xf numFmtId="0" fontId="0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0" fontId="15" fillId="0" borderId="0"/>
    <xf numFmtId="0" fontId="27" fillId="0" borderId="0" applyNumberFormat="0" applyFill="0" applyBorder="0" applyAlignment="0" applyProtection="0">
      <alignment vertical="top"/>
      <protection locked="0"/>
    </xf>
  </cellStyleXfs>
  <cellXfs count="142">
    <xf numFmtId="0" fontId="0" fillId="0" borderId="0" xfId="0"/>
    <xf numFmtId="0" fontId="0" fillId="0" borderId="0" xfId="0" applyFill="1"/>
    <xf numFmtId="0" fontId="0" fillId="0" borderId="0" xfId="0" applyNumberFormat="1"/>
    <xf numFmtId="14" fontId="2" fillId="0" borderId="3" xfId="0" applyNumberFormat="1" applyFont="1" applyFill="1" applyBorder="1" applyAlignment="1">
      <alignment horizontal="center"/>
    </xf>
    <xf numFmtId="0" fontId="0" fillId="0" borderId="0" xfId="0" applyBorder="1"/>
    <xf numFmtId="0" fontId="4" fillId="0" borderId="0" xfId="0" applyFont="1" applyFill="1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6" fillId="0" borderId="0" xfId="0" applyFon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7" fillId="3" borderId="0" xfId="0" applyFont="1" applyFill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9" fillId="2" borderId="1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4" fontId="5" fillId="0" borderId="4" xfId="0" applyNumberFormat="1" applyFont="1" applyFill="1" applyBorder="1" applyAlignment="1">
      <alignment horizontal="center" vertical="center"/>
    </xf>
    <xf numFmtId="0" fontId="10" fillId="0" borderId="4" xfId="0" applyFont="1" applyBorder="1"/>
    <xf numFmtId="0" fontId="0" fillId="0" borderId="0" xfId="0" applyBorder="1" applyAlignment="1">
      <alignment horizontal="center"/>
    </xf>
    <xf numFmtId="0" fontId="11" fillId="0" borderId="0" xfId="0" applyFont="1" applyBorder="1" applyAlignment="1">
      <alignment horizontal="center" vertical="center"/>
    </xf>
    <xf numFmtId="43" fontId="0" fillId="5" borderId="1" xfId="1" applyFont="1" applyFill="1" applyBorder="1"/>
    <xf numFmtId="14" fontId="0" fillId="5" borderId="1" xfId="1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14" fontId="8" fillId="5" borderId="1" xfId="0" applyNumberFormat="1" applyFont="1" applyFill="1" applyBorder="1" applyAlignment="1">
      <alignment horizontal="center" vertical="center"/>
    </xf>
    <xf numFmtId="43" fontId="0" fillId="6" borderId="1" xfId="1" applyFont="1" applyFill="1" applyBorder="1"/>
    <xf numFmtId="43" fontId="0" fillId="5" borderId="1" xfId="1" applyFont="1" applyFill="1" applyBorder="1" applyAlignment="1">
      <alignment horizontal="center"/>
    </xf>
    <xf numFmtId="43" fontId="0" fillId="0" borderId="0" xfId="1" applyFont="1" applyBorder="1"/>
    <xf numFmtId="0" fontId="19" fillId="0" borderId="0" xfId="0" applyFont="1" applyBorder="1"/>
    <xf numFmtId="43" fontId="19" fillId="0" borderId="0" xfId="1" applyFont="1" applyBorder="1"/>
    <xf numFmtId="43" fontId="6" fillId="0" borderId="0" xfId="1" applyFont="1" applyFill="1" applyBorder="1"/>
    <xf numFmtId="14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4" fontId="0" fillId="6" borderId="1" xfId="0" applyNumberFormat="1" applyFill="1" applyBorder="1" applyAlignment="1">
      <alignment horizontal="center"/>
    </xf>
    <xf numFmtId="0" fontId="18" fillId="0" borderId="0" xfId="0" applyFont="1" applyBorder="1" applyAlignment="1">
      <alignment horizontal="center" vertical="center" wrapText="1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3" xfId="0" applyBorder="1"/>
    <xf numFmtId="0" fontId="19" fillId="0" borderId="0" xfId="0" applyFont="1" applyBorder="1" applyAlignment="1">
      <alignment horizontal="left" indent="2"/>
    </xf>
    <xf numFmtId="14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 vertical="center"/>
    </xf>
    <xf numFmtId="165" fontId="20" fillId="0" borderId="1" xfId="0" applyNumberFormat="1" applyFont="1" applyBorder="1" applyAlignment="1">
      <alignment horizontal="center"/>
    </xf>
    <xf numFmtId="0" fontId="6" fillId="0" borderId="0" xfId="0" applyFont="1" applyBorder="1" applyAlignment="1">
      <alignment horizontal="center" vertical="center" wrapText="1"/>
    </xf>
    <xf numFmtId="43" fontId="8" fillId="6" borderId="1" xfId="0" applyNumberFormat="1" applyFont="1" applyFill="1" applyBorder="1" applyAlignment="1">
      <alignment horizontal="center" vertical="center"/>
    </xf>
    <xf numFmtId="166" fontId="8" fillId="6" borderId="1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>
      <alignment horizontal="center" vertical="center"/>
    </xf>
    <xf numFmtId="0" fontId="8" fillId="6" borderId="1" xfId="0" applyNumberFormat="1" applyFont="1" applyFill="1" applyBorder="1" applyAlignment="1">
      <alignment horizontal="center" vertical="center"/>
    </xf>
    <xf numFmtId="0" fontId="14" fillId="0" borderId="0" xfId="0" applyFont="1" applyBorder="1" applyAlignment="1">
      <alignment horizontal="right" vertical="center"/>
    </xf>
    <xf numFmtId="10" fontId="14" fillId="6" borderId="1" xfId="2" applyNumberFormat="1" applyFont="1" applyFill="1" applyBorder="1" applyAlignment="1">
      <alignment horizontal="center"/>
    </xf>
    <xf numFmtId="0" fontId="10" fillId="0" borderId="4" xfId="0" applyFont="1" applyBorder="1" applyAlignment="1">
      <alignment vertical="top"/>
    </xf>
    <xf numFmtId="0" fontId="4" fillId="4" borderId="28" xfId="0" applyFont="1" applyFill="1" applyBorder="1" applyAlignment="1">
      <alignment horizontal="center" vertical="center"/>
    </xf>
    <xf numFmtId="0" fontId="9" fillId="8" borderId="29" xfId="0" applyFont="1" applyFill="1" applyBorder="1" applyAlignment="1">
      <alignment horizontal="center" vertical="center" wrapText="1"/>
    </xf>
    <xf numFmtId="43" fontId="1" fillId="6" borderId="29" xfId="0" applyNumberFormat="1" applyFont="1" applyFill="1" applyBorder="1"/>
    <xf numFmtId="43" fontId="16" fillId="6" borderId="29" xfId="0" applyNumberFormat="1" applyFont="1" applyFill="1" applyBorder="1"/>
    <xf numFmtId="43" fontId="1" fillId="6" borderId="1" xfId="0" applyNumberFormat="1" applyFont="1" applyFill="1" applyBorder="1"/>
    <xf numFmtId="0" fontId="22" fillId="0" borderId="4" xfId="0" applyFont="1" applyFill="1" applyBorder="1" applyAlignment="1">
      <alignment vertical="center"/>
    </xf>
    <xf numFmtId="0" fontId="22" fillId="0" borderId="0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0" fontId="6" fillId="0" borderId="0" xfId="0" applyFont="1" applyBorder="1" applyAlignment="1">
      <alignment horizontal="left" vertical="center" indent="1"/>
    </xf>
    <xf numFmtId="0" fontId="5" fillId="2" borderId="1" xfId="0" applyFont="1" applyFill="1" applyBorder="1" applyAlignment="1">
      <alignment horizontal="center" vertical="center"/>
    </xf>
    <xf numFmtId="0" fontId="23" fillId="0" borderId="0" xfId="3" applyFill="1"/>
    <xf numFmtId="0" fontId="10" fillId="0" borderId="0" xfId="0" applyFont="1" applyAlignment="1">
      <alignment vertical="center"/>
    </xf>
    <xf numFmtId="0" fontId="24" fillId="0" borderId="0" xfId="3" applyFont="1" applyAlignment="1">
      <alignment vertical="center"/>
    </xf>
    <xf numFmtId="165" fontId="20" fillId="0" borderId="0" xfId="0" applyNumberFormat="1" applyFont="1" applyBorder="1" applyAlignment="1">
      <alignment horizontal="center"/>
    </xf>
    <xf numFmtId="0" fontId="12" fillId="6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vertical="top"/>
    </xf>
    <xf numFmtId="43" fontId="0" fillId="5" borderId="1" xfId="1" applyFont="1" applyFill="1" applyBorder="1" applyAlignment="1">
      <alignment horizontal="center" vertical="center"/>
    </xf>
    <xf numFmtId="0" fontId="19" fillId="0" borderId="0" xfId="0" applyFont="1"/>
    <xf numFmtId="0" fontId="9" fillId="3" borderId="1" xfId="0" applyFont="1" applyFill="1" applyBorder="1" applyAlignment="1">
      <alignment horizontal="center" vertical="center" wrapText="1"/>
    </xf>
    <xf numFmtId="43" fontId="9" fillId="3" borderId="1" xfId="1" applyFont="1" applyFill="1" applyBorder="1" applyAlignment="1">
      <alignment horizontal="center" vertical="center"/>
    </xf>
    <xf numFmtId="43" fontId="0" fillId="5" borderId="24" xfId="1" applyFont="1" applyFill="1" applyBorder="1"/>
    <xf numFmtId="43" fontId="0" fillId="5" borderId="30" xfId="1" applyFont="1" applyFill="1" applyBorder="1"/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left" indent="2"/>
    </xf>
    <xf numFmtId="0" fontId="15" fillId="0" borderId="0" xfId="5"/>
    <xf numFmtId="0" fontId="15" fillId="0" borderId="32" xfId="5" applyBorder="1"/>
    <xf numFmtId="0" fontId="15" fillId="0" borderId="33" xfId="5" applyBorder="1"/>
    <xf numFmtId="0" fontId="15" fillId="0" borderId="34" xfId="5" applyBorder="1"/>
    <xf numFmtId="0" fontId="15" fillId="0" borderId="35" xfId="5" applyBorder="1"/>
    <xf numFmtId="0" fontId="15" fillId="0" borderId="0" xfId="5" applyBorder="1"/>
    <xf numFmtId="0" fontId="15" fillId="0" borderId="36" xfId="5" applyBorder="1"/>
    <xf numFmtId="0" fontId="15" fillId="0" borderId="38" xfId="5" applyBorder="1"/>
    <xf numFmtId="0" fontId="15" fillId="0" borderId="39" xfId="5" applyBorder="1"/>
    <xf numFmtId="0" fontId="15" fillId="0" borderId="40" xfId="5" applyBorder="1"/>
    <xf numFmtId="0" fontId="28" fillId="0" borderId="0" xfId="6" applyFont="1" applyFill="1" applyBorder="1" applyAlignment="1" applyProtection="1">
      <alignment horizontal="center" vertical="top"/>
    </xf>
    <xf numFmtId="0" fontId="29" fillId="0" borderId="37" xfId="5" applyFont="1" applyFill="1" applyBorder="1" applyAlignment="1">
      <alignment horizontal="left" vertical="center" indent="3"/>
    </xf>
    <xf numFmtId="0" fontId="29" fillId="0" borderId="0" xfId="5" applyFont="1" applyFill="1" applyBorder="1" applyAlignment="1">
      <alignment horizontal="left" vertical="center" indent="3"/>
    </xf>
    <xf numFmtId="0" fontId="30" fillId="0" borderId="0" xfId="6" applyFont="1" applyFill="1" applyBorder="1" applyAlignment="1" applyProtection="1">
      <alignment horizontal="center" vertical="center"/>
    </xf>
    <xf numFmtId="0" fontId="30" fillId="0" borderId="36" xfId="6" applyFont="1" applyFill="1" applyBorder="1" applyAlignment="1" applyProtection="1">
      <alignment horizontal="center" vertical="center"/>
    </xf>
    <xf numFmtId="14" fontId="5" fillId="2" borderId="12" xfId="0" applyNumberFormat="1" applyFont="1" applyFill="1" applyBorder="1" applyAlignment="1">
      <alignment horizontal="center" vertical="center"/>
    </xf>
    <xf numFmtId="14" fontId="5" fillId="2" borderId="0" xfId="0" applyNumberFormat="1" applyFont="1" applyFill="1" applyBorder="1" applyAlignment="1">
      <alignment horizontal="center" vertical="center"/>
    </xf>
    <xf numFmtId="14" fontId="5" fillId="2" borderId="13" xfId="0" applyNumberFormat="1" applyFont="1" applyFill="1" applyBorder="1" applyAlignment="1">
      <alignment horizontal="center" vertical="center"/>
    </xf>
    <xf numFmtId="0" fontId="4" fillId="9" borderId="14" xfId="0" applyFont="1" applyFill="1" applyBorder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4" fillId="9" borderId="15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top"/>
    </xf>
    <xf numFmtId="0" fontId="12" fillId="6" borderId="11" xfId="0" applyFont="1" applyFill="1" applyBorder="1" applyAlignment="1">
      <alignment horizontal="center" vertical="center"/>
    </xf>
    <xf numFmtId="0" fontId="12" fillId="6" borderId="24" xfId="0" applyFont="1" applyFill="1" applyBorder="1" applyAlignment="1">
      <alignment horizontal="center" vertical="center"/>
    </xf>
    <xf numFmtId="0" fontId="25" fillId="11" borderId="3" xfId="3" applyFont="1" applyFill="1" applyBorder="1" applyAlignment="1">
      <alignment horizontal="center" vertical="center"/>
    </xf>
    <xf numFmtId="0" fontId="25" fillId="11" borderId="7" xfId="3" applyFont="1" applyFill="1" applyBorder="1" applyAlignment="1">
      <alignment horizontal="center" vertical="center"/>
    </xf>
    <xf numFmtId="0" fontId="10" fillId="0" borderId="0" xfId="0" applyFont="1" applyBorder="1" applyAlignment="1">
      <alignment horizontal="left" wrapText="1"/>
    </xf>
    <xf numFmtId="0" fontId="5" fillId="8" borderId="0" xfId="0" applyFont="1" applyFill="1" applyBorder="1" applyAlignment="1">
      <alignment horizontal="left" vertical="center" indent="1"/>
    </xf>
    <xf numFmtId="0" fontId="5" fillId="2" borderId="25" xfId="0" applyFont="1" applyFill="1" applyBorder="1" applyAlignment="1">
      <alignment horizontal="center" vertical="center"/>
    </xf>
    <xf numFmtId="0" fontId="5" fillId="2" borderId="26" xfId="0" applyFont="1" applyFill="1" applyBorder="1" applyAlignment="1">
      <alignment horizontal="center" vertical="center"/>
    </xf>
    <xf numFmtId="0" fontId="5" fillId="2" borderId="27" xfId="0" applyFont="1" applyFill="1" applyBorder="1" applyAlignment="1">
      <alignment horizontal="center" vertical="center"/>
    </xf>
    <xf numFmtId="167" fontId="3" fillId="6" borderId="25" xfId="0" applyNumberFormat="1" applyFont="1" applyFill="1" applyBorder="1" applyAlignment="1">
      <alignment horizontal="center" vertical="center"/>
    </xf>
    <xf numFmtId="167" fontId="3" fillId="6" borderId="26" xfId="0" applyNumberFormat="1" applyFont="1" applyFill="1" applyBorder="1" applyAlignment="1">
      <alignment horizontal="center" vertical="center"/>
    </xf>
    <xf numFmtId="167" fontId="3" fillId="6" borderId="27" xfId="0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 vertical="center"/>
    </xf>
    <xf numFmtId="0" fontId="20" fillId="0" borderId="22" xfId="0" applyFont="1" applyBorder="1" applyAlignment="1">
      <alignment horizontal="left" vertical="center"/>
    </xf>
    <xf numFmtId="43" fontId="6" fillId="0" borderId="12" xfId="1" applyFont="1" applyBorder="1" applyAlignment="1">
      <alignment horizontal="center"/>
    </xf>
    <xf numFmtId="43" fontId="6" fillId="0" borderId="13" xfId="1" applyFont="1" applyBorder="1" applyAlignment="1">
      <alignment horizontal="center"/>
    </xf>
    <xf numFmtId="164" fontId="1" fillId="6" borderId="14" xfId="1" applyNumberFormat="1" applyFont="1" applyFill="1" applyBorder="1" applyAlignment="1">
      <alignment horizontal="center" vertical="center"/>
    </xf>
    <xf numFmtId="164" fontId="1" fillId="6" borderId="2" xfId="1" applyNumberFormat="1" applyFont="1" applyFill="1" applyBorder="1" applyAlignment="1">
      <alignment horizontal="center" vertical="center"/>
    </xf>
    <xf numFmtId="164" fontId="1" fillId="6" borderId="15" xfId="1" applyNumberFormat="1" applyFont="1" applyFill="1" applyBorder="1" applyAlignment="1">
      <alignment horizontal="center" vertical="center"/>
    </xf>
    <xf numFmtId="0" fontId="13" fillId="0" borderId="4" xfId="0" applyFont="1" applyBorder="1" applyAlignment="1">
      <alignment horizontal="left" vertical="center" indent="2"/>
    </xf>
    <xf numFmtId="0" fontId="13" fillId="0" borderId="0" xfId="0" applyFont="1" applyBorder="1" applyAlignment="1">
      <alignment horizontal="left" vertical="center" indent="2"/>
    </xf>
    <xf numFmtId="0" fontId="6" fillId="0" borderId="0" xfId="0" applyFont="1" applyBorder="1" applyAlignment="1">
      <alignment horizontal="left" indent="2"/>
    </xf>
    <xf numFmtId="0" fontId="6" fillId="0" borderId="13" xfId="0" applyFont="1" applyBorder="1" applyAlignment="1">
      <alignment horizontal="left" indent="2"/>
    </xf>
    <xf numFmtId="0" fontId="25" fillId="11" borderId="3" xfId="3" applyFont="1" applyFill="1" applyBorder="1" applyAlignment="1">
      <alignment horizontal="center" vertical="center" wrapText="1"/>
    </xf>
    <xf numFmtId="0" fontId="25" fillId="11" borderId="7" xfId="3" applyFont="1" applyFill="1" applyBorder="1" applyAlignment="1">
      <alignment horizontal="center" vertical="center" wrapText="1"/>
    </xf>
    <xf numFmtId="0" fontId="22" fillId="6" borderId="11" xfId="0" applyFont="1" applyFill="1" applyBorder="1" applyAlignment="1">
      <alignment horizontal="center" vertical="center"/>
    </xf>
    <xf numFmtId="0" fontId="22" fillId="6" borderId="31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 wrapText="1"/>
    </xf>
    <xf numFmtId="43" fontId="1" fillId="6" borderId="1" xfId="1" applyFont="1" applyFill="1" applyBorder="1" applyAlignment="1">
      <alignment horizontal="center" vertical="center"/>
    </xf>
  </cellXfs>
  <cellStyles count="7">
    <cellStyle name="Hipervínculo" xfId="3" builtinId="8"/>
    <cellStyle name="Hipervínculo 2" xfId="4"/>
    <cellStyle name="Hipervínculo 3" xfId="6"/>
    <cellStyle name="Millares" xfId="1" builtinId="3"/>
    <cellStyle name="Normal" xfId="0" builtinId="0"/>
    <cellStyle name="Normal 2" xfId="5"/>
    <cellStyle name="Porcentaje" xfId="2" builtinId="5"/>
  </cellStyles>
  <dxfs count="4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5050"/>
      <color rgb="FFFFFF99"/>
      <color rgb="FF13067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jpeg"/><Relationship Id="rId3" Type="http://schemas.openxmlformats.org/officeDocument/2006/relationships/hyperlink" Target="https://www.youtube.com/user/Sebaxtiani" TargetMode="External"/><Relationship Id="rId7" Type="http://schemas.openxmlformats.org/officeDocument/2006/relationships/hyperlink" Target="https://www.facebook.com/groups/491707207676630/?fref=t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://bit.ly/1NfE652" TargetMode="External"/><Relationship Id="rId6" Type="http://schemas.openxmlformats.org/officeDocument/2006/relationships/image" Target="../media/image3.png"/><Relationship Id="rId5" Type="http://schemas.openxmlformats.org/officeDocument/2006/relationships/hyperlink" Target="https://www.facebook.com/ExcelNegocios" TargetMode="External"/><Relationship Id="rId10" Type="http://schemas.openxmlformats.org/officeDocument/2006/relationships/image" Target="../media/image5.png"/><Relationship Id="rId4" Type="http://schemas.openxmlformats.org/officeDocument/2006/relationships/image" Target="../media/image2.jpeg"/><Relationship Id="rId9" Type="http://schemas.openxmlformats.org/officeDocument/2006/relationships/hyperlink" Target="http://www.excelnegocios.com/descargas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://eepurl.com/b90iYT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http://eepurl.com/b90iYT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</xdr:colOff>
      <xdr:row>1</xdr:row>
      <xdr:rowOff>171450</xdr:rowOff>
    </xdr:from>
    <xdr:to>
      <xdr:col>8</xdr:col>
      <xdr:colOff>276225</xdr:colOff>
      <xdr:row>5</xdr:row>
      <xdr:rowOff>142875</xdr:rowOff>
    </xdr:to>
    <xdr:pic>
      <xdr:nvPicPr>
        <xdr:cNvPr id="2" name="Imagen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A756FC-E20B-4F9D-8186-FA0F922238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6775" y="247650"/>
          <a:ext cx="4829175" cy="733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85725</xdr:colOff>
      <xdr:row>8</xdr:row>
      <xdr:rowOff>28575</xdr:rowOff>
    </xdr:from>
    <xdr:to>
      <xdr:col>2</xdr:col>
      <xdr:colOff>466725</xdr:colOff>
      <xdr:row>11</xdr:row>
      <xdr:rowOff>161925</xdr:rowOff>
    </xdr:to>
    <xdr:pic>
      <xdr:nvPicPr>
        <xdr:cNvPr id="3" name="Imagen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21C903B-6384-4C06-9E40-84F112CF7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38275"/>
          <a:ext cx="1143000" cy="704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542925</xdr:colOff>
      <xdr:row>8</xdr:row>
      <xdr:rowOff>152400</xdr:rowOff>
    </xdr:from>
    <xdr:to>
      <xdr:col>5</xdr:col>
      <xdr:colOff>60960</xdr:colOff>
      <xdr:row>11</xdr:row>
      <xdr:rowOff>104775</xdr:rowOff>
    </xdr:to>
    <xdr:pic>
      <xdr:nvPicPr>
        <xdr:cNvPr id="4" name="Imagen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43583B3-6D71-499B-B5E0-E90F47223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0650" y="1562100"/>
          <a:ext cx="1804035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198120</xdr:colOff>
      <xdr:row>8</xdr:row>
      <xdr:rowOff>161925</xdr:rowOff>
    </xdr:from>
    <xdr:to>
      <xdr:col>7</xdr:col>
      <xdr:colOff>198120</xdr:colOff>
      <xdr:row>11</xdr:row>
      <xdr:rowOff>95250</xdr:rowOff>
    </xdr:to>
    <xdr:pic>
      <xdr:nvPicPr>
        <xdr:cNvPr id="5" name="Imagen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1412529-974F-4537-A21A-2C39D31E2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1845" y="1571625"/>
          <a:ext cx="1524000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373381</xdr:colOff>
      <xdr:row>9</xdr:row>
      <xdr:rowOff>30480</xdr:rowOff>
    </xdr:from>
    <xdr:to>
      <xdr:col>10</xdr:col>
      <xdr:colOff>76201</xdr:colOff>
      <xdr:row>11</xdr:row>
      <xdr:rowOff>77392</xdr:rowOff>
    </xdr:to>
    <xdr:pic>
      <xdr:nvPicPr>
        <xdr:cNvPr id="6" name="Imagen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708F938-9D7E-4689-B64F-4AE9763CA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31106" y="1630680"/>
          <a:ext cx="1512570" cy="4279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95250</xdr:colOff>
      <xdr:row>3</xdr:row>
      <xdr:rowOff>257175</xdr:rowOff>
    </xdr:from>
    <xdr:to>
      <xdr:col>14</xdr:col>
      <xdr:colOff>600075</xdr:colOff>
      <xdr:row>9</xdr:row>
      <xdr:rowOff>142875</xdr:rowOff>
    </xdr:to>
    <xdr:sp macro="" textlink="">
      <xdr:nvSpPr>
        <xdr:cNvPr id="2" name="Cuadro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8705850" y="990600"/>
          <a:ext cx="2638425" cy="119062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1001">
          <a:schemeClr val="lt2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100" b="1"/>
            <a:t>Archivo</a:t>
          </a:r>
          <a:r>
            <a:rPr lang="es-PE" sz="1100" b="1" baseline="0"/>
            <a:t> desarrollado por:</a:t>
          </a:r>
        </a:p>
        <a:p>
          <a:endParaRPr lang="es-PE" sz="1100" b="0" baseline="0"/>
        </a:p>
        <a:p>
          <a:r>
            <a:rPr lang="es-PE" sz="1100" b="1" baseline="0"/>
            <a:t>GUSTAVO A. SEBASTIANI CÉPEDA</a:t>
          </a:r>
        </a:p>
        <a:p>
          <a:r>
            <a:rPr lang="es-PE" sz="1100" b="1" baseline="0"/>
            <a:t>      www.excelnegocios.com</a:t>
          </a:r>
        </a:p>
        <a:p>
          <a:endParaRPr lang="es-PE" sz="1100" b="0" baseline="0"/>
        </a:p>
        <a:p>
          <a:r>
            <a:rPr lang="es-PE" sz="1100" b="1" baseline="0"/>
            <a:t>Contacto: Gustavo@excelnegocios.com</a:t>
          </a:r>
        </a:p>
        <a:p>
          <a:endParaRPr lang="es-PE" sz="1100" b="1"/>
        </a:p>
      </xdr:txBody>
    </xdr:sp>
    <xdr:clientData/>
  </xdr:twoCellAnchor>
  <xdr:twoCellAnchor>
    <xdr:from>
      <xdr:col>9</xdr:col>
      <xdr:colOff>123824</xdr:colOff>
      <xdr:row>26</xdr:row>
      <xdr:rowOff>171450</xdr:rowOff>
    </xdr:from>
    <xdr:to>
      <xdr:col>11</xdr:col>
      <xdr:colOff>380999</xdr:colOff>
      <xdr:row>29</xdr:row>
      <xdr:rowOff>123825</xdr:rowOff>
    </xdr:to>
    <xdr:sp macro="" textlink="">
      <xdr:nvSpPr>
        <xdr:cNvPr id="3" name="Flecha derech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0800000">
          <a:off x="7686674" y="5829300"/>
          <a:ext cx="1304925" cy="5238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95250</xdr:colOff>
      <xdr:row>3</xdr:row>
      <xdr:rowOff>257175</xdr:rowOff>
    </xdr:from>
    <xdr:to>
      <xdr:col>14</xdr:col>
      <xdr:colOff>600075</xdr:colOff>
      <xdr:row>9</xdr:row>
      <xdr:rowOff>142875</xdr:rowOff>
    </xdr:to>
    <xdr:sp macro="" textlink="">
      <xdr:nvSpPr>
        <xdr:cNvPr id="2" name="Cuadro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705850" y="990600"/>
          <a:ext cx="2638425" cy="119062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1001">
          <a:schemeClr val="lt2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100" b="1"/>
            <a:t>Archivo</a:t>
          </a:r>
          <a:r>
            <a:rPr lang="es-PE" sz="1100" b="1" baseline="0"/>
            <a:t> desarrollado por:</a:t>
          </a:r>
        </a:p>
        <a:p>
          <a:endParaRPr lang="es-PE" sz="1100" b="0" baseline="0"/>
        </a:p>
        <a:p>
          <a:r>
            <a:rPr lang="es-PE" sz="1100" b="1" baseline="0"/>
            <a:t>GUSTAVO A. SEBASTIANI CÉPEDA</a:t>
          </a:r>
        </a:p>
        <a:p>
          <a:r>
            <a:rPr lang="es-PE" sz="1100" b="1" baseline="0"/>
            <a:t>      www.excelnegocios.com</a:t>
          </a:r>
        </a:p>
        <a:p>
          <a:endParaRPr lang="es-PE" sz="1100" b="0" baseline="0"/>
        </a:p>
        <a:p>
          <a:r>
            <a:rPr lang="es-PE" sz="1100" b="1" baseline="0"/>
            <a:t>Contacto: Gustavo@excelnegocios.com</a:t>
          </a:r>
        </a:p>
        <a:p>
          <a:endParaRPr lang="es-PE" sz="1100" b="1"/>
        </a:p>
      </xdr:txBody>
    </xdr:sp>
    <xdr:clientData/>
  </xdr:twoCellAnchor>
  <xdr:twoCellAnchor>
    <xdr:from>
      <xdr:col>6</xdr:col>
      <xdr:colOff>512238</xdr:colOff>
      <xdr:row>17</xdr:row>
      <xdr:rowOff>76652</xdr:rowOff>
    </xdr:from>
    <xdr:to>
      <xdr:col>6</xdr:col>
      <xdr:colOff>682473</xdr:colOff>
      <xdr:row>29</xdr:row>
      <xdr:rowOff>90569</xdr:rowOff>
    </xdr:to>
    <xdr:sp macro="" textlink="">
      <xdr:nvSpPr>
        <xdr:cNvPr id="3" name="Flecha abaj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2539110">
          <a:off x="5208063" y="4010477"/>
          <a:ext cx="170235" cy="2480892"/>
        </a:xfrm>
        <a:prstGeom prst="downArrow">
          <a:avLst/>
        </a:prstGeom>
        <a:solidFill>
          <a:srgbClr val="FF5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9</xdr:col>
      <xdr:colOff>66674</xdr:colOff>
      <xdr:row>28</xdr:row>
      <xdr:rowOff>85724</xdr:rowOff>
    </xdr:from>
    <xdr:to>
      <xdr:col>11</xdr:col>
      <xdr:colOff>380999</xdr:colOff>
      <xdr:row>31</xdr:row>
      <xdr:rowOff>28574</xdr:rowOff>
    </xdr:to>
    <xdr:sp macro="" textlink="">
      <xdr:nvSpPr>
        <xdr:cNvPr id="4" name="Flecha derecha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 rot="10800000">
          <a:off x="7629524" y="6286499"/>
          <a:ext cx="1362075" cy="5238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ductos\2017\ACTUALIZADOS\GRATIS\actualizados\Sistema%20de%20busqueda%20interactivo%20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PRESENTACION"/>
      <sheetName val="BASE DE DATOS"/>
      <sheetName val="Filtro"/>
    </sheetNames>
    <sheetDataSet>
      <sheetData sheetId="0">
        <row r="2">
          <cell r="A2" t="str">
            <v>RODAMIENTOS</v>
          </cell>
        </row>
        <row r="3">
          <cell r="A3" t="str">
            <v>RETENES</v>
          </cell>
        </row>
        <row r="4">
          <cell r="A4" t="str">
            <v>CRUCETAS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Gustavo@excelnegocios.com" TargetMode="External"/><Relationship Id="rId1" Type="http://schemas.openxmlformats.org/officeDocument/2006/relationships/hyperlink" Target="http://www.excelnegocios.com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hyperlink" Target="http://www.excelnegocios.com/" TargetMode="Externa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hyperlink" Target="http://www.excelnegocios.com/" TargetMode="Externa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L21"/>
  <sheetViews>
    <sheetView showGridLines="0" tabSelected="1" workbookViewId="0">
      <selection activeCell="B2" sqref="B2"/>
    </sheetView>
  </sheetViews>
  <sheetFormatPr baseColWidth="10" defaultColWidth="0" defaultRowHeight="14.45" customHeight="1" zeroHeight="1" x14ac:dyDescent="0.25"/>
  <cols>
    <col min="1" max="1" width="1.28515625" style="86" customWidth="1"/>
    <col min="2" max="9" width="11.42578125" style="86" customWidth="1"/>
    <col min="10" max="10" width="4.28515625" style="86" customWidth="1"/>
    <col min="11" max="11" width="2.42578125" style="86" customWidth="1"/>
    <col min="12" max="12" width="1.7109375" style="86" customWidth="1"/>
    <col min="13" max="16384" width="11.42578125" style="86" hidden="1"/>
  </cols>
  <sheetData>
    <row r="1" spans="2:11" ht="6" customHeight="1" thickBot="1" x14ac:dyDescent="0.3"/>
    <row r="2" spans="2:11" ht="15" x14ac:dyDescent="0.25">
      <c r="B2" s="87"/>
      <c r="C2" s="88"/>
      <c r="D2" s="88"/>
      <c r="E2" s="88"/>
      <c r="F2" s="88"/>
      <c r="G2" s="88"/>
      <c r="H2" s="88"/>
      <c r="I2" s="88"/>
      <c r="J2" s="88"/>
      <c r="K2" s="89"/>
    </row>
    <row r="3" spans="2:11" ht="15" x14ac:dyDescent="0.25">
      <c r="B3" s="90"/>
      <c r="C3" s="91"/>
      <c r="D3" s="91"/>
      <c r="E3" s="91"/>
      <c r="F3" s="91"/>
      <c r="G3" s="91"/>
      <c r="H3" s="91"/>
      <c r="I3" s="91"/>
      <c r="J3" s="91"/>
      <c r="K3" s="92"/>
    </row>
    <row r="4" spans="2:11" ht="15" x14ac:dyDescent="0.25">
      <c r="B4" s="90"/>
      <c r="C4" s="91"/>
      <c r="D4" s="91"/>
      <c r="E4" s="91"/>
      <c r="F4" s="91"/>
      <c r="G4" s="91"/>
      <c r="H4" s="91"/>
      <c r="I4" s="91"/>
      <c r="J4" s="91"/>
      <c r="K4" s="92"/>
    </row>
    <row r="5" spans="2:11" ht="15" x14ac:dyDescent="0.25">
      <c r="B5" s="90"/>
      <c r="C5" s="91"/>
      <c r="D5" s="91"/>
      <c r="E5" s="91"/>
      <c r="F5" s="91"/>
      <c r="G5" s="91"/>
      <c r="H5" s="91"/>
      <c r="I5" s="91"/>
      <c r="J5" s="91"/>
      <c r="K5" s="92"/>
    </row>
    <row r="6" spans="2:11" ht="15" x14ac:dyDescent="0.25">
      <c r="B6" s="90"/>
      <c r="C6" s="91"/>
      <c r="D6" s="91"/>
      <c r="E6" s="91"/>
      <c r="F6" s="91"/>
      <c r="G6" s="91"/>
      <c r="H6" s="91"/>
      <c r="I6" s="91"/>
      <c r="J6" s="91"/>
      <c r="K6" s="92"/>
    </row>
    <row r="7" spans="2:11" ht="15" x14ac:dyDescent="0.25">
      <c r="B7" s="90"/>
      <c r="C7" s="96" t="s">
        <v>54</v>
      </c>
      <c r="D7" s="96"/>
      <c r="E7" s="96"/>
      <c r="F7" s="96"/>
      <c r="G7" s="96"/>
      <c r="H7" s="96"/>
      <c r="I7" s="91"/>
      <c r="J7" s="91"/>
      <c r="K7" s="92"/>
    </row>
    <row r="8" spans="2:11" ht="15" x14ac:dyDescent="0.25">
      <c r="B8" s="90"/>
      <c r="C8" s="96"/>
      <c r="D8" s="96"/>
      <c r="E8" s="96"/>
      <c r="F8" s="96"/>
      <c r="G8" s="96"/>
      <c r="H8" s="96"/>
      <c r="I8" s="91"/>
      <c r="J8" s="91"/>
      <c r="K8" s="92"/>
    </row>
    <row r="9" spans="2:11" ht="15" x14ac:dyDescent="0.25">
      <c r="B9" s="90"/>
      <c r="C9" s="91"/>
      <c r="D9" s="91"/>
      <c r="E9" s="91"/>
      <c r="F9" s="91"/>
      <c r="G9" s="91"/>
      <c r="H9" s="91"/>
      <c r="I9" s="91"/>
      <c r="J9" s="91"/>
      <c r="K9" s="92"/>
    </row>
    <row r="10" spans="2:11" ht="15" x14ac:dyDescent="0.25">
      <c r="B10" s="90"/>
      <c r="C10" s="91"/>
      <c r="D10" s="91"/>
      <c r="E10" s="91"/>
      <c r="F10" s="91"/>
      <c r="G10" s="91"/>
      <c r="H10" s="91"/>
      <c r="I10" s="91"/>
      <c r="J10" s="91"/>
      <c r="K10" s="92"/>
    </row>
    <row r="11" spans="2:11" ht="15" x14ac:dyDescent="0.25">
      <c r="B11" s="90"/>
      <c r="C11" s="91"/>
      <c r="D11" s="91"/>
      <c r="E11" s="91"/>
      <c r="F11" s="91"/>
      <c r="G11" s="91"/>
      <c r="H11" s="91"/>
      <c r="I11" s="91"/>
      <c r="J11" s="91"/>
      <c r="K11" s="92"/>
    </row>
    <row r="12" spans="2:11" ht="15" x14ac:dyDescent="0.25">
      <c r="B12" s="90"/>
      <c r="C12" s="91"/>
      <c r="D12" s="91"/>
      <c r="E12" s="91"/>
      <c r="F12" s="91"/>
      <c r="G12" s="91"/>
      <c r="H12" s="91"/>
      <c r="I12" s="91"/>
      <c r="J12" s="91"/>
      <c r="K12" s="92"/>
    </row>
    <row r="13" spans="2:11" ht="7.5" customHeight="1" x14ac:dyDescent="0.25">
      <c r="B13" s="90"/>
      <c r="C13" s="91"/>
      <c r="D13" s="91"/>
      <c r="E13" s="91"/>
      <c r="F13" s="91"/>
      <c r="G13" s="91"/>
      <c r="H13" s="91"/>
      <c r="I13" s="91"/>
      <c r="J13" s="91"/>
      <c r="K13" s="92"/>
    </row>
    <row r="14" spans="2:11" ht="15.75" x14ac:dyDescent="0.25">
      <c r="B14" s="97" t="s">
        <v>63</v>
      </c>
      <c r="C14" s="98"/>
      <c r="D14" s="98"/>
      <c r="E14" s="98"/>
      <c r="F14" s="98"/>
      <c r="G14" s="99" t="s">
        <v>54</v>
      </c>
      <c r="H14" s="99"/>
      <c r="I14" s="99"/>
      <c r="J14" s="99"/>
      <c r="K14" s="100"/>
    </row>
    <row r="15" spans="2:11" ht="6.75" customHeight="1" thickBot="1" x14ac:dyDescent="0.3">
      <c r="B15" s="93"/>
      <c r="C15" s="94"/>
      <c r="D15" s="94"/>
      <c r="E15" s="94"/>
      <c r="F15" s="94"/>
      <c r="G15" s="94"/>
      <c r="H15" s="94"/>
      <c r="I15" s="94"/>
      <c r="J15" s="94"/>
      <c r="K15" s="95"/>
    </row>
    <row r="16" spans="2:11" ht="6" customHeight="1" x14ac:dyDescent="0.25"/>
    <row r="17" ht="15" hidden="1" x14ac:dyDescent="0.25"/>
    <row r="18" ht="15" hidden="1" x14ac:dyDescent="0.25"/>
    <row r="19" ht="15" hidden="1" x14ac:dyDescent="0.25"/>
    <row r="20" ht="15" hidden="1" x14ac:dyDescent="0.25"/>
    <row r="21" ht="15" hidden="1" x14ac:dyDescent="0.25"/>
  </sheetData>
  <mergeCells count="3">
    <mergeCell ref="C7:H8"/>
    <mergeCell ref="B14:F14"/>
    <mergeCell ref="G14:K14"/>
  </mergeCells>
  <hyperlinks>
    <hyperlink ref="C7" r:id="rId1"/>
    <hyperlink ref="G14" r:id="rId2" display="Gustavo@excelnegocios.com"/>
  </hyperlinks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S65"/>
  <sheetViews>
    <sheetView showGridLines="0" workbookViewId="0">
      <selection activeCell="F7" sqref="F7"/>
    </sheetView>
  </sheetViews>
  <sheetFormatPr baseColWidth="10" defaultRowHeight="15" x14ac:dyDescent="0.25"/>
  <cols>
    <col min="2" max="2" width="5" customWidth="1"/>
    <col min="3" max="3" width="1.7109375" customWidth="1"/>
    <col min="4" max="4" width="13.7109375" customWidth="1"/>
    <col min="5" max="5" width="22" customWidth="1"/>
    <col min="6" max="6" width="16.5703125" customWidth="1"/>
    <col min="7" max="7" width="11.85546875" bestFit="1" customWidth="1"/>
    <col min="8" max="8" width="19.28515625" customWidth="1"/>
    <col min="9" max="9" width="11.85546875" bestFit="1" customWidth="1"/>
    <col min="10" max="10" width="13.28515625" customWidth="1"/>
    <col min="11" max="11" width="2.42578125" customWidth="1"/>
    <col min="12" max="12" width="6" customWidth="1"/>
    <col min="13" max="13" width="3.140625" customWidth="1"/>
    <col min="14" max="14" width="14.5703125" customWidth="1"/>
    <col min="15" max="15" width="12.140625" customWidth="1"/>
    <col min="19" max="19" width="2.7109375" customWidth="1"/>
  </cols>
  <sheetData>
    <row r="1" spans="1:16" ht="18.75" x14ac:dyDescent="0.25">
      <c r="A1" s="69">
        <v>2019</v>
      </c>
      <c r="C1" s="71"/>
      <c r="F1" s="72"/>
    </row>
    <row r="2" spans="1:16" ht="26.25" x14ac:dyDescent="0.25">
      <c r="C2" s="104" t="str">
        <f>+"CALCULO GRATIFICACIÓN POR FIESTAS PATRIAS " &amp; A1</f>
        <v>CALCULO GRATIFICACIÓN POR FIESTAS PATRIAS 2019</v>
      </c>
      <c r="D2" s="105"/>
      <c r="E2" s="105"/>
      <c r="F2" s="105"/>
      <c r="G2" s="105"/>
      <c r="H2" s="105"/>
      <c r="I2" s="105"/>
      <c r="J2" s="105"/>
      <c r="K2" s="106"/>
      <c r="L2" s="13"/>
    </row>
    <row r="3" spans="1:16" ht="12.75" customHeight="1" x14ac:dyDescent="0.25">
      <c r="D3" s="60"/>
      <c r="E3" s="13"/>
      <c r="F3" s="110" t="s">
        <v>56</v>
      </c>
      <c r="G3" s="110"/>
      <c r="H3" s="110"/>
      <c r="I3" s="110"/>
      <c r="J3" s="110"/>
      <c r="K3" s="110"/>
      <c r="L3" s="13"/>
    </row>
    <row r="4" spans="1:16" s="1" customFormat="1" ht="27" thickBot="1" x14ac:dyDescent="0.3">
      <c r="B4" s="12" t="s">
        <v>4</v>
      </c>
      <c r="C4" s="102" t="s">
        <v>3</v>
      </c>
      <c r="D4" s="102"/>
      <c r="E4" s="102"/>
      <c r="F4" s="111"/>
      <c r="G4" s="111"/>
      <c r="H4" s="111"/>
      <c r="I4" s="111"/>
      <c r="J4" s="111"/>
      <c r="K4" s="111"/>
      <c r="L4" s="5"/>
      <c r="M4"/>
      <c r="N4"/>
      <c r="O4"/>
      <c r="P4"/>
    </row>
    <row r="5" spans="1:16" ht="15" customHeight="1" x14ac:dyDescent="0.25">
      <c r="B5" s="9"/>
      <c r="D5" s="6"/>
      <c r="E5" s="6"/>
      <c r="F5" s="6"/>
      <c r="G5" s="6"/>
      <c r="H5" s="6"/>
      <c r="I5" s="6"/>
      <c r="J5" s="6"/>
      <c r="K5" s="7"/>
      <c r="L5" s="4"/>
    </row>
    <row r="6" spans="1:16" x14ac:dyDescent="0.25">
      <c r="B6" s="9"/>
      <c r="D6" s="4"/>
      <c r="E6" s="8" t="s">
        <v>2</v>
      </c>
      <c r="F6" s="24">
        <v>43539</v>
      </c>
      <c r="G6" s="4"/>
      <c r="H6" s="8" t="s">
        <v>0</v>
      </c>
      <c r="I6" s="26"/>
      <c r="J6" s="4"/>
      <c r="K6" s="9"/>
      <c r="L6" s="4"/>
      <c r="M6" s="1"/>
      <c r="N6" s="70"/>
      <c r="O6" s="1"/>
      <c r="P6" s="1"/>
    </row>
    <row r="7" spans="1:16" x14ac:dyDescent="0.25">
      <c r="B7" s="9"/>
      <c r="D7" s="4"/>
      <c r="E7" s="8"/>
      <c r="F7" s="3"/>
      <c r="G7" s="4"/>
      <c r="H7" s="4"/>
      <c r="I7" s="4"/>
      <c r="J7" s="4"/>
      <c r="K7" s="9"/>
      <c r="L7" s="4"/>
      <c r="M7" s="1"/>
      <c r="N7" s="70"/>
      <c r="O7" s="1"/>
      <c r="P7" s="1"/>
    </row>
    <row r="8" spans="1:16" x14ac:dyDescent="0.25">
      <c r="B8" s="9"/>
      <c r="D8" s="4"/>
      <c r="E8" s="8" t="s">
        <v>5</v>
      </c>
      <c r="F8" s="25" t="s">
        <v>6</v>
      </c>
      <c r="H8" s="8" t="s">
        <v>7</v>
      </c>
      <c r="I8" s="55">
        <v>1</v>
      </c>
      <c r="J8" s="4"/>
      <c r="K8" s="9"/>
      <c r="L8" s="4"/>
      <c r="M8" s="1"/>
      <c r="N8" s="1"/>
      <c r="O8" s="1"/>
      <c r="P8" s="1"/>
    </row>
    <row r="9" spans="1:16" ht="15.75" thickBot="1" x14ac:dyDescent="0.3">
      <c r="B9" s="9"/>
      <c r="C9" s="14"/>
      <c r="D9" s="10"/>
      <c r="E9" s="10"/>
      <c r="F9" s="10"/>
      <c r="G9" s="10"/>
      <c r="H9" s="10"/>
      <c r="I9" s="10"/>
      <c r="J9" s="10"/>
      <c r="K9" s="11"/>
      <c r="L9" s="4"/>
      <c r="M9" s="1"/>
      <c r="N9" s="1"/>
      <c r="O9" s="1"/>
      <c r="P9" s="1"/>
    </row>
    <row r="10" spans="1:16" x14ac:dyDescent="0.25">
      <c r="B10" s="4"/>
      <c r="D10" s="4"/>
      <c r="E10" s="2"/>
    </row>
    <row r="11" spans="1:16" ht="21.75" thickBot="1" x14ac:dyDescent="0.3">
      <c r="B11" s="18" t="s">
        <v>8</v>
      </c>
      <c r="C11" s="101" t="s">
        <v>9</v>
      </c>
      <c r="D11" s="102"/>
      <c r="E11" s="103"/>
      <c r="F11" s="22" t="s">
        <v>53</v>
      </c>
      <c r="G11" s="33">
        <f>+IF($F$6&lt;DATE(A1,1,1),DATE(A1,1,1),F6)</f>
        <v>43539</v>
      </c>
      <c r="H11" s="22" t="s">
        <v>12</v>
      </c>
      <c r="I11" s="33">
        <f>IF(I6="",DATE(A1,6,30),I6)</f>
        <v>43646</v>
      </c>
    </row>
    <row r="12" spans="1:16" ht="21" x14ac:dyDescent="0.25">
      <c r="B12" s="17"/>
      <c r="C12" s="15"/>
      <c r="D12" s="59" t="s">
        <v>10</v>
      </c>
      <c r="E12" s="19"/>
      <c r="F12" s="20"/>
      <c r="G12" s="6"/>
      <c r="H12" s="6"/>
      <c r="I12" s="65"/>
      <c r="J12" s="65"/>
      <c r="K12" s="7"/>
      <c r="L12" s="4"/>
    </row>
    <row r="13" spans="1:16" ht="18.75" customHeight="1" x14ac:dyDescent="0.25">
      <c r="B13" s="4"/>
      <c r="C13" s="15"/>
      <c r="D13" s="16" t="s">
        <v>1</v>
      </c>
      <c r="E13" s="16" t="s">
        <v>11</v>
      </c>
      <c r="G13" s="107"/>
      <c r="H13" s="107"/>
      <c r="I13" s="66"/>
      <c r="J13" s="66"/>
      <c r="K13" s="9"/>
      <c r="L13" s="21"/>
    </row>
    <row r="14" spans="1:16" x14ac:dyDescent="0.25">
      <c r="C14" s="15"/>
      <c r="D14" s="51">
        <f t="shared" ref="D14:D19" si="0">EOMONTH(DATE($A$1,ROW(A1),1),0)</f>
        <v>43496</v>
      </c>
      <c r="E14" s="34">
        <f t="shared" ref="E14:E19" si="1">IF(OR(MONTH($G$11)&gt;MONTH(D14),MONTH($I$11)&lt;MONTH(D14)),0,IF(AND(MONTH($G$11)=MONTH($I$11),MONTH($G$11)=MONTH(D14),MONTH($I$11)=MONTH(D14)),DAY($I$6)-DAY($F$6)+1,IF(MONTH($G$11)=MONTH(D14),30-DAY($G$11)+1,IF(MONTH($I$11)=MONTH(D14),DAY($I$11),30))))</f>
        <v>0</v>
      </c>
      <c r="F14" s="21" t="str">
        <f t="shared" ref="F14:F19" si="2">IF(E14&gt;=30,"✓","X")</f>
        <v>X</v>
      </c>
      <c r="J14" s="4"/>
      <c r="K14" s="9"/>
      <c r="L14" s="4"/>
    </row>
    <row r="15" spans="1:16" x14ac:dyDescent="0.25">
      <c r="C15" s="15"/>
      <c r="D15" s="51">
        <f t="shared" si="0"/>
        <v>43524</v>
      </c>
      <c r="E15" s="34">
        <f t="shared" si="1"/>
        <v>0</v>
      </c>
      <c r="F15" s="21" t="str">
        <f t="shared" si="2"/>
        <v>X</v>
      </c>
      <c r="H15" s="108" t="str">
        <f>COUNTIF($F$14:$F$19,"✓")&amp;" Meses"</f>
        <v>3 Meses</v>
      </c>
      <c r="I15" s="4"/>
      <c r="J15" s="4"/>
      <c r="K15" s="9"/>
      <c r="L15" s="4"/>
    </row>
    <row r="16" spans="1:16" x14ac:dyDescent="0.25">
      <c r="C16" s="15"/>
      <c r="D16" s="51">
        <f t="shared" si="0"/>
        <v>43555</v>
      </c>
      <c r="E16" s="34">
        <f t="shared" si="1"/>
        <v>16</v>
      </c>
      <c r="F16" s="21" t="str">
        <f t="shared" si="2"/>
        <v>X</v>
      </c>
      <c r="H16" s="109"/>
      <c r="J16" s="4"/>
      <c r="K16" s="9"/>
      <c r="L16" s="4"/>
    </row>
    <row r="17" spans="2:19" x14ac:dyDescent="0.25">
      <c r="C17" s="15"/>
      <c r="D17" s="51">
        <f t="shared" si="0"/>
        <v>43585</v>
      </c>
      <c r="E17" s="34">
        <f t="shared" si="1"/>
        <v>30</v>
      </c>
      <c r="F17" s="21" t="str">
        <f t="shared" si="2"/>
        <v>✓</v>
      </c>
      <c r="H17" s="112" t="s">
        <v>60</v>
      </c>
      <c r="I17" s="112"/>
      <c r="J17" s="112"/>
      <c r="K17" s="9"/>
      <c r="L17" s="4"/>
    </row>
    <row r="18" spans="2:19" ht="15" customHeight="1" x14ac:dyDescent="0.25">
      <c r="C18" s="15"/>
      <c r="D18" s="51">
        <f t="shared" si="0"/>
        <v>43616</v>
      </c>
      <c r="E18" s="34">
        <f t="shared" si="1"/>
        <v>30</v>
      </c>
      <c r="F18" s="21" t="str">
        <f t="shared" si="2"/>
        <v>✓</v>
      </c>
      <c r="H18" s="112"/>
      <c r="I18" s="112"/>
      <c r="J18" s="112"/>
      <c r="K18" s="9"/>
      <c r="L18" s="4"/>
    </row>
    <row r="19" spans="2:19" ht="15" customHeight="1" x14ac:dyDescent="0.25">
      <c r="C19" s="15"/>
      <c r="D19" s="51">
        <f t="shared" si="0"/>
        <v>43646</v>
      </c>
      <c r="E19" s="34">
        <f t="shared" si="1"/>
        <v>30</v>
      </c>
      <c r="F19" s="21" t="str">
        <f t="shared" si="2"/>
        <v>✓</v>
      </c>
      <c r="I19" s="67"/>
      <c r="J19" s="67"/>
      <c r="K19" s="9"/>
      <c r="L19" s="4"/>
    </row>
    <row r="20" spans="2:19" ht="15.75" thickBot="1" x14ac:dyDescent="0.3">
      <c r="C20" s="14"/>
      <c r="D20" s="10"/>
      <c r="E20" s="10"/>
      <c r="F20" s="10"/>
      <c r="G20" s="10"/>
      <c r="H20" s="10"/>
      <c r="I20" s="10"/>
      <c r="J20" s="10"/>
      <c r="K20" s="11"/>
      <c r="L20" s="4"/>
    </row>
    <row r="23" spans="2:19" ht="21.75" thickBot="1" x14ac:dyDescent="0.3">
      <c r="B23" s="18" t="s">
        <v>32</v>
      </c>
      <c r="C23" s="101" t="s">
        <v>21</v>
      </c>
      <c r="D23" s="102"/>
      <c r="E23" s="103"/>
    </row>
    <row r="24" spans="2:19" ht="15.75" x14ac:dyDescent="0.25">
      <c r="C24" s="15"/>
      <c r="D24" s="132" t="s">
        <v>13</v>
      </c>
      <c r="E24" s="132"/>
      <c r="F24" s="6"/>
      <c r="G24" s="6"/>
      <c r="H24" s="122" t="s">
        <v>27</v>
      </c>
      <c r="I24" s="122"/>
      <c r="J24" s="122"/>
      <c r="K24" s="7"/>
      <c r="L24" s="36"/>
      <c r="M24" s="37"/>
      <c r="N24" s="38"/>
      <c r="O24" s="38"/>
      <c r="P24" s="38"/>
      <c r="Q24" s="38"/>
      <c r="R24" s="38"/>
      <c r="S24" s="39"/>
    </row>
    <row r="25" spans="2:19" ht="15.75" customHeight="1" x14ac:dyDescent="0.25">
      <c r="C25" s="15"/>
      <c r="D25" s="133"/>
      <c r="E25" s="133"/>
      <c r="F25" s="4"/>
      <c r="G25" s="4"/>
      <c r="H25" s="123"/>
      <c r="I25" s="123"/>
      <c r="J25" s="123"/>
      <c r="K25" s="9"/>
      <c r="L25" s="36"/>
      <c r="M25" s="40"/>
      <c r="N25" s="121" t="s">
        <v>30</v>
      </c>
      <c r="O25" s="121"/>
      <c r="P25" s="121"/>
      <c r="Q25" s="121"/>
      <c r="R25" s="121"/>
      <c r="S25" s="41"/>
    </row>
    <row r="26" spans="2:19" ht="19.5" customHeight="1" x14ac:dyDescent="0.25">
      <c r="C26" s="15"/>
      <c r="D26" s="133"/>
      <c r="E26" s="133"/>
      <c r="F26" s="4"/>
      <c r="G26" s="4"/>
      <c r="H26" s="123"/>
      <c r="I26" s="123"/>
      <c r="J26" s="123"/>
      <c r="K26" s="9"/>
      <c r="L26" s="36"/>
      <c r="M26" s="40"/>
      <c r="N26" s="45" t="s">
        <v>28</v>
      </c>
      <c r="O26" s="46" t="s">
        <v>22</v>
      </c>
      <c r="P26" s="46" t="s">
        <v>23</v>
      </c>
      <c r="Q26" s="46" t="s">
        <v>24</v>
      </c>
      <c r="R26" s="47" t="s">
        <v>29</v>
      </c>
      <c r="S26" s="41"/>
    </row>
    <row r="27" spans="2:19" x14ac:dyDescent="0.25">
      <c r="C27" s="15"/>
      <c r="D27" s="134" t="s">
        <v>14</v>
      </c>
      <c r="E27" s="135"/>
      <c r="F27" s="23">
        <v>2500</v>
      </c>
      <c r="G27" s="31"/>
      <c r="H27" s="32" t="s">
        <v>22</v>
      </c>
      <c r="I27" s="27">
        <f>+O33</f>
        <v>116.66666666666667</v>
      </c>
      <c r="J27" s="4"/>
      <c r="K27" s="9"/>
      <c r="L27" s="4"/>
      <c r="M27" s="40"/>
      <c r="N27" s="35" t="str">
        <f t="shared" ref="N27:N32" si="3">+"al " &amp; TEXT(D14,"dd/mm")&amp;"/"&amp;$A$1</f>
        <v>al 31/01/2019</v>
      </c>
      <c r="O27" s="28"/>
      <c r="P27" s="28"/>
      <c r="Q27" s="28"/>
      <c r="R27" s="28"/>
      <c r="S27" s="41"/>
    </row>
    <row r="28" spans="2:19" x14ac:dyDescent="0.25">
      <c r="C28" s="15"/>
      <c r="D28" s="134" t="s">
        <v>15</v>
      </c>
      <c r="E28" s="135"/>
      <c r="F28" s="23">
        <v>93</v>
      </c>
      <c r="G28" s="31"/>
      <c r="H28" s="32" t="s">
        <v>23</v>
      </c>
      <c r="I28" s="27">
        <f>+P33</f>
        <v>36.666666666666664</v>
      </c>
      <c r="J28" s="4"/>
      <c r="K28" s="9"/>
      <c r="L28" s="4"/>
      <c r="M28" s="40"/>
      <c r="N28" s="35" t="str">
        <f t="shared" si="3"/>
        <v>al 28/02/2019</v>
      </c>
      <c r="O28" s="28"/>
      <c r="P28" s="28"/>
      <c r="Q28" s="28"/>
      <c r="R28" s="28"/>
      <c r="S28" s="41"/>
    </row>
    <row r="29" spans="2:19" x14ac:dyDescent="0.25">
      <c r="C29" s="15"/>
      <c r="D29" s="134" t="s">
        <v>16</v>
      </c>
      <c r="E29" s="135"/>
      <c r="F29" s="23">
        <v>200</v>
      </c>
      <c r="G29" s="31"/>
      <c r="H29" s="32" t="s">
        <v>24</v>
      </c>
      <c r="I29" s="27">
        <f>+Q33</f>
        <v>0</v>
      </c>
      <c r="J29" s="4"/>
      <c r="K29" s="9"/>
      <c r="L29" s="4"/>
      <c r="M29" s="40"/>
      <c r="N29" s="35" t="str">
        <f t="shared" si="3"/>
        <v>al 31/03/2019</v>
      </c>
      <c r="O29" s="28">
        <v>200</v>
      </c>
      <c r="P29" s="28"/>
      <c r="Q29" s="28"/>
      <c r="R29" s="28"/>
      <c r="S29" s="41"/>
    </row>
    <row r="30" spans="2:19" x14ac:dyDescent="0.25">
      <c r="C30" s="15"/>
      <c r="D30" s="134" t="s">
        <v>17</v>
      </c>
      <c r="E30" s="135"/>
      <c r="F30" s="23"/>
      <c r="G30" s="31"/>
      <c r="H30" s="32" t="s">
        <v>25</v>
      </c>
      <c r="I30" s="27">
        <f>+R33</f>
        <v>0</v>
      </c>
      <c r="J30" s="4"/>
      <c r="K30" s="9"/>
      <c r="L30" s="4"/>
      <c r="M30" s="40"/>
      <c r="N30" s="35" t="str">
        <f t="shared" si="3"/>
        <v>al 30/04/2019</v>
      </c>
      <c r="O30" s="28">
        <v>400</v>
      </c>
      <c r="P30" s="28">
        <v>70</v>
      </c>
      <c r="Q30" s="28"/>
      <c r="R30" s="28"/>
      <c r="S30" s="41"/>
    </row>
    <row r="31" spans="2:19" x14ac:dyDescent="0.25">
      <c r="C31" s="15"/>
      <c r="D31" s="134" t="s">
        <v>18</v>
      </c>
      <c r="E31" s="135"/>
      <c r="F31" s="23"/>
      <c r="G31" s="31"/>
      <c r="H31" s="31"/>
      <c r="I31" s="29"/>
      <c r="J31" s="4"/>
      <c r="K31" s="9"/>
      <c r="L31" s="4"/>
      <c r="M31" s="40"/>
      <c r="N31" s="35" t="str">
        <f t="shared" si="3"/>
        <v>al 31/05/2019</v>
      </c>
      <c r="O31" s="28">
        <v>100</v>
      </c>
      <c r="P31" s="28">
        <v>50</v>
      </c>
      <c r="Q31" s="28"/>
      <c r="R31" s="28"/>
      <c r="S31" s="41"/>
    </row>
    <row r="32" spans="2:19" x14ac:dyDescent="0.25">
      <c r="C32" s="15"/>
      <c r="D32" s="30"/>
      <c r="E32" s="30"/>
      <c r="F32" s="29"/>
      <c r="G32" s="31"/>
      <c r="H32" s="31"/>
      <c r="I32" s="29"/>
      <c r="J32" s="4"/>
      <c r="K32" s="9"/>
      <c r="L32" s="4"/>
      <c r="M32" s="40"/>
      <c r="N32" s="35" t="str">
        <f t="shared" si="3"/>
        <v>al 30/06/2019</v>
      </c>
      <c r="O32" s="28"/>
      <c r="P32" s="28">
        <v>100</v>
      </c>
      <c r="Q32" s="28"/>
      <c r="R32" s="28"/>
      <c r="S32" s="41"/>
    </row>
    <row r="33" spans="2:19" x14ac:dyDescent="0.25">
      <c r="C33" s="15"/>
      <c r="D33" s="134" t="s">
        <v>19</v>
      </c>
      <c r="E33" s="135"/>
      <c r="F33" s="27">
        <f>SUM(F27:F32)</f>
        <v>2793</v>
      </c>
      <c r="G33" s="127" t="s">
        <v>26</v>
      </c>
      <c r="H33" s="128"/>
      <c r="I33" s="27">
        <f>SUM(I27:I32)</f>
        <v>153.33333333333334</v>
      </c>
      <c r="J33" s="4"/>
      <c r="K33" s="9"/>
      <c r="L33" s="4"/>
      <c r="M33" s="40"/>
      <c r="N33" s="4"/>
      <c r="O33" s="27">
        <f>IF(--ISERROR(IF(COUNTIF(O27:O32,"&gt;"&amp;0)&gt;=3,SUM(O27:O32)/6,0))=0,IF(COUNTIF(O27:O32,"&gt;"&amp;0)&gt;=3,SUM(O27:O32)/6,0),0)</f>
        <v>116.66666666666667</v>
      </c>
      <c r="P33" s="27">
        <f>IF(--ISERROR(IF(COUNTIF(P27:P32,"&gt;"&amp;0)&gt;=3,SUM(P27:P32)/6,0))=0,IF(COUNTIF(P27:P32,"&gt;"&amp;0)&gt;=3,SUM(P27:P32)/6,0),0)</f>
        <v>36.666666666666664</v>
      </c>
      <c r="Q33" s="27">
        <f t="shared" ref="Q33:R33" si="4">IF(--ISERROR(IF(COUNTIF(Q27:Q32,"&gt;"&amp;0)&gt;=3,SUM(Q27:Q32)/6,0))=0,IF(COUNTIF(Q27:Q32,"&gt;"&amp;0)&gt;=3,SUM(Q27:Q32)/6,0),0)</f>
        <v>0</v>
      </c>
      <c r="R33" s="27">
        <f t="shared" si="4"/>
        <v>0</v>
      </c>
      <c r="S33" s="41"/>
    </row>
    <row r="34" spans="2:19" x14ac:dyDescent="0.25">
      <c r="C34" s="15"/>
      <c r="D34" s="44"/>
      <c r="E34" s="44"/>
      <c r="F34" s="29"/>
      <c r="G34" s="29"/>
      <c r="H34" s="29"/>
      <c r="I34" s="29"/>
      <c r="J34" s="4"/>
      <c r="K34" s="9"/>
      <c r="L34" s="4"/>
      <c r="M34" s="40"/>
      <c r="N34" s="124" t="s">
        <v>31</v>
      </c>
      <c r="O34" s="125"/>
      <c r="P34" s="125"/>
      <c r="Q34" s="125"/>
      <c r="R34" s="125"/>
      <c r="S34" s="41"/>
    </row>
    <row r="35" spans="2:19" x14ac:dyDescent="0.25">
      <c r="C35" s="15"/>
      <c r="D35" s="134" t="s">
        <v>20</v>
      </c>
      <c r="E35" s="135"/>
      <c r="F35" s="129">
        <f>+F33+I33</f>
        <v>2946.3333333333335</v>
      </c>
      <c r="G35" s="130"/>
      <c r="H35" s="131"/>
      <c r="I35" s="29"/>
      <c r="J35" s="4"/>
      <c r="K35" s="9"/>
      <c r="L35" s="4"/>
      <c r="M35" s="40"/>
      <c r="N35" s="125"/>
      <c r="O35" s="125"/>
      <c r="P35" s="125"/>
      <c r="Q35" s="125"/>
      <c r="R35" s="125"/>
      <c r="S35" s="41"/>
    </row>
    <row r="36" spans="2:19" ht="15.75" thickBot="1" x14ac:dyDescent="0.3">
      <c r="C36" s="14"/>
      <c r="D36" s="10"/>
      <c r="E36" s="10"/>
      <c r="F36" s="10"/>
      <c r="G36" s="10"/>
      <c r="H36" s="10"/>
      <c r="I36" s="10"/>
      <c r="J36" s="10"/>
      <c r="K36" s="11"/>
      <c r="L36" s="4"/>
      <c r="M36" s="42"/>
      <c r="N36" s="126"/>
      <c r="O36" s="126"/>
      <c r="P36" s="126"/>
      <c r="Q36" s="126"/>
      <c r="R36" s="126"/>
      <c r="S36" s="43"/>
    </row>
    <row r="39" spans="2:19" ht="21.75" thickBot="1" x14ac:dyDescent="0.3">
      <c r="B39" s="18" t="s">
        <v>33</v>
      </c>
      <c r="C39" s="101" t="s">
        <v>34</v>
      </c>
      <c r="D39" s="102"/>
      <c r="E39" s="103"/>
    </row>
    <row r="40" spans="2:19" x14ac:dyDescent="0.25">
      <c r="C40" s="15"/>
      <c r="D40" s="6"/>
      <c r="E40" s="6"/>
      <c r="F40" s="6"/>
      <c r="G40" s="6"/>
      <c r="H40" s="6"/>
      <c r="I40" s="6"/>
      <c r="J40" s="6"/>
      <c r="K40" s="7"/>
    </row>
    <row r="41" spans="2:19" ht="18.75" x14ac:dyDescent="0.25">
      <c r="C41" s="15"/>
      <c r="D41" s="113" t="s">
        <v>48</v>
      </c>
      <c r="E41" s="113"/>
      <c r="F41" s="113"/>
      <c r="G41" s="4"/>
      <c r="H41" s="4"/>
      <c r="I41" s="4"/>
      <c r="J41" s="4"/>
      <c r="K41" s="9"/>
    </row>
    <row r="42" spans="2:19" ht="9.75" customHeight="1" x14ac:dyDescent="0.25">
      <c r="C42" s="15"/>
      <c r="D42" s="4"/>
      <c r="E42" s="4"/>
      <c r="F42" s="4"/>
      <c r="G42" s="4"/>
      <c r="H42" s="4"/>
      <c r="I42" s="4"/>
      <c r="J42" s="4"/>
      <c r="K42" s="9"/>
    </row>
    <row r="43" spans="2:19" ht="30" x14ac:dyDescent="0.25">
      <c r="C43" s="15"/>
      <c r="D43" s="52" t="s">
        <v>35</v>
      </c>
      <c r="E43" s="48"/>
      <c r="F43" s="52" t="s">
        <v>36</v>
      </c>
      <c r="G43" s="48"/>
      <c r="H43" s="52" t="s">
        <v>37</v>
      </c>
      <c r="I43" s="48"/>
      <c r="J43" s="61" t="s">
        <v>38</v>
      </c>
      <c r="K43" s="9"/>
    </row>
    <row r="44" spans="2:19" x14ac:dyDescent="0.25">
      <c r="C44" s="15"/>
      <c r="D44" s="53">
        <f>+F35</f>
        <v>2946.3333333333335</v>
      </c>
      <c r="E44" s="49" t="s">
        <v>41</v>
      </c>
      <c r="F44" s="54">
        <v>6</v>
      </c>
      <c r="G44" s="50" t="s">
        <v>39</v>
      </c>
      <c r="H44" s="54">
        <f>ABS(MID(H15,1,1))</f>
        <v>3</v>
      </c>
      <c r="I44" s="50" t="s">
        <v>40</v>
      </c>
      <c r="J44" s="62">
        <f>+D44/F44*H44</f>
        <v>1473.1666666666667</v>
      </c>
      <c r="K44" s="9"/>
    </row>
    <row r="45" spans="2:19" x14ac:dyDescent="0.25">
      <c r="C45" s="15"/>
      <c r="D45" s="4"/>
      <c r="E45" s="4"/>
      <c r="F45" s="4"/>
      <c r="G45" s="4"/>
      <c r="H45" s="4"/>
      <c r="I45" s="4"/>
      <c r="J45" s="4"/>
      <c r="K45" s="9"/>
    </row>
    <row r="46" spans="2:19" ht="18.75" x14ac:dyDescent="0.25">
      <c r="C46" s="15"/>
      <c r="D46" s="120" t="s">
        <v>42</v>
      </c>
      <c r="E46" s="120"/>
      <c r="F46" s="120"/>
      <c r="G46" s="4"/>
      <c r="H46" s="4"/>
      <c r="I46" s="4"/>
      <c r="J46" s="4"/>
      <c r="K46" s="9"/>
    </row>
    <row r="47" spans="2:19" ht="9.75" customHeight="1" x14ac:dyDescent="0.25">
      <c r="C47" s="15"/>
      <c r="D47" s="4"/>
      <c r="E47" s="4"/>
      <c r="F47" s="4"/>
      <c r="G47" s="4"/>
      <c r="H47" s="4"/>
      <c r="I47" s="4"/>
      <c r="J47" s="4"/>
      <c r="K47" s="9"/>
    </row>
    <row r="48" spans="2:19" ht="30" x14ac:dyDescent="0.25">
      <c r="C48" s="15"/>
      <c r="D48" s="52" t="s">
        <v>43</v>
      </c>
      <c r="E48" s="52"/>
      <c r="F48" s="4"/>
      <c r="G48" s="52" t="s">
        <v>44</v>
      </c>
      <c r="H48" s="4"/>
      <c r="I48" s="4"/>
      <c r="J48" s="61" t="s">
        <v>45</v>
      </c>
      <c r="K48" s="9"/>
    </row>
    <row r="49" spans="3:11" x14ac:dyDescent="0.25">
      <c r="C49" s="15"/>
      <c r="D49" s="56">
        <f>+I8</f>
        <v>1</v>
      </c>
      <c r="E49" s="57" t="s">
        <v>39</v>
      </c>
      <c r="F49" s="4"/>
      <c r="G49" s="53">
        <f>+D44/F44/30</f>
        <v>16.36851851851852</v>
      </c>
      <c r="H49" s="4"/>
      <c r="I49" s="50" t="s">
        <v>40</v>
      </c>
      <c r="J49" s="63">
        <f>D49*G49</f>
        <v>16.36851851851852</v>
      </c>
      <c r="K49" s="9"/>
    </row>
    <row r="50" spans="3:11" x14ac:dyDescent="0.25">
      <c r="C50" s="15"/>
      <c r="D50" s="4"/>
      <c r="E50" s="4"/>
      <c r="F50" s="4"/>
      <c r="G50" s="4"/>
      <c r="H50" s="4"/>
      <c r="I50" s="4"/>
      <c r="J50" s="4"/>
      <c r="K50" s="9"/>
    </row>
    <row r="51" spans="3:11" ht="18.75" x14ac:dyDescent="0.25">
      <c r="C51" s="15"/>
      <c r="D51" s="113" t="s">
        <v>47</v>
      </c>
      <c r="E51" s="113"/>
      <c r="F51" s="113"/>
      <c r="G51" s="4"/>
      <c r="H51" s="4"/>
      <c r="I51" s="4"/>
      <c r="J51" s="4"/>
      <c r="K51" s="9"/>
    </row>
    <row r="52" spans="3:11" ht="9.75" customHeight="1" x14ac:dyDescent="0.25">
      <c r="C52" s="15"/>
      <c r="D52" s="4"/>
      <c r="E52" s="4"/>
      <c r="F52" s="4"/>
      <c r="G52" s="4"/>
      <c r="H52" s="4"/>
      <c r="I52" s="4"/>
      <c r="J52" s="4"/>
      <c r="K52" s="9"/>
    </row>
    <row r="53" spans="3:11" ht="30" x14ac:dyDescent="0.25">
      <c r="C53" s="15"/>
      <c r="D53" s="52" t="str">
        <f>+J43</f>
        <v>Gratificación Completa</v>
      </c>
      <c r="E53" s="52"/>
      <c r="F53" s="4"/>
      <c r="G53" s="52" t="str">
        <f>+J48</f>
        <v>Monto a descontar</v>
      </c>
      <c r="H53" s="4"/>
      <c r="I53" s="4"/>
      <c r="J53" s="61" t="s">
        <v>46</v>
      </c>
      <c r="K53" s="9"/>
    </row>
    <row r="54" spans="3:11" x14ac:dyDescent="0.25">
      <c r="C54" s="15"/>
      <c r="D54" s="53">
        <f>+J44</f>
        <v>1473.1666666666667</v>
      </c>
      <c r="E54" s="57" t="s">
        <v>51</v>
      </c>
      <c r="F54" s="4"/>
      <c r="G54" s="53">
        <f>J49</f>
        <v>16.36851851851852</v>
      </c>
      <c r="H54" s="4"/>
      <c r="I54" s="50" t="s">
        <v>40</v>
      </c>
      <c r="J54" s="62">
        <f>+D54-G54</f>
        <v>1456.7981481481481</v>
      </c>
      <c r="K54" s="9"/>
    </row>
    <row r="55" spans="3:11" x14ac:dyDescent="0.25">
      <c r="C55" s="15"/>
      <c r="D55" s="4"/>
      <c r="E55" s="4"/>
      <c r="F55" s="4"/>
      <c r="G55" s="4"/>
      <c r="H55" s="4"/>
      <c r="I55" s="4"/>
      <c r="J55" s="4"/>
      <c r="K55" s="9"/>
    </row>
    <row r="56" spans="3:11" x14ac:dyDescent="0.25">
      <c r="C56" s="15"/>
      <c r="D56" s="4"/>
      <c r="E56" s="4"/>
      <c r="F56" s="4"/>
      <c r="G56" s="4"/>
      <c r="H56" s="4"/>
      <c r="I56" s="4"/>
      <c r="J56" s="4"/>
      <c r="K56" s="9"/>
    </row>
    <row r="57" spans="3:11" ht="18.75" x14ac:dyDescent="0.25">
      <c r="C57" s="15"/>
      <c r="D57" s="113" t="s">
        <v>49</v>
      </c>
      <c r="E57" s="113"/>
      <c r="F57" s="113"/>
      <c r="G57" s="4"/>
      <c r="H57" s="4"/>
      <c r="I57" s="4"/>
      <c r="J57" s="4"/>
      <c r="K57" s="9"/>
    </row>
    <row r="58" spans="3:11" ht="9.75" customHeight="1" x14ac:dyDescent="0.25">
      <c r="C58" s="15"/>
      <c r="D58" s="4"/>
      <c r="E58" s="4"/>
      <c r="F58" s="4"/>
      <c r="G58" s="4"/>
      <c r="H58" s="4"/>
      <c r="I58" s="4"/>
      <c r="J58" s="4"/>
      <c r="K58" s="9"/>
    </row>
    <row r="59" spans="3:11" x14ac:dyDescent="0.25">
      <c r="C59" s="15"/>
      <c r="D59" s="68" t="s">
        <v>50</v>
      </c>
      <c r="E59" s="4"/>
      <c r="F59" s="53">
        <f>+J54</f>
        <v>1456.7981481481481</v>
      </c>
      <c r="G59" s="50" t="s">
        <v>39</v>
      </c>
      <c r="H59" s="58">
        <f>IF(F8="ESSALUD",9%,6.75%)</f>
        <v>0.09</v>
      </c>
      <c r="I59" s="50" t="s">
        <v>40</v>
      </c>
      <c r="J59" s="64">
        <f>+F59*H59</f>
        <v>131.11183333333332</v>
      </c>
      <c r="K59" s="9"/>
    </row>
    <row r="60" spans="3:11" x14ac:dyDescent="0.25">
      <c r="C60" s="15"/>
      <c r="D60" s="4"/>
      <c r="E60" s="4"/>
      <c r="F60" s="4"/>
      <c r="G60" s="4"/>
      <c r="H60" s="4"/>
      <c r="I60" s="4"/>
      <c r="J60" s="4"/>
      <c r="K60" s="9"/>
    </row>
    <row r="61" spans="3:11" ht="15.75" thickBot="1" x14ac:dyDescent="0.3">
      <c r="C61" s="15"/>
      <c r="D61" s="4"/>
      <c r="E61" s="4"/>
      <c r="F61" s="4"/>
      <c r="G61" s="4"/>
      <c r="H61" s="4"/>
      <c r="I61" s="4"/>
      <c r="J61" s="4"/>
      <c r="K61" s="9"/>
    </row>
    <row r="62" spans="3:11" ht="19.5" thickBot="1" x14ac:dyDescent="0.3">
      <c r="C62" s="15"/>
      <c r="D62" s="114" t="s">
        <v>52</v>
      </c>
      <c r="E62" s="115"/>
      <c r="F62" s="116"/>
      <c r="G62" s="117">
        <f>+J54+J59</f>
        <v>1587.9099814814815</v>
      </c>
      <c r="H62" s="118"/>
      <c r="I62" s="118"/>
      <c r="J62" s="119"/>
      <c r="K62" s="9"/>
    </row>
    <row r="63" spans="3:11" ht="15.75" thickBot="1" x14ac:dyDescent="0.3">
      <c r="C63" s="14"/>
      <c r="D63" s="10"/>
      <c r="E63" s="10"/>
      <c r="F63" s="10"/>
      <c r="G63" s="10"/>
      <c r="H63" s="10"/>
      <c r="I63" s="10"/>
      <c r="J63" s="10"/>
      <c r="K63" s="11"/>
    </row>
    <row r="65" spans="3:6" x14ac:dyDescent="0.25">
      <c r="C65" s="71" t="s">
        <v>55</v>
      </c>
      <c r="F65" s="72" t="s">
        <v>54</v>
      </c>
    </row>
  </sheetData>
  <mergeCells count="28">
    <mergeCell ref="D41:F41"/>
    <mergeCell ref="N25:R25"/>
    <mergeCell ref="H24:J26"/>
    <mergeCell ref="N34:R36"/>
    <mergeCell ref="G33:H33"/>
    <mergeCell ref="F35:H35"/>
    <mergeCell ref="D24:E26"/>
    <mergeCell ref="D27:E27"/>
    <mergeCell ref="D28:E28"/>
    <mergeCell ref="D29:E29"/>
    <mergeCell ref="D30:E30"/>
    <mergeCell ref="D31:E31"/>
    <mergeCell ref="D33:E33"/>
    <mergeCell ref="D35:E35"/>
    <mergeCell ref="D57:F57"/>
    <mergeCell ref="D51:F51"/>
    <mergeCell ref="D62:F62"/>
    <mergeCell ref="G62:J62"/>
    <mergeCell ref="D46:F46"/>
    <mergeCell ref="C23:E23"/>
    <mergeCell ref="C39:E39"/>
    <mergeCell ref="C2:K2"/>
    <mergeCell ref="C4:E4"/>
    <mergeCell ref="C11:E11"/>
    <mergeCell ref="G13:H13"/>
    <mergeCell ref="H15:H16"/>
    <mergeCell ref="F3:K4"/>
    <mergeCell ref="H17:J18"/>
  </mergeCells>
  <conditionalFormatting sqref="F14:F19">
    <cfRule type="expression" dxfId="3" priority="1">
      <formula>AND(F14&lt;&gt;"✓")</formula>
    </cfRule>
    <cfRule type="expression" dxfId="2" priority="2">
      <formula>AND(F14="✓")</formula>
    </cfRule>
  </conditionalFormatting>
  <dataValidations count="4">
    <dataValidation type="date" allowBlank="1" showInputMessage="1" showErrorMessage="1" errorTitle="FECHA SUPERA A PERIODO COMPUTABL" error="La fecha de ingreso no puede superar a la fecha del periodo computable 30/06" sqref="F6:F7">
      <formula1>DATE(1936,1,1)</formula1>
      <formula2>DATE(A1,6,30)</formula2>
    </dataValidation>
    <dataValidation type="date" allowBlank="1" showInputMessage="1" showErrorMessage="1" errorTitle="ERROR EN LA FECHA DE CESE" error="Solo considere este dato, si usted ha dejado de trabajar entre el 01/01 y el 30/06, caso contrario dejar este campo vacío." sqref="I6 I8">
      <formula1>DATE(A1,1,1)</formula1>
      <formula2>DATE(A1,6,30)</formula2>
    </dataValidation>
    <dataValidation type="list" allowBlank="1" showInputMessage="1" showErrorMessage="1" sqref="F8">
      <formula1>"ESSALUD, EPS"</formula1>
    </dataValidation>
    <dataValidation type="list" allowBlank="1" showInputMessage="1" showErrorMessage="1" sqref="A1">
      <formula1>"2016,2017,2018,2019"</formula1>
    </dataValidation>
  </dataValidations>
  <hyperlinks>
    <hyperlink ref="F65" r:id="rId1"/>
  </hyperlinks>
  <pageMargins left="0.7" right="0.7" top="0.75" bottom="0.75" header="0.3" footer="0.3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S67"/>
  <sheetViews>
    <sheetView showGridLines="0" workbookViewId="0">
      <selection activeCell="F7" sqref="F7"/>
    </sheetView>
  </sheetViews>
  <sheetFormatPr baseColWidth="10" defaultRowHeight="15" x14ac:dyDescent="0.25"/>
  <cols>
    <col min="2" max="2" width="5" customWidth="1"/>
    <col min="3" max="3" width="1.7109375" customWidth="1"/>
    <col min="4" max="4" width="13.7109375" customWidth="1"/>
    <col min="5" max="5" width="22" customWidth="1"/>
    <col min="6" max="6" width="16.5703125" customWidth="1"/>
    <col min="7" max="7" width="11.85546875" bestFit="1" customWidth="1"/>
    <col min="8" max="8" width="19.28515625" customWidth="1"/>
    <col min="9" max="9" width="11.85546875" bestFit="1" customWidth="1"/>
    <col min="10" max="10" width="13.28515625" customWidth="1"/>
    <col min="11" max="11" width="2.42578125" customWidth="1"/>
    <col min="12" max="12" width="2.85546875" customWidth="1"/>
    <col min="13" max="13" width="2.140625" customWidth="1"/>
    <col min="14" max="14" width="14.5703125" customWidth="1"/>
    <col min="15" max="15" width="12.140625" customWidth="1"/>
    <col min="19" max="19" width="1.7109375" customWidth="1"/>
  </cols>
  <sheetData>
    <row r="1" spans="1:16" ht="18.75" x14ac:dyDescent="0.25">
      <c r="A1" s="69">
        <v>2019</v>
      </c>
      <c r="C1" s="71"/>
      <c r="F1" s="72"/>
    </row>
    <row r="2" spans="1:16" ht="26.25" x14ac:dyDescent="0.25">
      <c r="C2" s="104" t="str">
        <f>+"CALCULO GRATIFICACIÓN POR FIESTAS PATRIAS " &amp; A1</f>
        <v>CALCULO GRATIFICACIÓN POR FIESTAS PATRIAS 2019</v>
      </c>
      <c r="D2" s="105"/>
      <c r="E2" s="105"/>
      <c r="F2" s="105"/>
      <c r="G2" s="105"/>
      <c r="H2" s="105"/>
      <c r="I2" s="105"/>
      <c r="J2" s="105"/>
      <c r="K2" s="106"/>
      <c r="L2" s="13"/>
    </row>
    <row r="3" spans="1:16" ht="12.75" customHeight="1" x14ac:dyDescent="0.25">
      <c r="D3" s="60"/>
      <c r="E3" s="13"/>
      <c r="F3" s="136" t="s">
        <v>57</v>
      </c>
      <c r="G3" s="136"/>
      <c r="H3" s="136"/>
      <c r="I3" s="136"/>
      <c r="J3" s="136"/>
      <c r="K3" s="136"/>
      <c r="L3" s="13"/>
    </row>
    <row r="4" spans="1:16" s="1" customFormat="1" ht="27" thickBot="1" x14ac:dyDescent="0.3">
      <c r="B4" s="12" t="s">
        <v>4</v>
      </c>
      <c r="C4" s="102" t="s">
        <v>3</v>
      </c>
      <c r="D4" s="102"/>
      <c r="E4" s="102"/>
      <c r="F4" s="137"/>
      <c r="G4" s="137"/>
      <c r="H4" s="137"/>
      <c r="I4" s="137"/>
      <c r="J4" s="137"/>
      <c r="K4" s="137"/>
      <c r="L4" s="5"/>
      <c r="M4"/>
      <c r="N4"/>
      <c r="O4"/>
      <c r="P4"/>
    </row>
    <row r="5" spans="1:16" ht="15" customHeight="1" x14ac:dyDescent="0.25">
      <c r="B5" s="9"/>
      <c r="D5" s="6"/>
      <c r="E5" s="6"/>
      <c r="F5" s="6"/>
      <c r="G5" s="6"/>
      <c r="H5" s="6"/>
      <c r="I5" s="6"/>
      <c r="J5" s="6"/>
      <c r="K5" s="7"/>
      <c r="L5" s="4"/>
    </row>
    <row r="6" spans="1:16" x14ac:dyDescent="0.25">
      <c r="B6" s="9"/>
      <c r="D6" s="4"/>
      <c r="E6" s="8" t="s">
        <v>2</v>
      </c>
      <c r="F6" s="24">
        <v>43539</v>
      </c>
      <c r="G6" s="4"/>
      <c r="H6" s="8" t="s">
        <v>0</v>
      </c>
      <c r="I6" s="26"/>
      <c r="J6" s="4"/>
      <c r="K6" s="9"/>
      <c r="L6" s="4"/>
      <c r="M6" s="1"/>
      <c r="N6" s="70"/>
      <c r="O6" s="1"/>
      <c r="P6" s="1"/>
    </row>
    <row r="7" spans="1:16" x14ac:dyDescent="0.25">
      <c r="B7" s="9"/>
      <c r="D7" s="4"/>
      <c r="E7" s="8"/>
      <c r="F7" s="3"/>
      <c r="G7" s="4"/>
      <c r="H7" s="4"/>
      <c r="I7" s="4"/>
      <c r="J7" s="4"/>
      <c r="K7" s="9"/>
      <c r="L7" s="4"/>
      <c r="M7" s="1"/>
      <c r="N7" s="70"/>
      <c r="O7" s="1"/>
      <c r="P7" s="1"/>
    </row>
    <row r="8" spans="1:16" x14ac:dyDescent="0.25">
      <c r="B8" s="9"/>
      <c r="D8" s="4"/>
      <c r="E8" s="8" t="s">
        <v>5</v>
      </c>
      <c r="F8" s="25" t="s">
        <v>62</v>
      </c>
      <c r="H8" s="8" t="s">
        <v>7</v>
      </c>
      <c r="I8" s="55">
        <v>2</v>
      </c>
      <c r="J8" s="4"/>
      <c r="K8" s="9"/>
      <c r="L8" s="4"/>
      <c r="M8" s="1"/>
      <c r="N8" s="1"/>
      <c r="O8" s="1"/>
      <c r="P8" s="1"/>
    </row>
    <row r="9" spans="1:16" ht="15.75" thickBot="1" x14ac:dyDescent="0.3">
      <c r="B9" s="9"/>
      <c r="C9" s="14"/>
      <c r="D9" s="10"/>
      <c r="E9" s="10"/>
      <c r="F9" s="10"/>
      <c r="G9" s="10"/>
      <c r="H9" s="10"/>
      <c r="I9" s="10"/>
      <c r="J9" s="10"/>
      <c r="K9" s="11"/>
      <c r="L9" s="4"/>
      <c r="M9" s="1"/>
      <c r="N9" s="1"/>
      <c r="O9" s="1"/>
      <c r="P9" s="1"/>
    </row>
    <row r="10" spans="1:16" x14ac:dyDescent="0.25">
      <c r="B10" s="4"/>
      <c r="D10" s="4"/>
      <c r="E10" s="2"/>
    </row>
    <row r="11" spans="1:16" ht="21.75" thickBot="1" x14ac:dyDescent="0.3">
      <c r="B11" s="18" t="s">
        <v>8</v>
      </c>
      <c r="C11" s="101" t="s">
        <v>9</v>
      </c>
      <c r="D11" s="102"/>
      <c r="E11" s="103"/>
      <c r="F11" s="22" t="s">
        <v>53</v>
      </c>
      <c r="G11" s="33">
        <f>+IF($F$6&lt;DATE(A1,1,1),DATE(A1,1,1),F6)</f>
        <v>43539</v>
      </c>
      <c r="H11" s="22" t="s">
        <v>12</v>
      </c>
      <c r="I11" s="33">
        <f>IF(I6="",DATE(A1,6,30),I6)</f>
        <v>43646</v>
      </c>
    </row>
    <row r="12" spans="1:16" ht="21" x14ac:dyDescent="0.25">
      <c r="B12" s="17"/>
      <c r="C12" s="15"/>
      <c r="D12" s="59" t="s">
        <v>10</v>
      </c>
      <c r="E12" s="19"/>
      <c r="F12" s="20"/>
      <c r="G12" s="6"/>
      <c r="H12" s="6"/>
      <c r="I12" s="65"/>
      <c r="J12" s="65"/>
      <c r="K12" s="7"/>
      <c r="L12" s="4"/>
    </row>
    <row r="13" spans="1:16" ht="31.5" customHeight="1" x14ac:dyDescent="0.25">
      <c r="B13" s="4"/>
      <c r="C13" s="15"/>
      <c r="D13" s="16" t="s">
        <v>1</v>
      </c>
      <c r="E13" s="16" t="s">
        <v>11</v>
      </c>
      <c r="F13" s="80" t="s">
        <v>58</v>
      </c>
      <c r="G13" s="77"/>
      <c r="H13" s="140" t="s">
        <v>61</v>
      </c>
      <c r="I13" s="140"/>
      <c r="J13" s="66"/>
      <c r="K13" s="9"/>
      <c r="L13" s="21"/>
    </row>
    <row r="14" spans="1:16" ht="15" customHeight="1" x14ac:dyDescent="0.25">
      <c r="C14" s="15"/>
      <c r="D14" s="51">
        <f t="shared" ref="D14:D19" si="0">EOMONTH(DATE($A$1,ROW(A1),1),0)</f>
        <v>43496</v>
      </c>
      <c r="E14" s="34">
        <f t="shared" ref="E14:E19" si="1">IF(OR(MONTH($G$11)&gt;MONTH(D14),MONTH($I$11)&lt;MONTH(D14)),0,IF(AND(MONTH($G$11)=MONTH($I$11),MONTH($G$11)=MONTH(D14),MONTH($I$11)=MONTH(D14)),DAY($I$6)-DAY($F$6)+1,IF(MONTH($G$11)=MONTH(D14),30-DAY($G$11)+1,IF(MONTH($I$11)=MONTH(D14),DAY($I$11),30))))</f>
        <v>0</v>
      </c>
      <c r="F14" s="78">
        <v>1200</v>
      </c>
      <c r="G14" s="85" t="str">
        <f t="shared" ref="G14:G19" si="2">IF(E14&gt;=30,"✓","X")</f>
        <v>X</v>
      </c>
      <c r="H14" s="141">
        <f>+F20/E20</f>
        <v>108.86792452830188</v>
      </c>
      <c r="I14" s="141"/>
      <c r="J14" s="4"/>
      <c r="K14" s="9"/>
      <c r="L14" s="4"/>
    </row>
    <row r="15" spans="1:16" x14ac:dyDescent="0.25">
      <c r="C15" s="15"/>
      <c r="D15" s="51">
        <f t="shared" si="0"/>
        <v>43524</v>
      </c>
      <c r="E15" s="34">
        <f t="shared" si="1"/>
        <v>0</v>
      </c>
      <c r="F15" s="78">
        <v>1300</v>
      </c>
      <c r="G15" s="85" t="str">
        <f t="shared" si="2"/>
        <v>X</v>
      </c>
      <c r="H15" s="79" t="str">
        <f>"(Rem. Total "&amp;TEXT(F20,"#,##0.00")&amp;" / "&amp;E20&amp;" Total días)"</f>
        <v>(Rem. Total 11,540.00 / 106 Total días)</v>
      </c>
      <c r="J15" s="4"/>
      <c r="K15" s="9"/>
      <c r="L15" s="4"/>
      <c r="O15" s="4"/>
    </row>
    <row r="16" spans="1:16" x14ac:dyDescent="0.25">
      <c r="C16" s="15"/>
      <c r="D16" s="51">
        <f t="shared" si="0"/>
        <v>43555</v>
      </c>
      <c r="E16" s="34">
        <f t="shared" si="1"/>
        <v>16</v>
      </c>
      <c r="F16" s="78">
        <v>1400</v>
      </c>
      <c r="G16" s="85" t="str">
        <f t="shared" si="2"/>
        <v>X</v>
      </c>
      <c r="J16" s="4"/>
      <c r="K16" s="9"/>
      <c r="L16" s="4"/>
    </row>
    <row r="17" spans="2:19" x14ac:dyDescent="0.25">
      <c r="C17" s="15"/>
      <c r="D17" s="51">
        <f t="shared" si="0"/>
        <v>43585</v>
      </c>
      <c r="E17" s="34">
        <f t="shared" si="1"/>
        <v>30</v>
      </c>
      <c r="F17" s="78">
        <v>2100</v>
      </c>
      <c r="G17" s="85" t="str">
        <f t="shared" si="2"/>
        <v>✓</v>
      </c>
      <c r="H17" s="140" t="s">
        <v>35</v>
      </c>
      <c r="I17" s="140"/>
      <c r="J17" s="4"/>
      <c r="K17" s="9"/>
      <c r="L17" s="4"/>
      <c r="O17" s="4"/>
    </row>
    <row r="18" spans="2:19" ht="15" customHeight="1" x14ac:dyDescent="0.25">
      <c r="C18" s="15"/>
      <c r="D18" s="51">
        <f t="shared" si="0"/>
        <v>43616</v>
      </c>
      <c r="E18" s="34">
        <f t="shared" si="1"/>
        <v>30</v>
      </c>
      <c r="F18" s="78">
        <v>2300</v>
      </c>
      <c r="G18" s="85" t="str">
        <f t="shared" si="2"/>
        <v>✓</v>
      </c>
      <c r="H18" s="141">
        <f>+H14*30</f>
        <v>3266.0377358490564</v>
      </c>
      <c r="I18" s="141"/>
      <c r="J18" s="67"/>
      <c r="K18" s="9"/>
      <c r="L18" s="4"/>
    </row>
    <row r="19" spans="2:19" ht="15" customHeight="1" x14ac:dyDescent="0.25">
      <c r="C19" s="15"/>
      <c r="D19" s="51">
        <f t="shared" si="0"/>
        <v>43646</v>
      </c>
      <c r="E19" s="34">
        <f t="shared" si="1"/>
        <v>30</v>
      </c>
      <c r="F19" s="78">
        <v>3240</v>
      </c>
      <c r="G19" s="85" t="str">
        <f t="shared" si="2"/>
        <v>✓</v>
      </c>
      <c r="H19" s="79" t="str">
        <f>"(Promedio diario "&amp;TEXT(H14,"#,##0.00")&amp;" x "&amp;" 30 días)"</f>
        <v>(Promedio diario 108.87 x  30 días)</v>
      </c>
      <c r="I19" s="67"/>
      <c r="J19" s="67"/>
      <c r="K19" s="9"/>
      <c r="L19" s="4"/>
    </row>
    <row r="20" spans="2:19" ht="15" customHeight="1" x14ac:dyDescent="0.25">
      <c r="C20" s="15"/>
      <c r="D20" s="73" t="s">
        <v>59</v>
      </c>
      <c r="E20" s="76">
        <f>SUM(E14:E19)</f>
        <v>106</v>
      </c>
      <c r="F20" s="81">
        <f>SUM(F14:F19)</f>
        <v>11540</v>
      </c>
      <c r="G20" s="84"/>
      <c r="I20" s="67"/>
      <c r="J20" s="67"/>
      <c r="K20" s="9"/>
      <c r="L20" s="4"/>
      <c r="O20" s="74"/>
    </row>
    <row r="21" spans="2:19" ht="15" customHeight="1" x14ac:dyDescent="0.25">
      <c r="C21" s="15"/>
      <c r="D21" s="73"/>
      <c r="E21" s="75"/>
      <c r="F21" s="4"/>
      <c r="G21" s="138" t="str">
        <f>COUNTIF($G$14:$G$19,"✓")&amp;" Meses"</f>
        <v>3 Meses</v>
      </c>
      <c r="H21" s="4"/>
      <c r="I21" s="67"/>
      <c r="J21" s="4"/>
      <c r="K21" s="9"/>
      <c r="L21" s="4"/>
      <c r="M21" s="21"/>
      <c r="O21" s="74"/>
    </row>
    <row r="22" spans="2:19" ht="15.75" thickBot="1" x14ac:dyDescent="0.3">
      <c r="C22" s="14"/>
      <c r="D22" s="10"/>
      <c r="E22" s="10"/>
      <c r="F22" s="10"/>
      <c r="G22" s="139"/>
      <c r="H22" s="10"/>
      <c r="I22" s="10"/>
      <c r="J22" s="10"/>
      <c r="K22" s="11"/>
      <c r="L22" s="4"/>
    </row>
    <row r="25" spans="2:19" ht="21.75" thickBot="1" x14ac:dyDescent="0.3">
      <c r="B25" s="18" t="s">
        <v>32</v>
      </c>
      <c r="C25" s="101" t="s">
        <v>21</v>
      </c>
      <c r="D25" s="102"/>
      <c r="E25" s="103"/>
    </row>
    <row r="26" spans="2:19" ht="15.75" x14ac:dyDescent="0.25">
      <c r="C26" s="15"/>
      <c r="D26" s="132" t="s">
        <v>13</v>
      </c>
      <c r="E26" s="132"/>
      <c r="F26" s="6"/>
      <c r="G26" s="6"/>
      <c r="H26" s="122" t="s">
        <v>27</v>
      </c>
      <c r="I26" s="122"/>
      <c r="J26" s="122"/>
      <c r="K26" s="7"/>
      <c r="L26" s="36"/>
      <c r="M26" s="37"/>
      <c r="N26" s="38"/>
      <c r="O26" s="38"/>
      <c r="P26" s="38"/>
      <c r="Q26" s="38"/>
      <c r="R26" s="38"/>
      <c r="S26" s="39"/>
    </row>
    <row r="27" spans="2:19" ht="15.75" customHeight="1" x14ac:dyDescent="0.25">
      <c r="C27" s="15"/>
      <c r="D27" s="133"/>
      <c r="E27" s="133"/>
      <c r="F27" s="4"/>
      <c r="G27" s="4"/>
      <c r="H27" s="123"/>
      <c r="I27" s="123"/>
      <c r="J27" s="123"/>
      <c r="K27" s="9"/>
      <c r="L27" s="36"/>
      <c r="M27" s="40"/>
      <c r="N27" s="121" t="s">
        <v>30</v>
      </c>
      <c r="O27" s="121"/>
      <c r="P27" s="121"/>
      <c r="Q27" s="121"/>
      <c r="R27" s="121"/>
      <c r="S27" s="41"/>
    </row>
    <row r="28" spans="2:19" ht="19.5" customHeight="1" thickBot="1" x14ac:dyDescent="0.3">
      <c r="C28" s="15"/>
      <c r="D28" s="133"/>
      <c r="E28" s="133"/>
      <c r="F28" s="4"/>
      <c r="G28" s="4"/>
      <c r="H28" s="123"/>
      <c r="I28" s="123"/>
      <c r="J28" s="123"/>
      <c r="K28" s="9"/>
      <c r="L28" s="36"/>
      <c r="M28" s="40"/>
      <c r="N28" s="45" t="s">
        <v>28</v>
      </c>
      <c r="O28" s="46" t="s">
        <v>22</v>
      </c>
      <c r="P28" s="46" t="s">
        <v>23</v>
      </c>
      <c r="Q28" s="46" t="s">
        <v>24</v>
      </c>
      <c r="R28" s="47" t="s">
        <v>29</v>
      </c>
      <c r="S28" s="41"/>
    </row>
    <row r="29" spans="2:19" ht="15.75" thickBot="1" x14ac:dyDescent="0.3">
      <c r="C29" s="15"/>
      <c r="D29" s="134" t="s">
        <v>14</v>
      </c>
      <c r="E29" s="134"/>
      <c r="F29" s="83">
        <f>+H18</f>
        <v>3266.0377358490564</v>
      </c>
      <c r="G29" s="31"/>
      <c r="H29" s="32" t="s">
        <v>22</v>
      </c>
      <c r="I29" s="27">
        <f>+O35</f>
        <v>116.66666666666667</v>
      </c>
      <c r="J29" s="4"/>
      <c r="K29" s="9"/>
      <c r="L29" s="4"/>
      <c r="M29" s="40"/>
      <c r="N29" s="35" t="str">
        <f t="shared" ref="N29:N34" si="3">+"al " &amp; TEXT(D14,"dd/mm")&amp;"/"&amp;$A$1</f>
        <v>al 31/01/2019</v>
      </c>
      <c r="O29" s="28"/>
      <c r="P29" s="28"/>
      <c r="Q29" s="28"/>
      <c r="R29" s="28"/>
      <c r="S29" s="41"/>
    </row>
    <row r="30" spans="2:19" x14ac:dyDescent="0.25">
      <c r="C30" s="15"/>
      <c r="D30" s="134" t="s">
        <v>15</v>
      </c>
      <c r="E30" s="135"/>
      <c r="F30" s="82">
        <v>93</v>
      </c>
      <c r="G30" s="31"/>
      <c r="H30" s="32" t="s">
        <v>23</v>
      </c>
      <c r="I30" s="27">
        <f>+P35</f>
        <v>0</v>
      </c>
      <c r="J30" s="4"/>
      <c r="K30" s="9"/>
      <c r="L30" s="4"/>
      <c r="M30" s="40"/>
      <c r="N30" s="35" t="str">
        <f t="shared" si="3"/>
        <v>al 28/02/2019</v>
      </c>
      <c r="O30" s="28"/>
      <c r="P30" s="28"/>
      <c r="Q30" s="28"/>
      <c r="R30" s="28"/>
      <c r="S30" s="41"/>
    </row>
    <row r="31" spans="2:19" x14ac:dyDescent="0.25">
      <c r="C31" s="15"/>
      <c r="D31" s="134" t="s">
        <v>16</v>
      </c>
      <c r="E31" s="135"/>
      <c r="F31" s="23">
        <v>100</v>
      </c>
      <c r="G31" s="31"/>
      <c r="H31" s="32" t="s">
        <v>24</v>
      </c>
      <c r="I31" s="27">
        <f>+Q35</f>
        <v>0</v>
      </c>
      <c r="J31" s="4"/>
      <c r="K31" s="9"/>
      <c r="L31" s="4"/>
      <c r="M31" s="40"/>
      <c r="N31" s="35" t="str">
        <f t="shared" si="3"/>
        <v>al 31/03/2019</v>
      </c>
      <c r="O31" s="28">
        <v>200</v>
      </c>
      <c r="P31" s="28"/>
      <c r="Q31" s="28"/>
      <c r="R31" s="28"/>
      <c r="S31" s="41"/>
    </row>
    <row r="32" spans="2:19" x14ac:dyDescent="0.25">
      <c r="C32" s="15"/>
      <c r="D32" s="134" t="s">
        <v>17</v>
      </c>
      <c r="E32" s="135"/>
      <c r="F32" s="23"/>
      <c r="G32" s="31"/>
      <c r="H32" s="32" t="s">
        <v>25</v>
      </c>
      <c r="I32" s="27">
        <f>+R35</f>
        <v>0</v>
      </c>
      <c r="J32" s="4"/>
      <c r="K32" s="9"/>
      <c r="L32" s="4"/>
      <c r="M32" s="40"/>
      <c r="N32" s="35" t="str">
        <f t="shared" si="3"/>
        <v>al 30/04/2019</v>
      </c>
      <c r="O32" s="28">
        <v>400</v>
      </c>
      <c r="P32" s="28"/>
      <c r="Q32" s="28"/>
      <c r="R32" s="28"/>
      <c r="S32" s="41"/>
    </row>
    <row r="33" spans="2:19" x14ac:dyDescent="0.25">
      <c r="C33" s="15"/>
      <c r="D33" s="134" t="s">
        <v>18</v>
      </c>
      <c r="E33" s="135"/>
      <c r="F33" s="23"/>
      <c r="G33" s="31"/>
      <c r="H33" s="31"/>
      <c r="I33" s="29"/>
      <c r="J33" s="4"/>
      <c r="K33" s="9"/>
      <c r="L33" s="4"/>
      <c r="M33" s="40"/>
      <c r="N33" s="35" t="str">
        <f t="shared" si="3"/>
        <v>al 31/05/2019</v>
      </c>
      <c r="O33" s="28">
        <v>100</v>
      </c>
      <c r="P33" s="28"/>
      <c r="Q33" s="28"/>
      <c r="R33" s="28"/>
      <c r="S33" s="41"/>
    </row>
    <row r="34" spans="2:19" x14ac:dyDescent="0.25">
      <c r="C34" s="15"/>
      <c r="D34" s="30"/>
      <c r="E34" s="30"/>
      <c r="F34" s="29"/>
      <c r="G34" s="31"/>
      <c r="H34" s="31"/>
      <c r="I34" s="29"/>
      <c r="J34" s="4"/>
      <c r="K34" s="9"/>
      <c r="L34" s="4"/>
      <c r="M34" s="40"/>
      <c r="N34" s="35" t="str">
        <f t="shared" si="3"/>
        <v>al 30/06/2019</v>
      </c>
      <c r="O34" s="28"/>
      <c r="P34" s="28"/>
      <c r="Q34" s="28"/>
      <c r="R34" s="28"/>
      <c r="S34" s="41"/>
    </row>
    <row r="35" spans="2:19" x14ac:dyDescent="0.25">
      <c r="C35" s="15"/>
      <c r="D35" s="134" t="s">
        <v>19</v>
      </c>
      <c r="E35" s="135"/>
      <c r="F35" s="27">
        <f>SUM(F29:F34)</f>
        <v>3459.0377358490564</v>
      </c>
      <c r="G35" s="127" t="s">
        <v>26</v>
      </c>
      <c r="H35" s="128"/>
      <c r="I35" s="27">
        <f>SUM(I29:I34)</f>
        <v>116.66666666666667</v>
      </c>
      <c r="J35" s="4"/>
      <c r="K35" s="9"/>
      <c r="L35" s="4"/>
      <c r="M35" s="40"/>
      <c r="N35" s="4"/>
      <c r="O35" s="27">
        <f>IF(--ISERROR(IF(COUNTIF(O29:O34,"&gt;"&amp;0)&gt;=3,SUM(O29:O34)/6,0))=0,IF(COUNTIF(O29:O34,"&gt;"&amp;0)&gt;=3,SUM(O29:O34)/6,0),0)</f>
        <v>116.66666666666667</v>
      </c>
      <c r="P35" s="27">
        <f>IF(--ISERROR(IF(COUNTIF(P29:P34,"&gt;"&amp;0)&gt;=3,SUM(P29:P34)/6,0))=0,IF(COUNTIF(P29:P34,"&gt;"&amp;0)&gt;=3,SUM(P29:P34)/6,0),0)</f>
        <v>0</v>
      </c>
      <c r="Q35" s="27">
        <f t="shared" ref="Q35:R35" si="4">IF(--ISERROR(IF(COUNTIF(Q29:Q34,"&gt;"&amp;0)&gt;=3,SUM(Q29:Q34)/6,0))=0,IF(COUNTIF(Q29:Q34,"&gt;"&amp;0)&gt;=3,SUM(Q29:Q34)/6,0),0)</f>
        <v>0</v>
      </c>
      <c r="R35" s="27">
        <f t="shared" si="4"/>
        <v>0</v>
      </c>
      <c r="S35" s="41"/>
    </row>
    <row r="36" spans="2:19" x14ac:dyDescent="0.25">
      <c r="C36" s="15"/>
      <c r="D36" s="44"/>
      <c r="E36" s="44"/>
      <c r="F36" s="29"/>
      <c r="G36" s="29"/>
      <c r="H36" s="29"/>
      <c r="I36" s="29"/>
      <c r="J36" s="4"/>
      <c r="K36" s="9"/>
      <c r="L36" s="4"/>
      <c r="M36" s="40"/>
      <c r="N36" s="124" t="s">
        <v>31</v>
      </c>
      <c r="O36" s="125"/>
      <c r="P36" s="125"/>
      <c r="Q36" s="125"/>
      <c r="R36" s="125"/>
      <c r="S36" s="41"/>
    </row>
    <row r="37" spans="2:19" x14ac:dyDescent="0.25">
      <c r="C37" s="15"/>
      <c r="D37" s="134" t="s">
        <v>20</v>
      </c>
      <c r="E37" s="135"/>
      <c r="F37" s="129">
        <f>+F35+I35</f>
        <v>3575.7044025157229</v>
      </c>
      <c r="G37" s="130"/>
      <c r="H37" s="131"/>
      <c r="I37" s="29"/>
      <c r="J37" s="4"/>
      <c r="K37" s="9"/>
      <c r="L37" s="4"/>
      <c r="M37" s="40"/>
      <c r="N37" s="125"/>
      <c r="O37" s="125"/>
      <c r="P37" s="125"/>
      <c r="Q37" s="125"/>
      <c r="R37" s="125"/>
      <c r="S37" s="41"/>
    </row>
    <row r="38" spans="2:19" ht="15.75" thickBot="1" x14ac:dyDescent="0.3">
      <c r="C38" s="14"/>
      <c r="D38" s="10"/>
      <c r="E38" s="10"/>
      <c r="F38" s="10"/>
      <c r="G38" s="10"/>
      <c r="H38" s="10"/>
      <c r="I38" s="10"/>
      <c r="J38" s="10"/>
      <c r="K38" s="11"/>
      <c r="L38" s="4"/>
      <c r="M38" s="42"/>
      <c r="N38" s="126"/>
      <c r="O38" s="126"/>
      <c r="P38" s="126"/>
      <c r="Q38" s="126"/>
      <c r="R38" s="126"/>
      <c r="S38" s="43"/>
    </row>
    <row r="41" spans="2:19" ht="21.75" thickBot="1" x14ac:dyDescent="0.3">
      <c r="B41" s="18" t="s">
        <v>33</v>
      </c>
      <c r="C41" s="101" t="s">
        <v>34</v>
      </c>
      <c r="D41" s="102"/>
      <c r="E41" s="103"/>
    </row>
    <row r="42" spans="2:19" x14ac:dyDescent="0.25">
      <c r="C42" s="15"/>
      <c r="D42" s="6"/>
      <c r="E42" s="6"/>
      <c r="F42" s="6"/>
      <c r="G42" s="6"/>
      <c r="H42" s="6"/>
      <c r="I42" s="6"/>
      <c r="J42" s="6"/>
      <c r="K42" s="7"/>
    </row>
    <row r="43" spans="2:19" ht="18.75" x14ac:dyDescent="0.25">
      <c r="C43" s="15"/>
      <c r="D43" s="113" t="s">
        <v>48</v>
      </c>
      <c r="E43" s="113"/>
      <c r="F43" s="113"/>
      <c r="G43" s="4"/>
      <c r="H43" s="4"/>
      <c r="I43" s="4"/>
      <c r="J43" s="4"/>
      <c r="K43" s="9"/>
    </row>
    <row r="44" spans="2:19" ht="9.75" customHeight="1" x14ac:dyDescent="0.25">
      <c r="C44" s="15"/>
      <c r="D44" s="4"/>
      <c r="E44" s="4"/>
      <c r="F44" s="4"/>
      <c r="G44" s="4"/>
      <c r="H44" s="4"/>
      <c r="I44" s="4"/>
      <c r="J44" s="4"/>
      <c r="K44" s="9"/>
    </row>
    <row r="45" spans="2:19" ht="30" x14ac:dyDescent="0.25">
      <c r="C45" s="15"/>
      <c r="D45" s="52" t="s">
        <v>35</v>
      </c>
      <c r="E45" s="48"/>
      <c r="F45" s="52" t="s">
        <v>36</v>
      </c>
      <c r="G45" s="48"/>
      <c r="H45" s="52" t="s">
        <v>37</v>
      </c>
      <c r="I45" s="48"/>
      <c r="J45" s="61" t="s">
        <v>38</v>
      </c>
      <c r="K45" s="9"/>
    </row>
    <row r="46" spans="2:19" x14ac:dyDescent="0.25">
      <c r="C46" s="15"/>
      <c r="D46" s="53">
        <f>+F37</f>
        <v>3575.7044025157229</v>
      </c>
      <c r="E46" s="49" t="s">
        <v>41</v>
      </c>
      <c r="F46" s="54">
        <v>6</v>
      </c>
      <c r="G46" s="50" t="s">
        <v>39</v>
      </c>
      <c r="H46" s="54">
        <f>ABS(MID(G21,1,1))</f>
        <v>3</v>
      </c>
      <c r="I46" s="50" t="s">
        <v>40</v>
      </c>
      <c r="J46" s="62">
        <f>+D46/F46*H46</f>
        <v>1787.8522012578615</v>
      </c>
      <c r="K46" s="9"/>
    </row>
    <row r="47" spans="2:19" x14ac:dyDescent="0.25">
      <c r="C47" s="15"/>
      <c r="D47" s="4"/>
      <c r="E47" s="4"/>
      <c r="F47" s="4"/>
      <c r="G47" s="4"/>
      <c r="H47" s="4"/>
      <c r="I47" s="4"/>
      <c r="J47" s="4"/>
      <c r="K47" s="9"/>
    </row>
    <row r="48" spans="2:19" ht="18.75" x14ac:dyDescent="0.25">
      <c r="C48" s="15"/>
      <c r="D48" s="120" t="s">
        <v>42</v>
      </c>
      <c r="E48" s="120"/>
      <c r="F48" s="120"/>
      <c r="G48" s="4"/>
      <c r="H48" s="4"/>
      <c r="I48" s="4"/>
      <c r="J48" s="4"/>
      <c r="K48" s="9"/>
    </row>
    <row r="49" spans="3:11" ht="9.75" customHeight="1" x14ac:dyDescent="0.25">
      <c r="C49" s="15"/>
      <c r="D49" s="4"/>
      <c r="E49" s="4"/>
      <c r="F49" s="4"/>
      <c r="G49" s="4"/>
      <c r="H49" s="4"/>
      <c r="I49" s="4"/>
      <c r="J49" s="4"/>
      <c r="K49" s="9"/>
    </row>
    <row r="50" spans="3:11" ht="30" x14ac:dyDescent="0.25">
      <c r="C50" s="15"/>
      <c r="D50" s="52" t="s">
        <v>43</v>
      </c>
      <c r="E50" s="52"/>
      <c r="F50" s="4"/>
      <c r="G50" s="52" t="s">
        <v>44</v>
      </c>
      <c r="H50" s="4"/>
      <c r="I50" s="4"/>
      <c r="J50" s="61" t="s">
        <v>45</v>
      </c>
      <c r="K50" s="9"/>
    </row>
    <row r="51" spans="3:11" x14ac:dyDescent="0.25">
      <c r="C51" s="15"/>
      <c r="D51" s="56">
        <f>+I8</f>
        <v>2</v>
      </c>
      <c r="E51" s="57" t="s">
        <v>39</v>
      </c>
      <c r="F51" s="4"/>
      <c r="G51" s="53">
        <f>+D46/F46/30</f>
        <v>19.865024458420685</v>
      </c>
      <c r="H51" s="4"/>
      <c r="I51" s="50" t="s">
        <v>40</v>
      </c>
      <c r="J51" s="63">
        <f>D51*G51</f>
        <v>39.730048916841369</v>
      </c>
      <c r="K51" s="9"/>
    </row>
    <row r="52" spans="3:11" x14ac:dyDescent="0.25">
      <c r="C52" s="15"/>
      <c r="D52" s="4"/>
      <c r="E52" s="4"/>
      <c r="F52" s="4"/>
      <c r="G52" s="4"/>
      <c r="H52" s="4"/>
      <c r="I52" s="4"/>
      <c r="J52" s="4"/>
      <c r="K52" s="9"/>
    </row>
    <row r="53" spans="3:11" ht="18.75" x14ac:dyDescent="0.25">
      <c r="C53" s="15"/>
      <c r="D53" s="113" t="s">
        <v>47</v>
      </c>
      <c r="E53" s="113"/>
      <c r="F53" s="113"/>
      <c r="G53" s="4"/>
      <c r="H53" s="4"/>
      <c r="I53" s="4"/>
      <c r="J53" s="4"/>
      <c r="K53" s="9"/>
    </row>
    <row r="54" spans="3:11" ht="9.75" customHeight="1" x14ac:dyDescent="0.25">
      <c r="C54" s="15"/>
      <c r="D54" s="4"/>
      <c r="E54" s="4"/>
      <c r="F54" s="4"/>
      <c r="G54" s="4"/>
      <c r="H54" s="4"/>
      <c r="I54" s="4"/>
      <c r="J54" s="4"/>
      <c r="K54" s="9"/>
    </row>
    <row r="55" spans="3:11" ht="30" x14ac:dyDescent="0.25">
      <c r="C55" s="15"/>
      <c r="D55" s="52" t="str">
        <f>+J45</f>
        <v>Gratificación Completa</v>
      </c>
      <c r="E55" s="52"/>
      <c r="F55" s="4"/>
      <c r="G55" s="52" t="str">
        <f>+J50</f>
        <v>Monto a descontar</v>
      </c>
      <c r="H55" s="4"/>
      <c r="I55" s="4"/>
      <c r="J55" s="61" t="s">
        <v>46</v>
      </c>
      <c r="K55" s="9"/>
    </row>
    <row r="56" spans="3:11" x14ac:dyDescent="0.25">
      <c r="C56" s="15"/>
      <c r="D56" s="53">
        <f>+J46</f>
        <v>1787.8522012578615</v>
      </c>
      <c r="E56" s="57" t="s">
        <v>51</v>
      </c>
      <c r="F56" s="4"/>
      <c r="G56" s="53">
        <f>J51</f>
        <v>39.730048916841369</v>
      </c>
      <c r="H56" s="4"/>
      <c r="I56" s="50" t="s">
        <v>40</v>
      </c>
      <c r="J56" s="62">
        <f>+D56-G56</f>
        <v>1748.1221523410202</v>
      </c>
      <c r="K56" s="9"/>
    </row>
    <row r="57" spans="3:11" x14ac:dyDescent="0.25">
      <c r="C57" s="15"/>
      <c r="D57" s="4"/>
      <c r="E57" s="4"/>
      <c r="F57" s="4"/>
      <c r="G57" s="4"/>
      <c r="H57" s="4"/>
      <c r="I57" s="4"/>
      <c r="J57" s="4"/>
      <c r="K57" s="9"/>
    </row>
    <row r="58" spans="3:11" x14ac:dyDescent="0.25">
      <c r="C58" s="15"/>
      <c r="D58" s="4"/>
      <c r="E58" s="4"/>
      <c r="F58" s="4"/>
      <c r="G58" s="4"/>
      <c r="H58" s="4"/>
      <c r="I58" s="4"/>
      <c r="J58" s="4"/>
      <c r="K58" s="9"/>
    </row>
    <row r="59" spans="3:11" ht="18.75" x14ac:dyDescent="0.25">
      <c r="C59" s="15"/>
      <c r="D59" s="113" t="s">
        <v>49</v>
      </c>
      <c r="E59" s="113"/>
      <c r="F59" s="113"/>
      <c r="G59" s="4"/>
      <c r="H59" s="4"/>
      <c r="I59" s="4"/>
      <c r="J59" s="4"/>
      <c r="K59" s="9"/>
    </row>
    <row r="60" spans="3:11" ht="9.75" customHeight="1" x14ac:dyDescent="0.25">
      <c r="C60" s="15"/>
      <c r="D60" s="4"/>
      <c r="E60" s="4"/>
      <c r="F60" s="4"/>
      <c r="G60" s="4"/>
      <c r="H60" s="4"/>
      <c r="I60" s="4"/>
      <c r="J60" s="4"/>
      <c r="K60" s="9"/>
    </row>
    <row r="61" spans="3:11" x14ac:dyDescent="0.25">
      <c r="C61" s="15"/>
      <c r="D61" s="68" t="s">
        <v>50</v>
      </c>
      <c r="E61" s="4"/>
      <c r="F61" s="53">
        <f>+J56</f>
        <v>1748.1221523410202</v>
      </c>
      <c r="G61" s="50" t="s">
        <v>39</v>
      </c>
      <c r="H61" s="58">
        <f>IF(F8="ESSALUD",9%,6.75%)</f>
        <v>6.7500000000000004E-2</v>
      </c>
      <c r="I61" s="50" t="s">
        <v>40</v>
      </c>
      <c r="J61" s="64">
        <f>+F61*H61</f>
        <v>117.99824528301887</v>
      </c>
      <c r="K61" s="9"/>
    </row>
    <row r="62" spans="3:11" x14ac:dyDescent="0.25">
      <c r="C62" s="15"/>
      <c r="D62" s="4"/>
      <c r="E62" s="4"/>
      <c r="F62" s="4"/>
      <c r="G62" s="4"/>
      <c r="H62" s="4"/>
      <c r="I62" s="4"/>
      <c r="J62" s="4"/>
      <c r="K62" s="9"/>
    </row>
    <row r="63" spans="3:11" ht="15.75" thickBot="1" x14ac:dyDescent="0.3">
      <c r="C63" s="15"/>
      <c r="D63" s="4"/>
      <c r="E63" s="4"/>
      <c r="F63" s="4"/>
      <c r="G63" s="4"/>
      <c r="H63" s="4"/>
      <c r="I63" s="4"/>
      <c r="J63" s="4"/>
      <c r="K63" s="9"/>
    </row>
    <row r="64" spans="3:11" ht="19.5" thickBot="1" x14ac:dyDescent="0.3">
      <c r="C64" s="15"/>
      <c r="D64" s="114" t="s">
        <v>52</v>
      </c>
      <c r="E64" s="115"/>
      <c r="F64" s="116"/>
      <c r="G64" s="117">
        <f>+J56+J61</f>
        <v>1866.120397624039</v>
      </c>
      <c r="H64" s="118"/>
      <c r="I64" s="118"/>
      <c r="J64" s="119"/>
      <c r="K64" s="9"/>
    </row>
    <row r="65" spans="3:11" ht="15.75" thickBot="1" x14ac:dyDescent="0.3">
      <c r="C65" s="14"/>
      <c r="D65" s="10"/>
      <c r="E65" s="10"/>
      <c r="F65" s="10"/>
      <c r="G65" s="10"/>
      <c r="H65" s="10"/>
      <c r="I65" s="10"/>
      <c r="J65" s="10"/>
      <c r="K65" s="11"/>
    </row>
    <row r="67" spans="3:11" x14ac:dyDescent="0.25">
      <c r="C67" s="71" t="s">
        <v>55</v>
      </c>
      <c r="F67" s="72" t="s">
        <v>54</v>
      </c>
    </row>
  </sheetData>
  <mergeCells count="30">
    <mergeCell ref="G64:J64"/>
    <mergeCell ref="H13:I13"/>
    <mergeCell ref="H14:I14"/>
    <mergeCell ref="H17:I17"/>
    <mergeCell ref="H18:I18"/>
    <mergeCell ref="G35:H35"/>
    <mergeCell ref="D64:F64"/>
    <mergeCell ref="D31:E31"/>
    <mergeCell ref="D32:E32"/>
    <mergeCell ref="D33:E33"/>
    <mergeCell ref="D35:E35"/>
    <mergeCell ref="C41:E41"/>
    <mergeCell ref="D43:F43"/>
    <mergeCell ref="D48:F48"/>
    <mergeCell ref="D53:F53"/>
    <mergeCell ref="D59:F59"/>
    <mergeCell ref="N36:R38"/>
    <mergeCell ref="D37:E37"/>
    <mergeCell ref="F37:H37"/>
    <mergeCell ref="C25:E25"/>
    <mergeCell ref="D26:E28"/>
    <mergeCell ref="H26:J28"/>
    <mergeCell ref="N27:R27"/>
    <mergeCell ref="D29:E29"/>
    <mergeCell ref="D30:E30"/>
    <mergeCell ref="C2:K2"/>
    <mergeCell ref="F3:K4"/>
    <mergeCell ref="C4:E4"/>
    <mergeCell ref="C11:E11"/>
    <mergeCell ref="G21:G22"/>
  </mergeCells>
  <conditionalFormatting sqref="M21 G14:G20">
    <cfRule type="expression" dxfId="1" priority="1">
      <formula>AND(G14&lt;&gt;"✓")</formula>
    </cfRule>
    <cfRule type="expression" dxfId="0" priority="2">
      <formula>AND(G14="✓")</formula>
    </cfRule>
  </conditionalFormatting>
  <dataValidations count="4">
    <dataValidation type="list" allowBlank="1" showInputMessage="1" showErrorMessage="1" sqref="A1">
      <formula1>"2016,2017,2018,2019"</formula1>
    </dataValidation>
    <dataValidation type="list" allowBlank="1" showInputMessage="1" showErrorMessage="1" sqref="F8">
      <formula1>"ESSALUD, EPS"</formula1>
    </dataValidation>
    <dataValidation type="date" allowBlank="1" showInputMessage="1" showErrorMessage="1" errorTitle="ERROR EN LA FECHA DE CESE" error="Solo considere este dato, si usted ha dejado de trabajar entre el 01/01 y el 30/06, caso contrario dejar este campo vacío." sqref="I6 I8">
      <formula1>DATE(A1,1,1)</formula1>
      <formula2>DATE(A1,6,30)</formula2>
    </dataValidation>
    <dataValidation type="date" allowBlank="1" showInputMessage="1" showErrorMessage="1" errorTitle="FECHA SUPERA A PERIODO COMPUTABL" error="La fecha de ingreso no puede superar a la fecha del periodo computable 30/06" sqref="F6:F7">
      <formula1>DATE(1936,1,1)</formula1>
      <formula2>DATE(A1,6,30)</formula2>
    </dataValidation>
  </dataValidations>
  <hyperlinks>
    <hyperlink ref="F67" r:id="rId1"/>
  </hyperlinks>
  <pageMargins left="0.7" right="0.7" top="0.75" bottom="0.75" header="0.3" footer="0.3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PRESENTACION</vt:lpstr>
      <vt:lpstr>GRATIFICACION JULIO - REM FIJA</vt:lpstr>
      <vt:lpstr>GRATIFICACION JULIO - REM VARIA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Gustavo;www.excelnegocios.com</dc:creator>
  <cp:lastModifiedBy>user</cp:lastModifiedBy>
  <dcterms:created xsi:type="dcterms:W3CDTF">2016-07-13T16:57:17Z</dcterms:created>
  <dcterms:modified xsi:type="dcterms:W3CDTF">2019-06-28T16:14:46Z</dcterms:modified>
</cp:coreProperties>
</file>