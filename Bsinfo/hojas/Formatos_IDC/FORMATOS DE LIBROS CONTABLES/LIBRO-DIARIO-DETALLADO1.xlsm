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ERU_CONTABLE\NUEVO PUBLICACION\"/>
    </mc:Choice>
  </mc:AlternateContent>
  <bookViews>
    <workbookView xWindow="120" yWindow="105" windowWidth="23715" windowHeight="9975"/>
  </bookViews>
  <sheets>
    <sheet name="DATOS" sheetId="4" r:id="rId1"/>
    <sheet name="PCGE" sheetId="2" r:id="rId2"/>
    <sheet name="DATA DIARIO " sheetId="3" r:id="rId3"/>
    <sheet name="LIBRO DIARIO PROESADO" sheetId="5" r:id="rId4"/>
    <sheet name="Diario Mensual" sheetId="7" r:id="rId5"/>
  </sheets>
  <externalReferences>
    <externalReference r:id="rId6"/>
  </externalReferences>
  <definedNames>
    <definedName name="CODIGODIARIO">[1]DIARIO!$J$9:$J$1048576</definedName>
    <definedName name="CODIGOSMV">[1]PCGE!$P$14:$P$2628</definedName>
    <definedName name="DEBEDIARIO">[1]DIARIO!$L$9:$L$1048576</definedName>
    <definedName name="distribucionderenta">'[1]APOYO-ASIENTO'!$B$5:$F$14</definedName>
    <definedName name="HABERDIARIO">[1]DIARIO!$M$9:$M$1048576</definedName>
    <definedName name="PCGE">[1]PCGE!$A$12:$B$2573</definedName>
    <definedName name="SALDOSPCGE">[1]PCGE!$S$14:$S$2628</definedName>
    <definedName name="_xlnm.Print_Titles" localSheetId="4">'Diario Mensual'!$1:$8</definedName>
  </definedNames>
  <calcPr calcId="162913"/>
</workbook>
</file>

<file path=xl/calcChain.xml><?xml version="1.0" encoding="utf-8"?>
<calcChain xmlns="http://schemas.openxmlformats.org/spreadsheetml/2006/main">
  <c r="K62" i="7" l="1"/>
  <c r="J62" i="7"/>
  <c r="I62" i="7"/>
  <c r="A5" i="7" l="1"/>
  <c r="A4" i="3" s="1"/>
  <c r="A3" i="7"/>
  <c r="A3" i="3" s="1"/>
  <c r="A1" i="7"/>
  <c r="A2" i="3" s="1"/>
</calcChain>
</file>

<file path=xl/sharedStrings.xml><?xml version="1.0" encoding="utf-8"?>
<sst xmlns="http://schemas.openxmlformats.org/spreadsheetml/2006/main" count="2687" uniqueCount="1117">
  <si>
    <t xml:space="preserve">PLAN CONTABLE GENERAL EMPRESARIAL </t>
  </si>
  <si>
    <t>CODIGO</t>
  </si>
  <si>
    <t>CUENTA</t>
  </si>
  <si>
    <t>1</t>
  </si>
  <si>
    <t>ACTIVO DISPONIBLE Y EXIGIBLE</t>
  </si>
  <si>
    <t>EFECTIVO Y EQUIVALENTES DE EFECTIVO</t>
  </si>
  <si>
    <t xml:space="preserve">Caja </t>
  </si>
  <si>
    <t>Caja en moneda nacional</t>
  </si>
  <si>
    <t>Dinero en efectivo - nuevos soles</t>
  </si>
  <si>
    <t>Fondos Fijos</t>
  </si>
  <si>
    <t>Efectivo en Tránsito</t>
  </si>
  <si>
    <t>Cuentas Corrientes en Instituciones Financieras</t>
  </si>
  <si>
    <t>Cuentas corrientes operativas</t>
  </si>
  <si>
    <t>Cuenta corriente banco DE CREDITO DEL PERU</t>
  </si>
  <si>
    <t>Banco CONTINENTAL</t>
  </si>
  <si>
    <t>Cuenta corriente banco SCOTIABANK PERU</t>
  </si>
  <si>
    <t>Cuenta corriente banco CONTINENTAL</t>
  </si>
  <si>
    <t>Cuenta corriente banco FINANCIERO DEL PERU</t>
  </si>
  <si>
    <t>Cuenta corriente banco AGROBANCO</t>
  </si>
  <si>
    <t>Cuentas corrientes para fines específicos</t>
  </si>
  <si>
    <t>Cuenta corriente de detracciones Banco de la Nación</t>
  </si>
  <si>
    <t>Otros Equivalentes de Efectivo</t>
  </si>
  <si>
    <t>Otros equivalentes de efectivo</t>
  </si>
  <si>
    <t>Depósitos en Instituciones Financieras</t>
  </si>
  <si>
    <t>Depósitos de ahorro</t>
  </si>
  <si>
    <t>Depósitos a plazo</t>
  </si>
  <si>
    <t>Fondos Sujetos a Restricción</t>
  </si>
  <si>
    <t>Fondos sujetos a restricción</t>
  </si>
  <si>
    <t>INVERSIONES FINANCIERAS</t>
  </si>
  <si>
    <t>Inversiones Mantenidas para Negociación</t>
  </si>
  <si>
    <t>Valores emitidos o garantizados por el estado</t>
  </si>
  <si>
    <t>Costo</t>
  </si>
  <si>
    <t>Valor razonable</t>
  </si>
  <si>
    <t>Valores emitidos por el sistema financiero</t>
  </si>
  <si>
    <t>Valores emitidos por empresas</t>
  </si>
  <si>
    <t>Otros títulos representativos de deuda</t>
  </si>
  <si>
    <t>Participaciones en entidades</t>
  </si>
  <si>
    <t>Inversiones Disponibles para la Venta</t>
  </si>
  <si>
    <t>Activos Financieros – Acuerdo de Compra</t>
  </si>
  <si>
    <t>Inversiones mantenidas para negociacion - acuerdo de compra</t>
  </si>
  <si>
    <t>Inversiones disponibles para la venta - acuerdo de compra</t>
  </si>
  <si>
    <t>CUENTAS POR COBRAR COMERCIALES – TERCEROS</t>
  </si>
  <si>
    <t>Facturas, Boletas y Otros Comprobantes por Cobrar</t>
  </si>
  <si>
    <t>No emitidas</t>
  </si>
  <si>
    <t>Emitidas en cartera</t>
  </si>
  <si>
    <t>Facturas por cobrar emitidas en cartera</t>
  </si>
  <si>
    <t>En cobranza</t>
  </si>
  <si>
    <t>En descuento</t>
  </si>
  <si>
    <t>Anticipos de Clientes</t>
  </si>
  <si>
    <t>Letras por Cobrar</t>
  </si>
  <si>
    <t>En cartera</t>
  </si>
  <si>
    <t>Letras por cobrar en cartera</t>
  </si>
  <si>
    <t>CUENTAS POR COBRAR COMERCIALES – RELACIONADAS</t>
  </si>
  <si>
    <t>Matriz</t>
  </si>
  <si>
    <t>Subsidiarias</t>
  </si>
  <si>
    <t>Asociadas</t>
  </si>
  <si>
    <t>Sucursales</t>
  </si>
  <si>
    <t>Otros</t>
  </si>
  <si>
    <t>Anticipos Recibidos</t>
  </si>
  <si>
    <t>Anticipos recibidos</t>
  </si>
  <si>
    <t>CUENTAS POR COBRAR AL PERSONAL, A LOS SOCIOS, DIRECTORES Y GERENTES</t>
  </si>
  <si>
    <t>Personal</t>
  </si>
  <si>
    <t>Préstamos</t>
  </si>
  <si>
    <t>Adelanto de remuneraciones</t>
  </si>
  <si>
    <t>Entregas a rendir cuenta</t>
  </si>
  <si>
    <t>Otras cuentas por cobrar al personal</t>
  </si>
  <si>
    <t>Accionistas</t>
  </si>
  <si>
    <t>Suscripciones por cobrar a accionistas</t>
  </si>
  <si>
    <t>Directores</t>
  </si>
  <si>
    <t>Adelanto de dietas</t>
  </si>
  <si>
    <t>Gerentes</t>
  </si>
  <si>
    <t>Adelanto de numeraciones</t>
  </si>
  <si>
    <t>Diversas</t>
  </si>
  <si>
    <t>CUENTAS POR COBRAR DIVERSAS - TERCEROS</t>
  </si>
  <si>
    <t>Con garantía</t>
  </si>
  <si>
    <t>Sin garantía</t>
  </si>
  <si>
    <t>Reclamaciones a Terceros</t>
  </si>
  <si>
    <t>Compañías aseguradoras</t>
  </si>
  <si>
    <t>Transportadoras</t>
  </si>
  <si>
    <t>Servicios públicos</t>
  </si>
  <si>
    <t>Tributos</t>
  </si>
  <si>
    <t>Otras</t>
  </si>
  <si>
    <t>Intereses, Regalías y Dividendos</t>
  </si>
  <si>
    <t>Intereses</t>
  </si>
  <si>
    <t>Regalías</t>
  </si>
  <si>
    <t>Dividendos</t>
  </si>
  <si>
    <t>Depósitos Otorgados en Garantía</t>
  </si>
  <si>
    <t>Préstamos de instituciones no financieras</t>
  </si>
  <si>
    <t>Préstamos de instituciones financieras</t>
  </si>
  <si>
    <t>Depósito en garantía por alquileres</t>
  </si>
  <si>
    <t>Otros depósitos en garantía</t>
  </si>
  <si>
    <t>Venta de Activo Inmovilizado</t>
  </si>
  <si>
    <t>Inversión mobiliaria</t>
  </si>
  <si>
    <t>Inversión inmobiliaria</t>
  </si>
  <si>
    <t>Inmuebles, maquinaria y equipo</t>
  </si>
  <si>
    <t>Venta de muebles y enseres</t>
  </si>
  <si>
    <t>Intangibles</t>
  </si>
  <si>
    <t>Activos biológicos</t>
  </si>
  <si>
    <t>Activos por Instrumentos Financieros Derivados</t>
  </si>
  <si>
    <t>Instrumentos financieros</t>
  </si>
  <si>
    <t>Instrumentos financieros derivados</t>
  </si>
  <si>
    <t>Cartera de negociación</t>
  </si>
  <si>
    <t>Instrumentos de cobertura</t>
  </si>
  <si>
    <t>Otras Cuentas por Cobrar Diversas</t>
  </si>
  <si>
    <t>Entregas a rendir cuenta a terceros</t>
  </si>
  <si>
    <t>Otras cuentas por cobrar diversas</t>
  </si>
  <si>
    <t>CUENTAS POR COBRAR DIVERSAS - RELACIONADAS</t>
  </si>
  <si>
    <t>Otrs cuentas por cobrar diversas</t>
  </si>
  <si>
    <t>SERVICIOS Y OTROS CONTRATADOS POR ANTICIPADO</t>
  </si>
  <si>
    <t>Costos Financieros</t>
  </si>
  <si>
    <t>Seguros</t>
  </si>
  <si>
    <t>Seguros contratados y/o pagados por anticipado</t>
  </si>
  <si>
    <t>Seguro contra incendio pagado por anticipado</t>
  </si>
  <si>
    <t>Seguro contra contra todo riesgo</t>
  </si>
  <si>
    <t>Seguro complementario de trabajo de riesgo</t>
  </si>
  <si>
    <t>Seguro de vida</t>
  </si>
  <si>
    <t>Seguro obligatorio contra accidentes de tránsito</t>
  </si>
  <si>
    <t>Alquileres</t>
  </si>
  <si>
    <t>Alquileres contratados y/o pagados por anticipado</t>
  </si>
  <si>
    <t>Alquiler de inmuebles pagados por anticipado</t>
  </si>
  <si>
    <t>Primas Pagadas por Opciones</t>
  </si>
  <si>
    <t>Mantenimiento de Activos Inmovilizados</t>
  </si>
  <si>
    <t>Otros Gastos Contratados por Anticipado</t>
  </si>
  <si>
    <t>Dominio anual página web</t>
  </si>
  <si>
    <t>Pagos a cuenta del impuesto a la renta</t>
  </si>
  <si>
    <t>ESTIMACIÓN DE CUENTAS DE COBRANZA DUDOSA</t>
  </si>
  <si>
    <t>Cuentas por Cobrar Comerciales - Terceros</t>
  </si>
  <si>
    <t>Facturas, boletas y otros comprobantes por cobrar</t>
  </si>
  <si>
    <t>Letras por cobrar</t>
  </si>
  <si>
    <t>Cuentas por Cobrar Comerciales - Relacionadas</t>
  </si>
  <si>
    <t>Cuentas por Cobrar al Personal, a los Socios, directores y gerentes</t>
  </si>
  <si>
    <t>Socios</t>
  </si>
  <si>
    <t>Cuentas por Cobrar Diversas- Terceros</t>
  </si>
  <si>
    <t>Reclamaciones a terceros</t>
  </si>
  <si>
    <t>Intereses regalias y dividendos</t>
  </si>
  <si>
    <t>Depósitos otorgados en garantía</t>
  </si>
  <si>
    <t>Venta de activo inmovilizado</t>
  </si>
  <si>
    <t>Activos por instrumentos financieros</t>
  </si>
  <si>
    <t>Cuentas por Cobrar Diversas - Relacionadas</t>
  </si>
  <si>
    <t>Intereses regalías y dividendos</t>
  </si>
  <si>
    <t>MERCADERÍAS</t>
  </si>
  <si>
    <t>Mercaderías Manufacturadas</t>
  </si>
  <si>
    <t>Mercaderías manufacturadas</t>
  </si>
  <si>
    <t>Costo de mercaderías manufacturadas</t>
  </si>
  <si>
    <t>Mercaderías de Extracción</t>
  </si>
  <si>
    <t>Mercaderías Agropecuarias y Piscícolas</t>
  </si>
  <si>
    <t>De origen animal</t>
  </si>
  <si>
    <t>De origen vegetal</t>
  </si>
  <si>
    <t>Mercaderías Inmuebles</t>
  </si>
  <si>
    <t>Otras mercaderías</t>
  </si>
  <si>
    <t>PRODUCTOS TERMINADOS</t>
  </si>
  <si>
    <t>Productos Manufacturados</t>
  </si>
  <si>
    <t>Productos de Extracción Terminados</t>
  </si>
  <si>
    <t>Cobre lixiviado</t>
  </si>
  <si>
    <t>concentrado de Cobre</t>
  </si>
  <si>
    <t>concentrado de Zinc</t>
  </si>
  <si>
    <t>concentrado de plomo</t>
  </si>
  <si>
    <t>Productos Agropecuarios y Piscícolas Terminados</t>
  </si>
  <si>
    <t>Productos Inmuebles</t>
  </si>
  <si>
    <t>Existencias de Servicios Terminados</t>
  </si>
  <si>
    <t>Otros Productos Terminados</t>
  </si>
  <si>
    <t>Costos de Financiación – Productos Terminados</t>
  </si>
  <si>
    <t>SUBPRODUCTOS, DESECHOS Y DESPERDICIOS</t>
  </si>
  <si>
    <t>Subproductos</t>
  </si>
  <si>
    <t>Desechos y Desperdicios</t>
  </si>
  <si>
    <t>PRODUCTOS EN PROCESO</t>
  </si>
  <si>
    <t>Productos en Proceso de Manufactura</t>
  </si>
  <si>
    <t>Productos Extraídos en Proceso de Transformación</t>
  </si>
  <si>
    <t>Productos Agropecuarios y Piscícolas en Proceso</t>
  </si>
  <si>
    <t>Productos Inmuebles en Proceso</t>
  </si>
  <si>
    <t>Existencias de Servicios en Proceso</t>
  </si>
  <si>
    <t>Otros Productos en Proceso</t>
  </si>
  <si>
    <t>Costos de Financiación – Productos en Proceso</t>
  </si>
  <si>
    <t>MATERIAS PRIMAS</t>
  </si>
  <si>
    <t>Materias Primas para Productos Manufacturados</t>
  </si>
  <si>
    <t>Materias Primas para Productos de Extracción</t>
  </si>
  <si>
    <t>Materias Primas para Productos Agropecuarios y Piscícolas</t>
  </si>
  <si>
    <t>Materias Primas para Productos Inmuebles</t>
  </si>
  <si>
    <t>MATERIALES AUXILIARES, SUMINISTROS Y REPUESTOS</t>
  </si>
  <si>
    <t>Materiales Auxiliares</t>
  </si>
  <si>
    <t>Suministros</t>
  </si>
  <si>
    <t>Combustibles</t>
  </si>
  <si>
    <t>Petroleo diesel 2</t>
  </si>
  <si>
    <t>Lubricantes</t>
  </si>
  <si>
    <t>aceites</t>
  </si>
  <si>
    <t>Energía</t>
  </si>
  <si>
    <t>Otros suministros</t>
  </si>
  <si>
    <t>Dinamita</t>
  </si>
  <si>
    <t>Repuestos</t>
  </si>
  <si>
    <t>transformadores</t>
  </si>
  <si>
    <t>bolas de acero</t>
  </si>
  <si>
    <t>planchas de acero</t>
  </si>
  <si>
    <t>madera</t>
  </si>
  <si>
    <t>llantas</t>
  </si>
  <si>
    <t>rodajes</t>
  </si>
  <si>
    <t>ENVASES Y EMBALAJES</t>
  </si>
  <si>
    <t>Envases</t>
  </si>
  <si>
    <t>Embalajes</t>
  </si>
  <si>
    <t>ACTIVOS NO CORRIENTES MANTENIDOS PARA LA VENTA</t>
  </si>
  <si>
    <t>Inversiones Inmobiliarias</t>
  </si>
  <si>
    <t>Terrenos</t>
  </si>
  <si>
    <t>Revaluación</t>
  </si>
  <si>
    <t>Edificaciones</t>
  </si>
  <si>
    <t>Costo de financiación</t>
  </si>
  <si>
    <t>Inmuebles, Maquinaria y Equipo</t>
  </si>
  <si>
    <t>Costo de adquisición o construcción</t>
  </si>
  <si>
    <t>Maquinarias y equipos de explotación</t>
  </si>
  <si>
    <t>Equipo de transporte</t>
  </si>
  <si>
    <t>Muebles y enseres</t>
  </si>
  <si>
    <t>Costo de muebles y enseres</t>
  </si>
  <si>
    <t>Equipos diversos</t>
  </si>
  <si>
    <t>Herramientas y unidades de reemplazo</t>
  </si>
  <si>
    <t>Concesiones, licencias y derechos</t>
  </si>
  <si>
    <t>Patentes y propiedad industrial</t>
  </si>
  <si>
    <t>Programas de computadora (software)</t>
  </si>
  <si>
    <t>Costo de exploración y desarrollo</t>
  </si>
  <si>
    <t>Fórmulas, diseños y prototipos</t>
  </si>
  <si>
    <t>Reservas de recursos extraíbles</t>
  </si>
  <si>
    <t>Otros activos intangibles</t>
  </si>
  <si>
    <t>Activos Biológicos</t>
  </si>
  <si>
    <t>Activos biológicos en producción</t>
  </si>
  <si>
    <t>Activos biológicos en desarrollo</t>
  </si>
  <si>
    <t>Depreciaion Acumulada - Inversión Inmobiliaria</t>
  </si>
  <si>
    <t>Depreciaion Acumulada - Inmueble  Maquinaria y Equipo</t>
  </si>
  <si>
    <t>Equipos de transporte</t>
  </si>
  <si>
    <t>Amortizacion Acumulada - Intangibles</t>
  </si>
  <si>
    <t>Costos de exploracion y desarrollo</t>
  </si>
  <si>
    <t>Reservas de recursos extraibles</t>
  </si>
  <si>
    <t>Otros activos</t>
  </si>
  <si>
    <t>Depreciacion Acumulada - Activos Biológicos</t>
  </si>
  <si>
    <t>Desvalorización Acumulada</t>
  </si>
  <si>
    <t>Costos de exploración y desarrollo</t>
  </si>
  <si>
    <t>Activos biológicos es desarrollo</t>
  </si>
  <si>
    <t>EXISTENCIAS POR RECIBIR</t>
  </si>
  <si>
    <t>Mercaderías</t>
  </si>
  <si>
    <t>Materias Primas</t>
  </si>
  <si>
    <t>Materiales Auxiliares, Suministros y Repuestos</t>
  </si>
  <si>
    <t>Envases y Embalajes</t>
  </si>
  <si>
    <t>DESVALORIZACIÓN DE EXISTENCIAS</t>
  </si>
  <si>
    <t>Mercaderías de extracción</t>
  </si>
  <si>
    <t>Mercaderías agropecuarias y piscícolas</t>
  </si>
  <si>
    <t>Mercaderías inmuebles</t>
  </si>
  <si>
    <t>Productos Terminados</t>
  </si>
  <si>
    <t>Productos manufacturados</t>
  </si>
  <si>
    <t>Productos de extracción terminados</t>
  </si>
  <si>
    <t>Productos agropecuarios y piscícolas terminados</t>
  </si>
  <si>
    <t>Productos inmuebles</t>
  </si>
  <si>
    <t>Existencias de servicios terminados</t>
  </si>
  <si>
    <t>Otros productos terminados</t>
  </si>
  <si>
    <t>Costos de financiación – productos terminados</t>
  </si>
  <si>
    <t>Subproductos, Desechos y Desperdicios</t>
  </si>
  <si>
    <t>Desechos y desperdicios</t>
  </si>
  <si>
    <t>Productos en Proceso</t>
  </si>
  <si>
    <t>Productos en proceso de manufactura</t>
  </si>
  <si>
    <t>Productos extraídos en proceso de transformación</t>
  </si>
  <si>
    <t>Productos agropecuarios y piscícolas en proceso</t>
  </si>
  <si>
    <t>Productos inmuebles en proceso</t>
  </si>
  <si>
    <t>Existencias de servicios en proceso</t>
  </si>
  <si>
    <t>Otros productos en proceso</t>
  </si>
  <si>
    <t>Costos de financiación – productos en proceso</t>
  </si>
  <si>
    <t>Materias primas para productos manufacturados</t>
  </si>
  <si>
    <t>Materias primas para productos de extracción</t>
  </si>
  <si>
    <t>Materias primas para productos agropecuarios y piscícolas</t>
  </si>
  <si>
    <t>Materias primas para productos inmuebles</t>
  </si>
  <si>
    <t>Materiales auxiliares</t>
  </si>
  <si>
    <t>Existencias por Recibir</t>
  </si>
  <si>
    <t>Materias primas</t>
  </si>
  <si>
    <t>Materiales auxiliares, suministros y repuestos</t>
  </si>
  <si>
    <t>Envases y embalajes</t>
  </si>
  <si>
    <t>INVERSIONES MOBILIARIAS</t>
  </si>
  <si>
    <t>Inversiones a ser Mantenidas Hasta el Vencimiento</t>
  </si>
  <si>
    <t>Instrumentos financieros representativos de deuda</t>
  </si>
  <si>
    <t>Valores emitidos por las empresas</t>
  </si>
  <si>
    <t>Instrumentos Financieros Representativos de Derecho Patrimonial</t>
  </si>
  <si>
    <t>Certificados de suscripción preferente</t>
  </si>
  <si>
    <t>Acciones representativas de capital social - comunes</t>
  </si>
  <si>
    <t>Participacion patrimonial</t>
  </si>
  <si>
    <t>Acciones representativas de capital social - preferentes</t>
  </si>
  <si>
    <t>Acciones de inversión</t>
  </si>
  <si>
    <t>Certificados de participación de fondos de inversión</t>
  </si>
  <si>
    <t>Certificado de participación en fondos mutuos</t>
  </si>
  <si>
    <t>Participaciones en asociaciones en participación y consorcios</t>
  </si>
  <si>
    <t>Participación patrimonial</t>
  </si>
  <si>
    <t>Otros títulos representativos de patrimonio</t>
  </si>
  <si>
    <t>Inversiones Mobiliarias - Acuerdo de Compra</t>
  </si>
  <si>
    <t>Inversiones a ser mantenidas hasta el vencimiento - acuerdo de compra</t>
  </si>
  <si>
    <t>Instrumentos financieros representativos de derecho patrimonial - acuerdo de compra</t>
  </si>
  <si>
    <t>INVERSIONES INMOBILIARIAS</t>
  </si>
  <si>
    <t>Urbanos</t>
  </si>
  <si>
    <t>Rurales</t>
  </si>
  <si>
    <t>Costos de financiación – inversiones inmobiliarias</t>
  </si>
  <si>
    <t>ACTIVOS ADQUIRIDOS EN ARRENDAMIENTO FINANCIERO</t>
  </si>
  <si>
    <t>INMUEBLES, MAQUINARIA Y EQUIPO</t>
  </si>
  <si>
    <t>campamentos - costo</t>
  </si>
  <si>
    <t>Edificaciones administrativas</t>
  </si>
  <si>
    <t>escuelas</t>
  </si>
  <si>
    <t>campamentos</t>
  </si>
  <si>
    <t>Costo de financiación - edificaciones</t>
  </si>
  <si>
    <t>Almacenes</t>
  </si>
  <si>
    <t>Costo de financiación - almacenes</t>
  </si>
  <si>
    <t>Edificaciones para producción</t>
  </si>
  <si>
    <t>Costo de adquisición o contrucción</t>
  </si>
  <si>
    <t>Costo de financiación – edificaciones para producción</t>
  </si>
  <si>
    <t>Instalaciones</t>
  </si>
  <si>
    <t>Costo de financiación – instalaciones</t>
  </si>
  <si>
    <t>Maquinarias y Equipos de Explotación</t>
  </si>
  <si>
    <t>ruedas pelton</t>
  </si>
  <si>
    <t>turbinas</t>
  </si>
  <si>
    <t>celdas de flotacion</t>
  </si>
  <si>
    <t>molinos</t>
  </si>
  <si>
    <t>fajas transportadoras</t>
  </si>
  <si>
    <t>camion bajo perfil y carros mineros</t>
  </si>
  <si>
    <t>cargador frontal</t>
  </si>
  <si>
    <t>Perforadoras</t>
  </si>
  <si>
    <t>Costo de financiación – maquinarias y equipos de explotación</t>
  </si>
  <si>
    <t>Equipo de Transporte</t>
  </si>
  <si>
    <t>Vehículos motorizados</t>
  </si>
  <si>
    <t>Costo de vehículos motorizados</t>
  </si>
  <si>
    <t>vehiculos ligeros</t>
  </si>
  <si>
    <t>Vehículos no motorizados</t>
  </si>
  <si>
    <t>Muebles y Enseres</t>
  </si>
  <si>
    <t>Muebles</t>
  </si>
  <si>
    <t>Costo de muebles</t>
  </si>
  <si>
    <t>Enseres</t>
  </si>
  <si>
    <t>Equipos Diversos</t>
  </si>
  <si>
    <t>Equipo para procesamiento de información (de cómputo)</t>
  </si>
  <si>
    <t>Costo de equipo para procesamiento de información</t>
  </si>
  <si>
    <t>Equipo de comunicación</t>
  </si>
  <si>
    <t>Costo equipo de comunicación</t>
  </si>
  <si>
    <t>Equipo de seguridad</t>
  </si>
  <si>
    <t>Otros equipos</t>
  </si>
  <si>
    <t>Costo de otros equipos</t>
  </si>
  <si>
    <t>Herramientas y Unidades de Reemplazo</t>
  </si>
  <si>
    <t>Herramientas</t>
  </si>
  <si>
    <t>Unidades de reemplazo</t>
  </si>
  <si>
    <t>Unidades por Recibir</t>
  </si>
  <si>
    <t>Construcciones y Obras en Curso</t>
  </si>
  <si>
    <t>Adaptación de terrenos</t>
  </si>
  <si>
    <t>Construcciones en curso</t>
  </si>
  <si>
    <t>Maquinaria en montaje</t>
  </si>
  <si>
    <t>Inversión inmobiliaria en curso</t>
  </si>
  <si>
    <t>Costo de financiación – inversiones inmobiliarias</t>
  </si>
  <si>
    <t>Costo de financiación – inmuebles, maquinaria y equipo</t>
  </si>
  <si>
    <t>Costo de financiación – edificaciones</t>
  </si>
  <si>
    <t>Otros activos en curso</t>
  </si>
  <si>
    <t>INTANGIBLES</t>
  </si>
  <si>
    <t>Concesiones, Licencias y Otros Derechos</t>
  </si>
  <si>
    <t>Concesiones</t>
  </si>
  <si>
    <t>Licencias</t>
  </si>
  <si>
    <t>Otros derechos</t>
  </si>
  <si>
    <t>Patentes y Propiedad Industrial</t>
  </si>
  <si>
    <t>Patentes</t>
  </si>
  <si>
    <t>Marcas</t>
  </si>
  <si>
    <t>Programas de Computadora (Software)</t>
  </si>
  <si>
    <t>Aplicaciones informáticas</t>
  </si>
  <si>
    <t>Costos de Exploración y Desarrollo</t>
  </si>
  <si>
    <t>Costos de exploración</t>
  </si>
  <si>
    <t>Revaluacion</t>
  </si>
  <si>
    <t>Costo de financiacion</t>
  </si>
  <si>
    <t>Costos de desarrollo</t>
  </si>
  <si>
    <t>Fórmulas, Diseños y Prototipos</t>
  </si>
  <si>
    <t>Fórmulas</t>
  </si>
  <si>
    <t>Diseños y prototipos</t>
  </si>
  <si>
    <t>Reservas de Recursos Extraíbles</t>
  </si>
  <si>
    <t>Minerales</t>
  </si>
  <si>
    <t xml:space="preserve">Costo </t>
  </si>
  <si>
    <t>Petróleo y gas</t>
  </si>
  <si>
    <t>Madera</t>
  </si>
  <si>
    <t>Otros recursos extraíbles</t>
  </si>
  <si>
    <t>Plusvalía Mercantil</t>
  </si>
  <si>
    <t>Plusvalía mercantil</t>
  </si>
  <si>
    <t>Otros Activos Intangibles</t>
  </si>
  <si>
    <t>ACTIVOS BIOLÓGICOS</t>
  </si>
  <si>
    <t>Activos Biológicos en Producción</t>
  </si>
  <si>
    <t>Activos Biológicos en Desarrollo</t>
  </si>
  <si>
    <t>DESVALORIZACIÓN DE ACTIVO INMOVILIZADO</t>
  </si>
  <si>
    <t>Desvalorización de Inversiones Inmobiliarias</t>
  </si>
  <si>
    <t>Edificaciones - costo de de adquisición o construcción</t>
  </si>
  <si>
    <t>Edificaciones - costo de financiación</t>
  </si>
  <si>
    <t>Desvalorizacion de Inmuebles, Maquinaria y Equipo</t>
  </si>
  <si>
    <t>Edificaciones - costo de adquisición o construcción</t>
  </si>
  <si>
    <t>Maquinarias y equipos de explotación - costo de adquisición o construcción</t>
  </si>
  <si>
    <t>Maquinarias y equipos de explotación - costo de financiación</t>
  </si>
  <si>
    <t>Desvalorizaacion de Intangibles</t>
  </si>
  <si>
    <t>Concesiones, licencias y otros derechos</t>
  </si>
  <si>
    <t>Desvalorización de Activos Biológicos</t>
  </si>
  <si>
    <t>Desvalorización de Inversiones Inmoboliarias</t>
  </si>
  <si>
    <t>Inversiones a ser mantenidas hasta el vencimiento</t>
  </si>
  <si>
    <t>Inversiones financeras representativas de derecho patrimonial</t>
  </si>
  <si>
    <t>ACTIVO DIFERIDO</t>
  </si>
  <si>
    <t>Impuesto a la Renta Diferido</t>
  </si>
  <si>
    <t>Impuesto a la renta diferido - patrimonio</t>
  </si>
  <si>
    <t>Impuesto a la renta diferido - resusltados</t>
  </si>
  <si>
    <t>Participaciones de los Trabajadores Diferidas</t>
  </si>
  <si>
    <t>Participaciones de los trabajadores diferidas - patrimonio</t>
  </si>
  <si>
    <t>Participaciones de los trabajadores diferidas - resultados</t>
  </si>
  <si>
    <t>Intereses Diferidos</t>
  </si>
  <si>
    <t>Intereses no devengados en transacciones con terceros</t>
  </si>
  <si>
    <t>Intereses no devengados en medición a valor descontado</t>
  </si>
  <si>
    <t>OTROS ACTIVOS</t>
  </si>
  <si>
    <t>Bienes de Arte y Cultura</t>
  </si>
  <si>
    <t>Obras de arte</t>
  </si>
  <si>
    <t>Biblioteca</t>
  </si>
  <si>
    <t>Diversos</t>
  </si>
  <si>
    <t>Monedas y joyas</t>
  </si>
  <si>
    <t>Bienes entregados en comodato</t>
  </si>
  <si>
    <t>Bienes recibidos en pago (adjudicados y realizables)</t>
  </si>
  <si>
    <t>DEPRECIACIÓN, AMORTIZACIÓN Y AGOTAMIENTO ACUMULADOS</t>
  </si>
  <si>
    <t>Depreciación Acumulada</t>
  </si>
  <si>
    <t>Inversiones inmobiliarias</t>
  </si>
  <si>
    <t>Edificaciones - revaluación</t>
  </si>
  <si>
    <t>Activos adquiridos en arrendamiento financiero</t>
  </si>
  <si>
    <t>Inversiones inmobiliarias - edificaciones</t>
  </si>
  <si>
    <t>Inmuebles, maquinaria y equipo - edificaciones</t>
  </si>
  <si>
    <t>Inmuebles, maquinaria y equipo - maquinarias y equipos de explotación</t>
  </si>
  <si>
    <t>Inmuebles, maquinaria y equipo - equipos de transporte</t>
  </si>
  <si>
    <t>Inmuebles, maquinaria y equipo - equipos diversos</t>
  </si>
  <si>
    <t>Inmuebles, maquinaria y equipo - costo</t>
  </si>
  <si>
    <t>transformadoras</t>
  </si>
  <si>
    <t>perforadoras</t>
  </si>
  <si>
    <t>Depreciación acumulada muebles y enseres</t>
  </si>
  <si>
    <t>muebles</t>
  </si>
  <si>
    <t>Depreciación acumulada equipos diversos</t>
  </si>
  <si>
    <t>computador</t>
  </si>
  <si>
    <t>Inmuebles, maquinaria y equipo - revaluación</t>
  </si>
  <si>
    <t>Inmuebles, maquinaria y equipo – costo de financiación</t>
  </si>
  <si>
    <t>Activos biológicos en producción – costo</t>
  </si>
  <si>
    <t>Activos biológicos de origen animal</t>
  </si>
  <si>
    <t>Activos biológicos de origen vegetal</t>
  </si>
  <si>
    <t>Activos biológicos en producción – costo de financiación</t>
  </si>
  <si>
    <t>Amortización Acumulada</t>
  </si>
  <si>
    <t>Intangibles - costo</t>
  </si>
  <si>
    <t>Intangibles - revaluación</t>
  </si>
  <si>
    <t>Costo de exploracion y desarrollo</t>
  </si>
  <si>
    <t>Intagibles - costo de financiacion</t>
  </si>
  <si>
    <t>Agotamiento acumulado</t>
  </si>
  <si>
    <t>Agotamiento de reservas de recursos extraíbles</t>
  </si>
  <si>
    <t>TRIBUTOS Y APORTES AL SISTEMA DE PENSIONES Y DE SALUD POR PAGAR</t>
  </si>
  <si>
    <t>Gobierno Central</t>
  </si>
  <si>
    <t>Impuesto general a las ventas</t>
  </si>
  <si>
    <t>IGV - cuenta propia</t>
  </si>
  <si>
    <t>IGV - servicios prestados por no domiciliados</t>
  </si>
  <si>
    <t>IGV - régimen de percepciones</t>
  </si>
  <si>
    <t>IGV - régimen de retenciones</t>
  </si>
  <si>
    <t>IGV - por aplicar</t>
  </si>
  <si>
    <t>Impuesto selectivo al consumo</t>
  </si>
  <si>
    <t>Derechos aduaneros</t>
  </si>
  <si>
    <t>Derechos arancelarios</t>
  </si>
  <si>
    <t>Derechos aduaneros por ventas</t>
  </si>
  <si>
    <t>Impuesto a la renta</t>
  </si>
  <si>
    <t>Renta de tercera categoría</t>
  </si>
  <si>
    <t>Renta de cuarta categoría</t>
  </si>
  <si>
    <t>Renta de quinta categoría</t>
  </si>
  <si>
    <t>Renta de no domiciliados</t>
  </si>
  <si>
    <t>Otras retenciones</t>
  </si>
  <si>
    <t>Otros impuestos y contraprestaciones</t>
  </si>
  <si>
    <t>Impuesto a las transacciones financieras</t>
  </si>
  <si>
    <t>Impuesto a los juegos de casino y tragamonedas</t>
  </si>
  <si>
    <t>Tasas por la prestación de servicios públicos</t>
  </si>
  <si>
    <t>Impuesto a los dividendos</t>
  </si>
  <si>
    <t>Impuesto temporal a los activos netos</t>
  </si>
  <si>
    <t>Otros impuestos</t>
  </si>
  <si>
    <t>Certificados Tributarios</t>
  </si>
  <si>
    <t>Instituciones Públicas</t>
  </si>
  <si>
    <t>Essalud</t>
  </si>
  <si>
    <t>Essalud por pagar</t>
  </si>
  <si>
    <t>ONP</t>
  </si>
  <si>
    <t>ONP por pagar</t>
  </si>
  <si>
    <t>Contribución al SENATI</t>
  </si>
  <si>
    <t>Contribución al SENCICO</t>
  </si>
  <si>
    <t>Otras instituciones</t>
  </si>
  <si>
    <t>Gobiernos Regionales</t>
  </si>
  <si>
    <t>Gobiernos Locales</t>
  </si>
  <si>
    <t>Impuestos</t>
  </si>
  <si>
    <t>Impuesto al patrimonio vehicular</t>
  </si>
  <si>
    <t>Impuesto a las apuestas</t>
  </si>
  <si>
    <t>Impuesto a los juegos</t>
  </si>
  <si>
    <t>Impuesto de alcabala</t>
  </si>
  <si>
    <t>Impuesto predial</t>
  </si>
  <si>
    <t>Impuesto a los espectáculos públicos no deportivos</t>
  </si>
  <si>
    <t>Contribuciones</t>
  </si>
  <si>
    <t>Tasas</t>
  </si>
  <si>
    <t>Licencia de apertura de establecimientos</t>
  </si>
  <si>
    <t>Transporte público</t>
  </si>
  <si>
    <t>Estacionamiento de vehículos</t>
  </si>
  <si>
    <t>Servicios públicos o arbitrios</t>
  </si>
  <si>
    <t>Servicios administrativos o derechos</t>
  </si>
  <si>
    <t>Administradoras de Fondos de Pensiones</t>
  </si>
  <si>
    <t>AFPs por pagar</t>
  </si>
  <si>
    <t>AFP horizonte por pagar</t>
  </si>
  <si>
    <t>Empresas Prestadoras de Servicios de Salud</t>
  </si>
  <si>
    <t>Cuenta propia</t>
  </si>
  <si>
    <t>Cuenta de terceros</t>
  </si>
  <si>
    <t>Otros Costos Administrativos e Intereses</t>
  </si>
  <si>
    <t>REMUNERACIONES Y PARTICIPACIONES POR PAGAR</t>
  </si>
  <si>
    <t>Remuneraciones por Pagar</t>
  </si>
  <si>
    <t>Sueldos y salarios por pagar</t>
  </si>
  <si>
    <t>Sueldos por pagar</t>
  </si>
  <si>
    <t>Comisiones por pagar</t>
  </si>
  <si>
    <t>Remuneraciones en especie por pagar</t>
  </si>
  <si>
    <t>Gratificaciones por pagar</t>
  </si>
  <si>
    <t>Vacaciones por pagar</t>
  </si>
  <si>
    <t>Participación de los Trabajadores por Pagar</t>
  </si>
  <si>
    <t>Beneficios Sociales de los Trabajadores por Pagar</t>
  </si>
  <si>
    <t>Compensación por tiempo de servicios</t>
  </si>
  <si>
    <t>CTS obreros</t>
  </si>
  <si>
    <t>CTS empleados</t>
  </si>
  <si>
    <t>Adelanto de compensación por tiempo de servicios</t>
  </si>
  <si>
    <t>Pensiones y jubilaciones</t>
  </si>
  <si>
    <t>Otras Remuneraciones y Participaciones por Pagar</t>
  </si>
  <si>
    <t>CUENTAS POR PAGAR COMERCIALES – TERCEROS</t>
  </si>
  <si>
    <t>Facturas, Boletas y Otros Comprobantes por Pagar</t>
  </si>
  <si>
    <t>Emitidas</t>
  </si>
  <si>
    <t>Facturas emitidas por pagar</t>
  </si>
  <si>
    <t>Recibos emitidos por pagar</t>
  </si>
  <si>
    <t>Anticipos a Proveedores</t>
  </si>
  <si>
    <t>Letras por Pagar</t>
  </si>
  <si>
    <t>Letras por pagar</t>
  </si>
  <si>
    <t>Honorarios por Pagar</t>
  </si>
  <si>
    <t>Honorarios por pagar</t>
  </si>
  <si>
    <t>CUENTAS POR PAGAR COMERCIALES – RELACIONADAS</t>
  </si>
  <si>
    <t>Anticipos Otorgados</t>
  </si>
  <si>
    <t>Antcipos otorgados</t>
  </si>
  <si>
    <t>CUENTAS POR PAGAR A LOS SOCIOS, DIRECTORES Y GERENTES</t>
  </si>
  <si>
    <t>Dividendos por pagar</t>
  </si>
  <si>
    <t>Otras cuentas por pagar</t>
  </si>
  <si>
    <t>Dietas</t>
  </si>
  <si>
    <t>OBLIGACIONES FINANCIERAS</t>
  </si>
  <si>
    <t>Préstamos de Instituciones Financieras y Otras Entidades</t>
  </si>
  <si>
    <t>Instituciones financieras</t>
  </si>
  <si>
    <t>Préstamos por pagar al BCP</t>
  </si>
  <si>
    <t>Otras entidades</t>
  </si>
  <si>
    <t>Contratos de Arrendamiento Financiero</t>
  </si>
  <si>
    <t>Leasing Banco Continental</t>
  </si>
  <si>
    <t>Leasing Banco Scotiabank</t>
  </si>
  <si>
    <t>Obligaciones Emitidas</t>
  </si>
  <si>
    <t>Bonos emitidos</t>
  </si>
  <si>
    <t>Bonos titulizados</t>
  </si>
  <si>
    <t>Papeles comerciales</t>
  </si>
  <si>
    <t>Otras obligaciones</t>
  </si>
  <si>
    <t>Otros Instrumentos Financieros por Pagar</t>
  </si>
  <si>
    <t>Letras</t>
  </si>
  <si>
    <t>Bonos</t>
  </si>
  <si>
    <t>Pagarés</t>
  </si>
  <si>
    <t>Facturas conformadas</t>
  </si>
  <si>
    <t>Otras obligaciones financieras</t>
  </si>
  <si>
    <t>Costos de Financiación por Pagar</t>
  </si>
  <si>
    <t>Préstamos de instituciones financieras y otras entidades</t>
  </si>
  <si>
    <t>Intereses por pagar a instituciones financieras</t>
  </si>
  <si>
    <t>Contratos de arrendamiento financiero</t>
  </si>
  <si>
    <t>Obligaciones emitidas</t>
  </si>
  <si>
    <t>Otros instrumentos financieros por pagar</t>
  </si>
  <si>
    <t>Préstamos con Compromisos de Recompra</t>
  </si>
  <si>
    <t>CUENTAS POR PAGAR DIVERSAS – TERCEROS</t>
  </si>
  <si>
    <t>Reclamaciones de Terceros</t>
  </si>
  <si>
    <t>Pasivos por Instrumentos Financieros Derivados</t>
  </si>
  <si>
    <t>Instrumentos financeros primarios</t>
  </si>
  <si>
    <t>Instrumentos fianncieros derivados</t>
  </si>
  <si>
    <t>Pasivos por Compra de Activo Inmovilizado</t>
  </si>
  <si>
    <t>Invesiones mobiliarias</t>
  </si>
  <si>
    <t>Inmueble maquinarias y equipos</t>
  </si>
  <si>
    <t>Depósitos Recibidos en Garantía</t>
  </si>
  <si>
    <t>Otras Cuentas por Pagar Diversas</t>
  </si>
  <si>
    <t>Subsidios gubernamentales</t>
  </si>
  <si>
    <t>Donaciones condicionadas</t>
  </si>
  <si>
    <t>Contratos por pagar</t>
  </si>
  <si>
    <t>CUENTAS POR PAGAR DIVERSAS – RELACIONADAS</t>
  </si>
  <si>
    <t>Costos de Financiación</t>
  </si>
  <si>
    <t>Pasivo por Compra de Activo Inmovilizado</t>
  </si>
  <si>
    <t>Inversiones mobiliarias</t>
  </si>
  <si>
    <t>Otras cuentas por pagar diversas</t>
  </si>
  <si>
    <t>PROVISIONES</t>
  </si>
  <si>
    <t>Provisión para Litigios</t>
  </si>
  <si>
    <t>Provisión por Desmantelamiento, Retiro o Rehabilitación del Inmovilizado</t>
  </si>
  <si>
    <t>Provisión para Reestructuraciones</t>
  </si>
  <si>
    <t>Provisión para Protección y Remediación del Medio Ambiente</t>
  </si>
  <si>
    <t>Provisión para Gastos de Responsabilidad Social</t>
  </si>
  <si>
    <t>Provisión para garantias</t>
  </si>
  <si>
    <t>Otras Provisiones</t>
  </si>
  <si>
    <t>PASIVO DIFERIDO</t>
  </si>
  <si>
    <t>Impuesto a la renta diferido - resultados</t>
  </si>
  <si>
    <t>Intereses por devengar</t>
  </si>
  <si>
    <t>Ganancia en Venta con Arrendamiento Financiero Paralelo</t>
  </si>
  <si>
    <t>Subsidios Recibidos Diferidos</t>
  </si>
  <si>
    <t>Ingresos Diferidos</t>
  </si>
  <si>
    <t>Costos Diferidos</t>
  </si>
  <si>
    <t>CAPITAL</t>
  </si>
  <si>
    <t>Capital Social</t>
  </si>
  <si>
    <t>Acciones</t>
  </si>
  <si>
    <t>Acciones comunes</t>
  </si>
  <si>
    <t>Participaciones</t>
  </si>
  <si>
    <t>Acciones en Tesorería</t>
  </si>
  <si>
    <t>ACCIONES DE INVERSIÓN</t>
  </si>
  <si>
    <t>Acciones de Inversión</t>
  </si>
  <si>
    <t>Acciones de Inversión en Tesorería</t>
  </si>
  <si>
    <t>CAPITAL ADICIONAL</t>
  </si>
  <si>
    <t>Primas (Descuento) de Acciones</t>
  </si>
  <si>
    <t>Capitalizaciones en Trámite</t>
  </si>
  <si>
    <t>Aportes</t>
  </si>
  <si>
    <t>Aportes en efectivo</t>
  </si>
  <si>
    <t>Reservas</t>
  </si>
  <si>
    <t>Acreencias</t>
  </si>
  <si>
    <t>Utilidades</t>
  </si>
  <si>
    <t>Reducciones de Capital Pendientes de Formalización</t>
  </si>
  <si>
    <t>RESULTADOS NO REALIZADOS</t>
  </si>
  <si>
    <t>Diferencia en Cambio de Inversiones Permanentes en Entidades Extranjeras</t>
  </si>
  <si>
    <t>Instrumentos Financieros – Cobertura de Flujo de Efectivo</t>
  </si>
  <si>
    <t>Ganancia o Pérdida en Activos o Pasivos Financieros Disponibles para la Venta</t>
  </si>
  <si>
    <t>Ganancia</t>
  </si>
  <si>
    <t>Pérdida</t>
  </si>
  <si>
    <t xml:space="preserve">Ganancia o Pérdida en Activos o Pasivos Financieros Disponibles para la Venta </t>
  </si>
  <si>
    <t>EXCEDENTE DE REVALUACIÓN</t>
  </si>
  <si>
    <t>Excedente de Revaluación</t>
  </si>
  <si>
    <t>Inmuebles, maquinaria y equipos</t>
  </si>
  <si>
    <t>Excedente de Revaluación – Acciones Liberadas Recibidas</t>
  </si>
  <si>
    <t>Participación en Excedente de Revaluación – Inversiones en Entidades Relacionadas</t>
  </si>
  <si>
    <t>RESERVAS</t>
  </si>
  <si>
    <t>Reinversión</t>
  </si>
  <si>
    <t>Legal</t>
  </si>
  <si>
    <t>Reserva legal</t>
  </si>
  <si>
    <t>Contractuales</t>
  </si>
  <si>
    <t>Estatutarias</t>
  </si>
  <si>
    <t>Facultativas</t>
  </si>
  <si>
    <t>Otras reservas</t>
  </si>
  <si>
    <t>RESULTADOS ACUMULADOS</t>
  </si>
  <si>
    <t>Utilidades no Distribuidas</t>
  </si>
  <si>
    <t>Utilidades acumuladas</t>
  </si>
  <si>
    <t>Utilidad del ejercicio</t>
  </si>
  <si>
    <t>Utilidad de años anteriores</t>
  </si>
  <si>
    <t>Ingresos de años anteriores</t>
  </si>
  <si>
    <t>Pérdidas Acumuladas</t>
  </si>
  <si>
    <t>Pérdidas acumuladas</t>
  </si>
  <si>
    <t>Gastos de años anteriores</t>
  </si>
  <si>
    <t>COMPRAS</t>
  </si>
  <si>
    <t>Materias primas para productos para productos agropecuarios y piscícolas</t>
  </si>
  <si>
    <t>Costos Vinculados con las Compras</t>
  </si>
  <si>
    <t>Costos vinculados con las compras de mercaderías</t>
  </si>
  <si>
    <t>Transporte</t>
  </si>
  <si>
    <t>Comisiones</t>
  </si>
  <si>
    <t>Otros costos vinculados con las compras de mercaderías</t>
  </si>
  <si>
    <t>Costos vinculados con las compras de materias primas</t>
  </si>
  <si>
    <t>Costos vinculados con las compras de materiales, suministros y repuestos</t>
  </si>
  <si>
    <t>Costos vinculados con las compras de envases y embalajes</t>
  </si>
  <si>
    <t>VARIACIÓN DE EXISTENCIAS</t>
  </si>
  <si>
    <t>Variación de suministros de oficina</t>
  </si>
  <si>
    <t>GASTOS DE PERSONAL, DIRECTORES Y GERENTES</t>
  </si>
  <si>
    <t>Remuneraciones</t>
  </si>
  <si>
    <t>Sueldos y salarios</t>
  </si>
  <si>
    <t>Sueldos</t>
  </si>
  <si>
    <t>Remuneraciones en especie</t>
  </si>
  <si>
    <t>Gratificaciones</t>
  </si>
  <si>
    <t>Vacaciones</t>
  </si>
  <si>
    <t>Otras Remuneraciones</t>
  </si>
  <si>
    <t>Asignación familiar</t>
  </si>
  <si>
    <t>Bonificaciones</t>
  </si>
  <si>
    <t>Indemnizaciones al Personal</t>
  </si>
  <si>
    <t>Capacitación</t>
  </si>
  <si>
    <t>Atención al Personal</t>
  </si>
  <si>
    <t>Equipo de protección al personal</t>
  </si>
  <si>
    <t>Exámenes médicos</t>
  </si>
  <si>
    <t>Alimentación</t>
  </si>
  <si>
    <t>Seguridad, Previsión Social y Otras Contribuciones</t>
  </si>
  <si>
    <t>Régimen de prestaciones de salud</t>
  </si>
  <si>
    <t>Seguro regular de salud</t>
  </si>
  <si>
    <t>Régimen de pensiones</t>
  </si>
  <si>
    <t>Seguro complementario de trabajo de riesgo, accidentes de trabajo y enfermedades profesionales</t>
  </si>
  <si>
    <t>Seguros particulares de prestaciones de salud - eps y otros particulares</t>
  </si>
  <si>
    <t>Caja de beneficios de seguridad social del pescador</t>
  </si>
  <si>
    <t>Contribuciones a SENCICO y SENATI</t>
  </si>
  <si>
    <t>Remuneraciones al Directorio</t>
  </si>
  <si>
    <t>Beneficios Sociales de los Trabajadores</t>
  </si>
  <si>
    <t>Compensación por tiempo de servicio</t>
  </si>
  <si>
    <t>cts obreros</t>
  </si>
  <si>
    <t>cts empleados</t>
  </si>
  <si>
    <t>Otros beneficios post-empleo</t>
  </si>
  <si>
    <t>GASTOS DE SERVICIOS PRESTADOS POR TERCEROS</t>
  </si>
  <si>
    <t>Transporte, Correos y Gastos de Viaje</t>
  </si>
  <si>
    <t>De carga</t>
  </si>
  <si>
    <t>De pasajeros</t>
  </si>
  <si>
    <t>Correos</t>
  </si>
  <si>
    <t>Alojamiento</t>
  </si>
  <si>
    <t>Otros gastos de viaje</t>
  </si>
  <si>
    <t>Asesoria y Consultoria</t>
  </si>
  <si>
    <t>Administrativa</t>
  </si>
  <si>
    <t>Legal y tributaria</t>
  </si>
  <si>
    <t>Auditoria y contable</t>
  </si>
  <si>
    <t>Mercadotecnia</t>
  </si>
  <si>
    <t>Medioambiental</t>
  </si>
  <si>
    <t>Investigación y desarrollo</t>
  </si>
  <si>
    <t>Producción</t>
  </si>
  <si>
    <t>Producción Encargada a Terceros</t>
  </si>
  <si>
    <t>Mantenimiento y Reparaciones</t>
  </si>
  <si>
    <t>Activos biologicos</t>
  </si>
  <si>
    <t>Otros servicios de mantenimiento y reparaciones</t>
  </si>
  <si>
    <t>Alquiler de edificaciones</t>
  </si>
  <si>
    <t>Servicios Básicos</t>
  </si>
  <si>
    <t>Energía eléctrica</t>
  </si>
  <si>
    <t>Consumo de energía eléctrica</t>
  </si>
  <si>
    <t>Gas</t>
  </si>
  <si>
    <t>Agua</t>
  </si>
  <si>
    <t>Consumo de agua</t>
  </si>
  <si>
    <t>Teléfono</t>
  </si>
  <si>
    <t>Consumo de telefonía</t>
  </si>
  <si>
    <t>Internet</t>
  </si>
  <si>
    <t>Radio</t>
  </si>
  <si>
    <t>Cable</t>
  </si>
  <si>
    <t>Publicidad, Publicaciones, Relaciones Públicas</t>
  </si>
  <si>
    <t xml:space="preserve">Publicidad  </t>
  </si>
  <si>
    <t>Publicaciones</t>
  </si>
  <si>
    <t>Relaciones publicas</t>
  </si>
  <si>
    <t>Servicios de Contratistas</t>
  </si>
  <si>
    <t>Otros Servicios Prestados por Terceros</t>
  </si>
  <si>
    <t>Gastos bancarios</t>
  </si>
  <si>
    <t>Gastos de laboratorio</t>
  </si>
  <si>
    <t>Servicios varios</t>
  </si>
  <si>
    <t>GASTOS POR TRIBUTOS</t>
  </si>
  <si>
    <t>Cánones y derechos</t>
  </si>
  <si>
    <t>Impuesto a los juegos de casino y maquinas tragamonedas</t>
  </si>
  <si>
    <t>Regalias mineras</t>
  </si>
  <si>
    <t>Cánones</t>
  </si>
  <si>
    <t>Gobierno Regional</t>
  </si>
  <si>
    <t>Permisos</t>
  </si>
  <si>
    <t>Gobierno Local</t>
  </si>
  <si>
    <t>Arbitrios municipales y seguridad ciudadana</t>
  </si>
  <si>
    <t>Licencia de funcionamiento</t>
  </si>
  <si>
    <t>Otros Gastos por Tributos</t>
  </si>
  <si>
    <t>Contribución a SENATI</t>
  </si>
  <si>
    <t>Contribución a SENCICO</t>
  </si>
  <si>
    <t>Peajes</t>
  </si>
  <si>
    <t>OTROS GASTOS DE GESTIÓN</t>
  </si>
  <si>
    <t>Seguro contra incendios</t>
  </si>
  <si>
    <t>Suscripciones</t>
  </si>
  <si>
    <t>Cámara de comercio y producción de cajamarca</t>
  </si>
  <si>
    <t>Licencias y Derechos de Vigencia</t>
  </si>
  <si>
    <t>Costo Neto de Enajenación de Activos Inmovilizados y Operaciones Discontinuadas</t>
  </si>
  <si>
    <t>Costo neto de enajenación de activos inmovilizados</t>
  </si>
  <si>
    <t>Operaciones discontinuadas - abandono e activos</t>
  </si>
  <si>
    <t>Inmueble, maquinaria y equipos</t>
  </si>
  <si>
    <t>Materiales y útiles de oficina</t>
  </si>
  <si>
    <t>Materiales de limpieza</t>
  </si>
  <si>
    <t>Equipos de procesamiento de información</t>
  </si>
  <si>
    <t>Equipos de telecomunicaciones</t>
  </si>
  <si>
    <t>Herramientas de trabajo</t>
  </si>
  <si>
    <t>Combustibles, lubricantes, repuestos y accesorios</t>
  </si>
  <si>
    <t>Gestión Medioambiental</t>
  </si>
  <si>
    <t>Otros Gastos de Gestión</t>
  </si>
  <si>
    <t>Donaciones</t>
  </si>
  <si>
    <t>Sanciones administrativas</t>
  </si>
  <si>
    <t>PÉRDIDA POR MEDICIÓN DE ACTIVOS NO FINANCIEROS AL VALOR RAZONABLE</t>
  </si>
  <si>
    <t>Activo Realizable</t>
  </si>
  <si>
    <t xml:space="preserve">Productos terminados </t>
  </si>
  <si>
    <t>Activos no corrientes mantenidos para la venta</t>
  </si>
  <si>
    <t>Activo Inmovilizado</t>
  </si>
  <si>
    <t>GASTOS FINANCIEROS</t>
  </si>
  <si>
    <t>Gastos en Operaciones de Endeudamiento y Otros</t>
  </si>
  <si>
    <t>Emisión y colocación de instrumentos representativos de deuda y patrimonio</t>
  </si>
  <si>
    <t>Documentos vendidos o descontados</t>
  </si>
  <si>
    <t>Pérdida por Instrumentos Financieros Derivados</t>
  </si>
  <si>
    <t>Intereses por Préstamos y Otras Obligaciones</t>
  </si>
  <si>
    <t>Intereses de préstamos de Instituciones financieras</t>
  </si>
  <si>
    <t>Obligaciones comerciales</t>
  </si>
  <si>
    <t>Obligaciones tributarias</t>
  </si>
  <si>
    <t>gastos en operaciones de factoraje (factoring)</t>
  </si>
  <si>
    <t>gastos por menor valor</t>
  </si>
  <si>
    <t>Descuentos Concedidos por Pronto Pago</t>
  </si>
  <si>
    <t>Diferencia de Cambio</t>
  </si>
  <si>
    <t>Pérdida por Medición de Activos y Pasivos Financieros al Valor Razonable</t>
  </si>
  <si>
    <t>inversiones para negociacion</t>
  </si>
  <si>
    <t>Inversiones disponibles para la venta</t>
  </si>
  <si>
    <t>otros</t>
  </si>
  <si>
    <t>participacion en resultados de entidades relacionadas</t>
  </si>
  <si>
    <t>participacion en los resultados de subsidiarias y asociadas bajo el metodo de part pat</t>
  </si>
  <si>
    <t>participaciones en negocios conjuntos</t>
  </si>
  <si>
    <t>Otros Gastos Financieros</t>
  </si>
  <si>
    <t>Primas por opciones</t>
  </si>
  <si>
    <t>Gastos financieros en medición a valor descontado</t>
  </si>
  <si>
    <t>VALUACIÓN Y DETERIORO DE ACTIVOS Y PROVISIONES</t>
  </si>
  <si>
    <t>Depreciación</t>
  </si>
  <si>
    <t>Depreciación de inversiones inmobiliarias</t>
  </si>
  <si>
    <t>Edificaciones - costo</t>
  </si>
  <si>
    <t>Edificaciones – costo de financiación</t>
  </si>
  <si>
    <t>Depreciación de activos adquiridos en arrendamiento financiero – inversiones inmobiliarias</t>
  </si>
  <si>
    <t>Depreciación de activos adquiridos en arrendamiento financiero</t>
  </si>
  <si>
    <t>Depreciación de inmuebles, maquinaria y equipo – costo</t>
  </si>
  <si>
    <t>Depreciación muebles y enseres</t>
  </si>
  <si>
    <t>Depreciación equipos diversos</t>
  </si>
  <si>
    <t>Depreciación de inmuebles, maquinaria y equipo – revaluación</t>
  </si>
  <si>
    <t>Depreciación de inmuebles, maquinaria y equipo – costos de financiación</t>
  </si>
  <si>
    <t>Depreciación de activos biológicos en producción – costo</t>
  </si>
  <si>
    <t>Depreciación de activos biológicos en producción – costo de financiación</t>
  </si>
  <si>
    <t>Amortización de Intangibles</t>
  </si>
  <si>
    <t>Amortización de intangibles adquiridos – costo</t>
  </si>
  <si>
    <t>Amortización de intangibles adquiridos – revaluación</t>
  </si>
  <si>
    <t>Amortización de intangibles generados internamente – costo</t>
  </si>
  <si>
    <t>Amortización de intangibles generados internamente – revaluación</t>
  </si>
  <si>
    <t>Agotamiento</t>
  </si>
  <si>
    <t>Agotamiento de recursos naturales adquiridos</t>
  </si>
  <si>
    <t>Valuación de Activos</t>
  </si>
  <si>
    <t>Estimación de cuentas de cobranza dudosa</t>
  </si>
  <si>
    <t>cuentaspor cobrar al personal, a los accionistas (socios), directores y gerentes</t>
  </si>
  <si>
    <t>cuentas por cobrar dibersas - terceros</t>
  </si>
  <si>
    <t>cuentas por cobrar dibersas - relacionadas</t>
  </si>
  <si>
    <t>Desvalorización de inversiones mobiliarias</t>
  </si>
  <si>
    <t>inversiones a ser mantenidas asta el vencimiento</t>
  </si>
  <si>
    <t>instrumentos financieros representativos de derecho patrimonial</t>
  </si>
  <si>
    <t>Deterioro del Valor de los Activos</t>
  </si>
  <si>
    <t>Desvalorización de inversiones inmobiliarias</t>
  </si>
  <si>
    <t>Desvalorización de inmuebles maquinaria y equipo</t>
  </si>
  <si>
    <t>Desvalorización de intangibles</t>
  </si>
  <si>
    <t>Desvalorización de activos biológicos en producción</t>
  </si>
  <si>
    <t>Provisiones</t>
  </si>
  <si>
    <t>Provisión para litigios</t>
  </si>
  <si>
    <t>Provisión para litigios – costo</t>
  </si>
  <si>
    <t>Provisión para litigios – actualización financiera</t>
  </si>
  <si>
    <t>Provisión por desmantelamiento, retiro o rehabilitación del inmovilizado</t>
  </si>
  <si>
    <t>Provisión por desmantelamiento, retiro o rehabilitación del inmovilizado – costo</t>
  </si>
  <si>
    <t>Provisión por desmantelamiento, retiro o rehabilitación del inmovilizado – actu fin</t>
  </si>
  <si>
    <t>Provisión para reestructuraciones</t>
  </si>
  <si>
    <t>Provisión para protección y remediación del medio ambiente</t>
  </si>
  <si>
    <t>Provisión para protección y remediación del medio ambiente - COSTO</t>
  </si>
  <si>
    <t>Provisión para protección y remediación del medio ambiente - actualizacion financiera</t>
  </si>
  <si>
    <t>Provisión para garantias - costo</t>
  </si>
  <si>
    <t>Provisión para garantias - actualizacion financiera</t>
  </si>
  <si>
    <t>Otras provisiones</t>
  </si>
  <si>
    <t>COSTO DE VENTAS</t>
  </si>
  <si>
    <t>Costo de mercadería vendida a terceros</t>
  </si>
  <si>
    <t>Relacionadas</t>
  </si>
  <si>
    <t>Terceros</t>
  </si>
  <si>
    <t>Productos inmuebles terminados</t>
  </si>
  <si>
    <t>Servicios</t>
  </si>
  <si>
    <t>Gastos por desvalorizacion de existencias</t>
  </si>
  <si>
    <t xml:space="preserve">Suministros </t>
  </si>
  <si>
    <t xml:space="preserve">Envases </t>
  </si>
  <si>
    <t>Existencias por recibir</t>
  </si>
  <si>
    <t>VENTAS</t>
  </si>
  <si>
    <t>Venta de mercaderías manufacturadas a terceros</t>
  </si>
  <si>
    <t>Mercaderías – otras</t>
  </si>
  <si>
    <t>Prestación de Servicios</t>
  </si>
  <si>
    <t>Devoluciones Sobre Ventas</t>
  </si>
  <si>
    <t>Mercaderías – terceros</t>
  </si>
  <si>
    <t>Mercaderías – relacionadas</t>
  </si>
  <si>
    <t>Productos terminados – terceros</t>
  </si>
  <si>
    <t>Productos terminados – relacionadas</t>
  </si>
  <si>
    <t>Subproductos, desechos y desperdicios – terceros</t>
  </si>
  <si>
    <t>Subproductos, desechos y desperdicios – relacionadas</t>
  </si>
  <si>
    <t>Prestación de servicios</t>
  </si>
  <si>
    <t>VARIACIÓN DE LA PRODUCCIÓN ALMACENADA</t>
  </si>
  <si>
    <t>Variación de Productos Terminados</t>
  </si>
  <si>
    <t>Variación de Subproductos, Desechos y Desperdicios</t>
  </si>
  <si>
    <t>Variación de Productos en Proceso</t>
  </si>
  <si>
    <t>Variación de Envases y Embalajes</t>
  </si>
  <si>
    <t>Variación de Existencias de Servicios</t>
  </si>
  <si>
    <t>PRODUCCIÓN DE ACTIVO INMOVILIZADO</t>
  </si>
  <si>
    <t>Maquinarias y otros equipos de explotación</t>
  </si>
  <si>
    <t>Activos biológicos en desarrollo de origen animal</t>
  </si>
  <si>
    <t>Activos biológicos en desarrollo de origen vegetal</t>
  </si>
  <si>
    <t>Costos de Financiación Capitalizados</t>
  </si>
  <si>
    <t>Costos de financiación – inversiones inmobiliarias – edificaciones</t>
  </si>
  <si>
    <t>Costos de financiación – inmuebles, maquinaria y equipo</t>
  </si>
  <si>
    <t>Costos de financiación – intangibles</t>
  </si>
  <si>
    <t>Costos de financiación – activos biológicos en desarrollo</t>
  </si>
  <si>
    <t>DESCUENTOS, REBAJAS Y BONIFICACIONES OBTENIDOS</t>
  </si>
  <si>
    <t>Descuentos, Rebajas y Bonificaciones Obtenidos</t>
  </si>
  <si>
    <t>DESCUENTOS, REBAJAS Y BONIFICACIONES CONCEDIDOS</t>
  </si>
  <si>
    <t>Descuentos, Rebajas y Bonificaciones Concedidos</t>
  </si>
  <si>
    <t>OTROS INGRESOS DE GESTIÓN</t>
  </si>
  <si>
    <t>Servicios en Beneficio del Personal</t>
  </si>
  <si>
    <t>Comisiones y Corretajes</t>
  </si>
  <si>
    <t>Recuperación de Cuentas de Valuación</t>
  </si>
  <si>
    <t>Recuperación - cuentas de cobranza dudosa</t>
  </si>
  <si>
    <t>Recuperación - desvalorización de existencias</t>
  </si>
  <si>
    <t>Recuperación – desvalorización de inversiones mobiliarias</t>
  </si>
  <si>
    <t>Enajenación de Activos Inmovilizados</t>
  </si>
  <si>
    <t>Enajenación de muebles y enseres</t>
  </si>
  <si>
    <t>Recuperación de Deterioro de Cuentas de Activos Inmovilizados</t>
  </si>
  <si>
    <t>Otros Ingresos de Gestión</t>
  </si>
  <si>
    <t>GANANCIA POR MEDICIÓN DE ACTIVOS NO FINANCIEROS AL VALOR RAZONABLE</t>
  </si>
  <si>
    <t>Productos en proceso</t>
  </si>
  <si>
    <t>Participación en los Resultados de Subsidiarias y Asociadas Bajo el Método del Valor Patrimonial</t>
  </si>
  <si>
    <t>Ingresos por Participaciones en Negocios Conjuntos</t>
  </si>
  <si>
    <t>INGRESOS FINANCIEROS</t>
  </si>
  <si>
    <t>Ganancia por Instrumento Financiero Derivado</t>
  </si>
  <si>
    <t>Rendimientos Ganados</t>
  </si>
  <si>
    <t>Depósitos en instituciones financieras</t>
  </si>
  <si>
    <t>Cuentas por cobrar comerciales</t>
  </si>
  <si>
    <t>Intereses comerciales</t>
  </si>
  <si>
    <t>Préstamos otorgados</t>
  </si>
  <si>
    <t>Instrumentos financieros representativos de derecho patrimonial</t>
  </si>
  <si>
    <t>ingresos en operaciones de factoraje (factoring)</t>
  </si>
  <si>
    <t>Descuentos Obtenidos por Pronto Pago</t>
  </si>
  <si>
    <t>Diferencia en Cambio</t>
  </si>
  <si>
    <t>ganancias por medicion de activos y pasivos financieros al valor razonable</t>
  </si>
  <si>
    <t>Inversiones mantenidas para negociacion</t>
  </si>
  <si>
    <t>Inversiones mantenidas para la venta</t>
  </si>
  <si>
    <t>otras</t>
  </si>
  <si>
    <t>participacion en resultados de subsidiarias y asociadas bajo el metodo de participacion patrimonial</t>
  </si>
  <si>
    <t>Otros Ingresos Financieros</t>
  </si>
  <si>
    <t>Ingresos financieros en medición a valor descontado</t>
  </si>
  <si>
    <t>CARGAS CUBIERTAS POR PROVISIONES</t>
  </si>
  <si>
    <t>Cargas Cubiertas por Provisiones</t>
  </si>
  <si>
    <t>CARGAS IMPUTABLES A CUENTAS DE COSTOS Y GASTOS</t>
  </si>
  <si>
    <t>Cargas Imputables a Cuentas de Costos y Gastos</t>
  </si>
  <si>
    <t>Cargas imputables a cuentas de gastos</t>
  </si>
  <si>
    <t>Gastos Financieros Imputables a Cuentas de Existencias</t>
  </si>
  <si>
    <t>MARGEN COMERCIAL</t>
  </si>
  <si>
    <t>Margen Comercial</t>
  </si>
  <si>
    <t>PRODUCCIÓN DEL EJERCICIO</t>
  </si>
  <si>
    <t>Producción de Bienes</t>
  </si>
  <si>
    <t>Producción de Servicios</t>
  </si>
  <si>
    <t>Producción de Activo Inmovilizado</t>
  </si>
  <si>
    <t>VALOR AGREGADO</t>
  </si>
  <si>
    <t>Valor Agregado</t>
  </si>
  <si>
    <t>EXCEDENTE BRUTO (INSUFICIENCIA BRUTA) DE EXPLOTACIÓN</t>
  </si>
  <si>
    <t>Excedente Bruto (Insuficiencia Bruta) de Explotación</t>
  </si>
  <si>
    <t>RESULTADO DE EXPLOTACIÓN</t>
  </si>
  <si>
    <t>Resultado de Explotación</t>
  </si>
  <si>
    <t>RESULTADO ANTES DE PARTICIPACIONES E IMPUESTOS</t>
  </si>
  <si>
    <t>Resultado Antes de Participaciones e Impuestos</t>
  </si>
  <si>
    <t>PARTICIPACIONES DE LOS TRABAJADORES</t>
  </si>
  <si>
    <t>Participación de los Trabajadores - Corriente</t>
  </si>
  <si>
    <t>Participación de los Trabajadores - Diferida</t>
  </si>
  <si>
    <t>IMPUESTO A LA RENTA</t>
  </si>
  <si>
    <t>Impuesto a la Renta - Corriente</t>
  </si>
  <si>
    <t>Impuesto a la Renta - Diferido</t>
  </si>
  <si>
    <t>DETERMINACIÓN DEL RESULTADO DEL EJERCICIO</t>
  </si>
  <si>
    <t>Utilidad</t>
  </si>
  <si>
    <t>CUENTAS ANALITICAS</t>
  </si>
  <si>
    <t>Gastos de ventas</t>
  </si>
  <si>
    <t>GASTOS GENERALES</t>
  </si>
  <si>
    <t>COSTOS INDIRECTOS DE PRODUCCION DISTRIBUIBLES</t>
  </si>
  <si>
    <t>Generacion electrica</t>
  </si>
  <si>
    <t>Minado</t>
  </si>
  <si>
    <t>Concentracion</t>
  </si>
  <si>
    <t>Costos Direstos</t>
  </si>
  <si>
    <t>Suministros directos</t>
  </si>
  <si>
    <t>Mano de obra directa</t>
  </si>
  <si>
    <t>Costos Indirectos</t>
  </si>
  <si>
    <t>Suministros indirectos</t>
  </si>
  <si>
    <t>Mano de obra indirecta</t>
  </si>
  <si>
    <t>Mantenimiento y reparación</t>
  </si>
  <si>
    <t>Depreciaciones y desvalorizaciones</t>
  </si>
  <si>
    <t>Otros costos indirectos</t>
  </si>
  <si>
    <t>lixiviacion</t>
  </si>
  <si>
    <t>Costo De Produccion</t>
  </si>
  <si>
    <t>COSTO DE PRODUCCION</t>
  </si>
  <si>
    <t>MATERIA PRIMA</t>
  </si>
  <si>
    <t>SUMINISTROS</t>
  </si>
  <si>
    <t>ENVASES</t>
  </si>
  <si>
    <t>SALARIOS</t>
  </si>
  <si>
    <t>ESSALUD</t>
  </si>
  <si>
    <t>SENATI</t>
  </si>
  <si>
    <t>HONORARIOS</t>
  </si>
  <si>
    <t>ALQUILER DEL LOCAL</t>
  </si>
  <si>
    <t>LUZ</t>
  </si>
  <si>
    <t>AGUA</t>
  </si>
  <si>
    <t>SEGURO DE MAQUINA</t>
  </si>
  <si>
    <t>UTILES DE OFICINA</t>
  </si>
  <si>
    <t>COMBUSTIBLE</t>
  </si>
  <si>
    <t>DEPRECIACION</t>
  </si>
  <si>
    <t>UTILES DE LIMPIEZA</t>
  </si>
  <si>
    <t>MANTENIMIENTO</t>
  </si>
  <si>
    <t>GASTOS DE ADMINISTRACION</t>
  </si>
  <si>
    <t>Gastos Administrativos</t>
  </si>
  <si>
    <t>SUELDO</t>
  </si>
  <si>
    <t>ALQUILER DE OFICINA</t>
  </si>
  <si>
    <t>GASTOS DE VENTAS</t>
  </si>
  <si>
    <t>Publicidad</t>
  </si>
  <si>
    <t>Comunicaciones</t>
  </si>
  <si>
    <t>Cargas sociales</t>
  </si>
  <si>
    <t>Depreciaciones</t>
  </si>
  <si>
    <t>Materias auxiliares, envases y embalajes</t>
  </si>
  <si>
    <t>Productos en procesos</t>
  </si>
  <si>
    <t>Productos terminados</t>
  </si>
  <si>
    <t>Repuestos, accesorios y herramientas</t>
  </si>
  <si>
    <t>Desechos y defectuosos</t>
  </si>
  <si>
    <t>Devoluciones</t>
  </si>
  <si>
    <t>01</t>
  </si>
  <si>
    <t>BIENES Y VALORES ENTREGADOS</t>
  </si>
  <si>
    <t>011</t>
  </si>
  <si>
    <t>Bienes en préstamo, custodia no capitalizables</t>
  </si>
  <si>
    <t>0111</t>
  </si>
  <si>
    <t>Bienes en préstamo</t>
  </si>
  <si>
    <t>0112</t>
  </si>
  <si>
    <t>Bienes en custodia</t>
  </si>
  <si>
    <t>012</t>
  </si>
  <si>
    <t>Valores y bienes entregados en garantía</t>
  </si>
  <si>
    <t>0121</t>
  </si>
  <si>
    <t>Cartas fianza</t>
  </si>
  <si>
    <t>0122</t>
  </si>
  <si>
    <t>Cuentas por cobrar</t>
  </si>
  <si>
    <t>0123</t>
  </si>
  <si>
    <t xml:space="preserve">Existencias </t>
  </si>
  <si>
    <t>0124</t>
  </si>
  <si>
    <t>lnversión mobiliaria</t>
  </si>
  <si>
    <t>0125</t>
  </si>
  <si>
    <t>0126</t>
  </si>
  <si>
    <t>0127</t>
  </si>
  <si>
    <t>0128</t>
  </si>
  <si>
    <t>013</t>
  </si>
  <si>
    <t>Activos Realizables entregados en consignación</t>
  </si>
  <si>
    <t>02</t>
  </si>
  <si>
    <t>DERECHOS SOBRE INSTRU­MENTOS FINANCIEROS</t>
  </si>
  <si>
    <t>021</t>
  </si>
  <si>
    <t>Primarios</t>
  </si>
  <si>
    <t>0211</t>
  </si>
  <si>
    <t>Inversiones manteni­das hasta para negociación</t>
  </si>
  <si>
    <t>0212</t>
  </si>
  <si>
    <t>Inverslonesdlsponi- bles para la venta</t>
  </si>
  <si>
    <t>0213</t>
  </si>
  <si>
    <t>Inversiones a ser mantenidas has el vencimiento</t>
  </si>
  <si>
    <t>022</t>
  </si>
  <si>
    <t>Derivados</t>
  </si>
  <si>
    <t>0221</t>
  </si>
  <si>
    <t>Contratos a futuro</t>
  </si>
  <si>
    <t>0222</t>
  </si>
  <si>
    <t>Contratos a término (forward)</t>
  </si>
  <si>
    <t>0223</t>
  </si>
  <si>
    <t>Permutas financieras (swap)</t>
  </si>
  <si>
    <t>0224</t>
  </si>
  <si>
    <t>Contratos de opción</t>
  </si>
  <si>
    <t>03</t>
  </si>
  <si>
    <t>OTRAS CUENTAS ED ORDEN DEUDORAS</t>
  </si>
  <si>
    <t>031</t>
  </si>
  <si>
    <t>Contratos aprobados</t>
  </si>
  <si>
    <t>0311</t>
  </si>
  <si>
    <t>Contratas en Ejecución</t>
  </si>
  <si>
    <t>0312</t>
  </si>
  <si>
    <t>Contratosen trámite</t>
  </si>
  <si>
    <t>032</t>
  </si>
  <si>
    <t>Bienes dados de baja</t>
  </si>
  <si>
    <t>0321</t>
  </si>
  <si>
    <t>0322</t>
  </si>
  <si>
    <t>Inmuebles, maquina­ria y equipo</t>
  </si>
  <si>
    <t>039</t>
  </si>
  <si>
    <t>04</t>
  </si>
  <si>
    <t>DEUDORAS POR CONTRA CUENTAS DE ORDEN ACREEDORAS</t>
  </si>
  <si>
    <t>06</t>
  </si>
  <si>
    <t>BIENES Y VALORES RECIBIDOS</t>
  </si>
  <si>
    <t>061</t>
  </si>
  <si>
    <t>Bienes recibidos en préstamo y custodia</t>
  </si>
  <si>
    <t>0611</t>
  </si>
  <si>
    <t>Bienes recibidos en préstamo</t>
  </si>
  <si>
    <t>0612</t>
  </si>
  <si>
    <t>Bienes recibidos en custodia</t>
  </si>
  <si>
    <t>062</t>
  </si>
  <si>
    <t>Valores y bienes recibidos en garantía</t>
  </si>
  <si>
    <t>0621</t>
  </si>
  <si>
    <t>Cartas fianzas</t>
  </si>
  <si>
    <t>0622</t>
  </si>
  <si>
    <t>0623</t>
  </si>
  <si>
    <t>Existencias</t>
  </si>
  <si>
    <t>0624</t>
  </si>
  <si>
    <t>0625</t>
  </si>
  <si>
    <t>0626</t>
  </si>
  <si>
    <t>0627</t>
  </si>
  <si>
    <t>0628</t>
  </si>
  <si>
    <t>063</t>
  </si>
  <si>
    <t>Activos realizables recibido en consignación</t>
  </si>
  <si>
    <t>07</t>
  </si>
  <si>
    <t>COMPROMISOS SOBRE INSTRUMENTOS FINANCIEROS</t>
  </si>
  <si>
    <t>071</t>
  </si>
  <si>
    <t>0711</t>
  </si>
  <si>
    <t>Inversiones mantenidas para negociación</t>
  </si>
  <si>
    <t>0712</t>
  </si>
  <si>
    <t>0713</t>
  </si>
  <si>
    <t>072</t>
  </si>
  <si>
    <t>0721</t>
  </si>
  <si>
    <t>0722</t>
  </si>
  <si>
    <t>0723</t>
  </si>
  <si>
    <t>0724</t>
  </si>
  <si>
    <t>08</t>
  </si>
  <si>
    <t>OTRAS CUENTAS DE ORDEN ACREEDORAS</t>
  </si>
  <si>
    <t>089</t>
  </si>
  <si>
    <t>09</t>
  </si>
  <si>
    <t>ACREEDORAS POR CONTRA</t>
  </si>
  <si>
    <t>CUENTA CONTABLE ASOCIADA A LA OPERACIÓN</t>
  </si>
  <si>
    <t>HABER</t>
  </si>
  <si>
    <t>FORMATO 5.1: "LIBRO DIARIO "</t>
  </si>
  <si>
    <t>PERÍODO:</t>
  </si>
  <si>
    <t>RUC:</t>
  </si>
  <si>
    <t>DENOMINACIÓN O RAZÓN SOCIAL:</t>
  </si>
  <si>
    <t>DETALLE DE LA OPERACIÓN</t>
  </si>
  <si>
    <t>Nº</t>
  </si>
  <si>
    <t>FECHA</t>
  </si>
  <si>
    <t>GLOSA</t>
  </si>
  <si>
    <t>Cod. Libro</t>
  </si>
  <si>
    <t xml:space="preserve">Nº </t>
  </si>
  <si>
    <t>Nº Doc Sustet.</t>
  </si>
  <si>
    <t>DENOMINACIÓN</t>
  </si>
  <si>
    <t>DEBE</t>
  </si>
  <si>
    <t>PARCIAL</t>
  </si>
  <si>
    <t>CÓD ÚNICO DE LA OPERACIÓN</t>
  </si>
  <si>
    <t>FECHA DE LA OPERACIÓN</t>
  </si>
  <si>
    <t>GLOSA O DESCRIPCIÓN DE LA OPERACIÓN</t>
  </si>
  <si>
    <t>REFERENCIA DE LA OPERACIÓN</t>
  </si>
  <si>
    <t>MOVIMIENTO</t>
  </si>
  <si>
    <t>CÓD DEL LIBRO O REGISTRO (TABLA 8)</t>
  </si>
  <si>
    <t>Nº CORR</t>
  </si>
  <si>
    <t>NÚMERO DEL DOCUMENTO SUSTENTATORIO</t>
  </si>
  <si>
    <t>CÓDIGO</t>
  </si>
  <si>
    <t>Por el Activo, Pasivo y Patrimonio al Inicio del ejercicio</t>
  </si>
  <si>
    <t>*</t>
  </si>
  <si>
    <t>TOTAL</t>
  </si>
  <si>
    <t>PERU CONTABLE</t>
  </si>
  <si>
    <t>AD010001</t>
  </si>
  <si>
    <t>11/01/2015</t>
  </si>
  <si>
    <t>AD010002</t>
  </si>
  <si>
    <t>Por la compra de mercaderias segun comp/ 1 / 1</t>
  </si>
  <si>
    <t>AD010003</t>
  </si>
  <si>
    <t>Por el destino de las gastos</t>
  </si>
  <si>
    <t>AD010004</t>
  </si>
  <si>
    <t>AD010006</t>
  </si>
  <si>
    <t>Por la venta de mercaderias segun comp/ 1 / 1</t>
  </si>
  <si>
    <t>AD010010</t>
  </si>
  <si>
    <t>13/01/2015</t>
  </si>
  <si>
    <t>Por la provision de gastos gastos</t>
  </si>
  <si>
    <t>JUNIO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</si>
</sst>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7" formatCode="&quot;S/.&quot;#,##0.00;\-&quot;S/.&quot;#,##0.00"/>
    <numFmt numFmtId="164" formatCode="_(* #,##0.00_);_(* \(#,##0.00\);_(* &quot;-&quot;??_);_(@_)"/>
    <numFmt numFmtId="165" formatCode="_ [$€]* #,##0.00_ ;_ [$€]* \-#,##0.00_ ;_ [$€]* &quot;-&quot;??_ ;_ @_ "/>
    <numFmt numFmtId="166" formatCode="_ &quot;€&quot;* #,##0.00_ ;_ &quot;€&quot;* \-#,##0.00_ ;_ &quot;€&quot;* &quot;-&quot;??_ ;_ @_ "/>
  </numFmts>
  <fonts count="3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0"/>
      <name val="Arial"/>
      <family val="2"/>
    </font>
    <font>
      <b/>
      <sz val="14"/>
      <color rgb="FF000099"/>
      <name val="Arial"/>
      <family val="2"/>
    </font>
    <font>
      <b/>
      <sz val="10"/>
      <color rgb="FF000099"/>
      <name val="Arial"/>
      <family val="2"/>
    </font>
    <font>
      <b/>
      <sz val="10"/>
      <color indexed="16"/>
      <name val="Arial"/>
      <family val="2"/>
    </font>
    <font>
      <b/>
      <sz val="11"/>
      <color indexed="16"/>
      <name val="Arial"/>
      <family val="2"/>
    </font>
    <font>
      <b/>
      <sz val="10"/>
      <name val="Times New Roman"/>
      <family val="1"/>
    </font>
    <font>
      <sz val="10"/>
      <name val="Times New Roman"/>
      <family val="1"/>
    </font>
    <font>
      <b/>
      <sz val="11"/>
      <name val="Arial"/>
      <family val="2"/>
    </font>
    <font>
      <b/>
      <sz val="10"/>
      <name val="Arial"/>
      <family val="2"/>
    </font>
    <font>
      <sz val="11"/>
      <name val="Arial"/>
      <family val="2"/>
    </font>
    <font>
      <b/>
      <u/>
      <sz val="10"/>
      <name val="Arial"/>
      <family val="2"/>
    </font>
    <font>
      <b/>
      <sz val="11"/>
      <name val="Arial Narrow"/>
      <family val="2"/>
    </font>
    <font>
      <sz val="11"/>
      <color rgb="FF000000"/>
      <name val="Arial"/>
      <family val="2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2"/>
      <name val="Arial"/>
      <family val="2"/>
    </font>
    <font>
      <b/>
      <sz val="14"/>
      <name val="Arial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0"/>
      <color indexed="9"/>
      <name val="Arial"/>
      <family val="2"/>
    </font>
    <font>
      <b/>
      <u/>
      <sz val="10"/>
      <color theme="0"/>
      <name val="Arial"/>
      <family val="2"/>
    </font>
    <font>
      <b/>
      <sz val="11"/>
      <color theme="1"/>
      <name val="Arial Narrow"/>
      <family val="2"/>
    </font>
    <font>
      <b/>
      <sz val="12"/>
      <color theme="1"/>
      <name val="Arial Narrow"/>
      <family val="2"/>
    </font>
    <font>
      <sz val="12"/>
      <name val="Arial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1"/>
      <color theme="0"/>
      <name val="Calibri"/>
      <family val="2"/>
      <scheme val="minor"/>
    </font>
    <font>
      <b/>
      <sz val="9"/>
      <color theme="1"/>
      <name val="Arial Narrow"/>
      <family val="2"/>
    </font>
    <font>
      <b/>
      <sz val="8"/>
      <color theme="1"/>
      <name val="Arial Narrow"/>
      <family val="2"/>
    </font>
  </fonts>
  <fills count="13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13">
    <xf numFmtId="0" fontId="0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" fillId="0" borderId="0"/>
    <xf numFmtId="0" fontId="3" fillId="0" borderId="0"/>
    <xf numFmtId="0" fontId="1" fillId="0" borderId="0"/>
  </cellStyleXfs>
  <cellXfs count="124">
    <xf numFmtId="0" fontId="0" fillId="0" borderId="0" xfId="0"/>
    <xf numFmtId="0" fontId="5" fillId="2" borderId="3" xfId="1" applyNumberFormat="1" applyFont="1" applyFill="1" applyBorder="1" applyAlignment="1" applyProtection="1">
      <alignment horizontal="center"/>
      <protection hidden="1"/>
    </xf>
    <xf numFmtId="0" fontId="5" fillId="2" borderId="4" xfId="1" applyFont="1" applyFill="1" applyBorder="1" applyAlignment="1" applyProtection="1">
      <alignment horizontal="center"/>
      <protection hidden="1"/>
    </xf>
    <xf numFmtId="0" fontId="6" fillId="3" borderId="5" xfId="0" applyNumberFormat="1" applyFont="1" applyFill="1" applyBorder="1" applyAlignment="1" applyProtection="1">
      <alignment horizontal="center" vertical="center"/>
      <protection hidden="1"/>
    </xf>
    <xf numFmtId="0" fontId="7" fillId="3" borderId="5" xfId="0" applyFont="1" applyFill="1" applyBorder="1" applyAlignment="1" applyProtection="1">
      <alignment vertical="center"/>
      <protection hidden="1"/>
    </xf>
    <xf numFmtId="0" fontId="8" fillId="0" borderId="5" xfId="1" applyNumberFormat="1" applyFont="1" applyFill="1" applyBorder="1" applyAlignment="1">
      <alignment horizontal="left"/>
    </xf>
    <xf numFmtId="0" fontId="8" fillId="0" borderId="5" xfId="1" applyFont="1" applyFill="1" applyBorder="1"/>
    <xf numFmtId="0" fontId="9" fillId="0" borderId="6" xfId="1" applyNumberFormat="1" applyFont="1" applyFill="1" applyBorder="1" applyAlignment="1">
      <alignment horizontal="left" indent="2"/>
    </xf>
    <xf numFmtId="0" fontId="9" fillId="0" borderId="6" xfId="1" applyFont="1" applyFill="1" applyBorder="1"/>
    <xf numFmtId="0" fontId="9" fillId="0" borderId="6" xfId="1" applyNumberFormat="1" applyFont="1" applyFill="1" applyBorder="1" applyAlignment="1">
      <alignment horizontal="left" indent="4"/>
    </xf>
    <xf numFmtId="0" fontId="9" fillId="0" borderId="6" xfId="1" applyNumberFormat="1" applyFont="1" applyFill="1" applyBorder="1" applyAlignment="1">
      <alignment horizontal="left" indent="6"/>
    </xf>
    <xf numFmtId="0" fontId="8" fillId="0" borderId="6" xfId="1" applyNumberFormat="1" applyFont="1" applyFill="1" applyBorder="1" applyAlignment="1">
      <alignment horizontal="left"/>
    </xf>
    <xf numFmtId="0" fontId="8" fillId="0" borderId="6" xfId="1" applyFont="1" applyFill="1" applyBorder="1"/>
    <xf numFmtId="0" fontId="9" fillId="0" borderId="6" xfId="1" applyFont="1" applyFill="1" applyBorder="1" applyAlignment="1">
      <alignment horizontal="left"/>
    </xf>
    <xf numFmtId="49" fontId="9" fillId="0" borderId="6" xfId="1" applyNumberFormat="1" applyFont="1" applyFill="1" applyBorder="1" applyAlignment="1">
      <alignment horizontal="left"/>
    </xf>
    <xf numFmtId="49" fontId="9" fillId="0" borderId="6" xfId="1" applyNumberFormat="1" applyFont="1" applyFill="1" applyBorder="1"/>
    <xf numFmtId="49" fontId="8" fillId="0" borderId="6" xfId="1" applyNumberFormat="1" applyFont="1" applyFill="1" applyBorder="1"/>
    <xf numFmtId="0" fontId="3" fillId="0" borderId="6" xfId="0" applyNumberFormat="1" applyFont="1" applyBorder="1" applyAlignment="1">
      <alignment horizontal="right"/>
    </xf>
    <xf numFmtId="0" fontId="0" fillId="0" borderId="6" xfId="0" applyBorder="1"/>
    <xf numFmtId="0" fontId="9" fillId="4" borderId="6" xfId="1" applyFont="1" applyFill="1" applyBorder="1"/>
    <xf numFmtId="0" fontId="3" fillId="5" borderId="0" xfId="0" quotePrefix="1" applyNumberFormat="1" applyFont="1" applyFill="1" applyBorder="1" applyAlignment="1" applyProtection="1">
      <alignment horizontal="center"/>
      <protection hidden="1"/>
    </xf>
    <xf numFmtId="0" fontId="10" fillId="6" borderId="0" xfId="0" applyFont="1" applyFill="1" applyAlignment="1" applyProtection="1">
      <alignment horizontal="left"/>
      <protection hidden="1"/>
    </xf>
    <xf numFmtId="0" fontId="8" fillId="7" borderId="6" xfId="0" applyNumberFormat="1" applyFont="1" applyFill="1" applyBorder="1" applyAlignment="1">
      <alignment horizontal="left"/>
    </xf>
    <xf numFmtId="0" fontId="8" fillId="7" borderId="6" xfId="0" applyFont="1" applyFill="1" applyBorder="1" applyAlignment="1">
      <alignment horizontal="left"/>
    </xf>
    <xf numFmtId="0" fontId="9" fillId="7" borderId="6" xfId="0" applyNumberFormat="1" applyFont="1" applyFill="1" applyBorder="1" applyAlignment="1">
      <alignment horizontal="left" indent="2"/>
    </xf>
    <xf numFmtId="0" fontId="9" fillId="7" borderId="6" xfId="0" applyFont="1" applyFill="1" applyBorder="1" applyAlignment="1">
      <alignment horizontal="left"/>
    </xf>
    <xf numFmtId="0" fontId="9" fillId="7" borderId="6" xfId="0" applyNumberFormat="1" applyFont="1" applyFill="1" applyBorder="1" applyAlignment="1">
      <alignment horizontal="left" indent="4"/>
    </xf>
    <xf numFmtId="0" fontId="11" fillId="8" borderId="0" xfId="1" applyNumberFormat="1" applyFont="1" applyFill="1" applyBorder="1" applyAlignment="1" applyProtection="1">
      <alignment horizontal="left"/>
      <protection hidden="1"/>
    </xf>
    <xf numFmtId="0" fontId="11" fillId="9" borderId="0" xfId="1" applyFont="1" applyFill="1" applyBorder="1" applyProtection="1">
      <protection hidden="1"/>
    </xf>
    <xf numFmtId="0" fontId="12" fillId="9" borderId="0" xfId="0" applyFont="1" applyFill="1" applyAlignment="1" applyProtection="1">
      <alignment horizontal="left"/>
      <protection hidden="1"/>
    </xf>
    <xf numFmtId="0" fontId="13" fillId="8" borderId="0" xfId="1" applyNumberFormat="1" applyFont="1" applyFill="1" applyBorder="1" applyAlignment="1" applyProtection="1">
      <alignment horizontal="left"/>
      <protection hidden="1"/>
    </xf>
    <xf numFmtId="0" fontId="10" fillId="9" borderId="0" xfId="0" applyFont="1" applyFill="1" applyAlignment="1" applyProtection="1">
      <alignment horizontal="left"/>
      <protection hidden="1"/>
    </xf>
    <xf numFmtId="0" fontId="11" fillId="5" borderId="0" xfId="1" quotePrefix="1" applyNumberFormat="1" applyFont="1" applyFill="1" applyBorder="1" applyAlignment="1" applyProtection="1">
      <alignment horizontal="left"/>
      <protection hidden="1"/>
    </xf>
    <xf numFmtId="0" fontId="3" fillId="5" borderId="0" xfId="1" quotePrefix="1" applyNumberFormat="1" applyFont="1" applyFill="1" applyBorder="1" applyAlignment="1" applyProtection="1">
      <alignment horizontal="left"/>
      <protection hidden="1"/>
    </xf>
    <xf numFmtId="0" fontId="12" fillId="6" borderId="0" xfId="0" applyFont="1" applyFill="1" applyAlignment="1" applyProtection="1">
      <alignment horizontal="left"/>
      <protection hidden="1"/>
    </xf>
    <xf numFmtId="0" fontId="3" fillId="5" borderId="0" xfId="1" quotePrefix="1" applyNumberFormat="1" applyFont="1" applyFill="1" applyBorder="1" applyAlignment="1" applyProtection="1">
      <alignment horizontal="center"/>
      <protection hidden="1"/>
    </xf>
    <xf numFmtId="0" fontId="11" fillId="6" borderId="0" xfId="0" applyFont="1" applyFill="1" applyProtection="1">
      <protection hidden="1"/>
    </xf>
    <xf numFmtId="0" fontId="12" fillId="6" borderId="0" xfId="0" applyFont="1" applyFill="1" applyProtection="1">
      <protection hidden="1"/>
    </xf>
    <xf numFmtId="0" fontId="11" fillId="5" borderId="0" xfId="0" quotePrefix="1" applyNumberFormat="1" applyFont="1" applyFill="1" applyBorder="1" applyProtection="1">
      <protection hidden="1"/>
    </xf>
    <xf numFmtId="0" fontId="14" fillId="6" borderId="0" xfId="0" applyFont="1" applyFill="1" applyAlignment="1" applyProtection="1">
      <alignment horizontal="left"/>
      <protection hidden="1"/>
    </xf>
    <xf numFmtId="0" fontId="12" fillId="6" borderId="0" xfId="0" applyFont="1" applyFill="1" applyBorder="1" applyAlignment="1" applyProtection="1">
      <alignment horizontal="left" vertical="center"/>
      <protection hidden="1"/>
    </xf>
    <xf numFmtId="0" fontId="11" fillId="5" borderId="0" xfId="0" quotePrefix="1" applyNumberFormat="1" applyFont="1" applyFill="1" applyBorder="1" applyAlignment="1" applyProtection="1">
      <alignment horizontal="left"/>
      <protection hidden="1"/>
    </xf>
    <xf numFmtId="0" fontId="15" fillId="6" borderId="0" xfId="0" applyFont="1" applyFill="1" applyAlignment="1" applyProtection="1">
      <alignment horizontal="left"/>
      <protection hidden="1"/>
    </xf>
    <xf numFmtId="0" fontId="12" fillId="6" borderId="0" xfId="0" quotePrefix="1" applyFont="1" applyFill="1" applyBorder="1" applyAlignment="1" applyProtection="1">
      <alignment horizontal="left" vertical="center"/>
      <protection hidden="1"/>
    </xf>
    <xf numFmtId="0" fontId="1" fillId="0" borderId="0" xfId="0" applyNumberFormat="1" applyFont="1" applyProtection="1">
      <protection hidden="1"/>
    </xf>
    <xf numFmtId="0" fontId="1" fillId="0" borderId="0" xfId="0" applyFont="1" applyProtection="1">
      <protection hidden="1"/>
    </xf>
    <xf numFmtId="0" fontId="0" fillId="0" borderId="0" xfId="0"/>
    <xf numFmtId="0" fontId="18" fillId="0" borderId="0" xfId="0" applyFont="1" applyProtection="1"/>
    <xf numFmtId="0" fontId="19" fillId="0" borderId="0" xfId="0" applyFont="1" applyProtection="1"/>
    <xf numFmtId="0" fontId="0" fillId="0" borderId="0" xfId="0" applyProtection="1"/>
    <xf numFmtId="0" fontId="11" fillId="0" borderId="0" xfId="0" applyFont="1" applyProtection="1"/>
    <xf numFmtId="0" fontId="20" fillId="0" borderId="0" xfId="0" applyFont="1" applyAlignment="1" applyProtection="1">
      <protection locked="0"/>
    </xf>
    <xf numFmtId="0" fontId="16" fillId="0" borderId="0" xfId="0" applyFont="1"/>
    <xf numFmtId="0" fontId="0" fillId="0" borderId="0" xfId="0" applyBorder="1"/>
    <xf numFmtId="0" fontId="21" fillId="0" borderId="0" xfId="0" applyFont="1" applyFill="1" applyAlignment="1" applyProtection="1">
      <protection locked="0"/>
    </xf>
    <xf numFmtId="0" fontId="20" fillId="0" borderId="0" xfId="0" applyFont="1" applyFill="1" applyAlignment="1" applyProtection="1">
      <protection locked="0"/>
    </xf>
    <xf numFmtId="0" fontId="22" fillId="0" borderId="0" xfId="0" applyFont="1" applyFill="1" applyAlignment="1" applyProtection="1">
      <protection locked="0"/>
    </xf>
    <xf numFmtId="0" fontId="17" fillId="10" borderId="6" xfId="0" applyFont="1" applyFill="1" applyBorder="1" applyAlignment="1">
      <alignment horizontal="center"/>
    </xf>
    <xf numFmtId="0" fontId="0" fillId="0" borderId="11" xfId="0" applyBorder="1"/>
    <xf numFmtId="0" fontId="0" fillId="0" borderId="7" xfId="0" applyBorder="1"/>
    <xf numFmtId="0" fontId="0" fillId="0" borderId="10" xfId="0" applyBorder="1"/>
    <xf numFmtId="49" fontId="0" fillId="0" borderId="0" xfId="0" applyNumberFormat="1" applyBorder="1"/>
    <xf numFmtId="0" fontId="3" fillId="0" borderId="0" xfId="2" applyFont="1"/>
    <xf numFmtId="0" fontId="11" fillId="0" borderId="0" xfId="2" applyFont="1"/>
    <xf numFmtId="0" fontId="11" fillId="0" borderId="0" xfId="2" applyFont="1" applyFill="1" applyAlignment="1">
      <alignment horizontal="center"/>
    </xf>
    <xf numFmtId="0" fontId="13" fillId="0" borderId="0" xfId="2" applyFont="1" applyFill="1" applyAlignment="1">
      <alignment horizontal="center"/>
    </xf>
    <xf numFmtId="0" fontId="13" fillId="0" borderId="0" xfId="2" applyFont="1" applyAlignment="1">
      <alignment horizontal="center"/>
    </xf>
    <xf numFmtId="0" fontId="23" fillId="0" borderId="0" xfId="2" applyFont="1" applyAlignment="1">
      <alignment horizontal="center"/>
    </xf>
    <xf numFmtId="0" fontId="24" fillId="0" borderId="0" xfId="2" applyFont="1" applyFill="1" applyAlignment="1">
      <alignment horizontal="center"/>
    </xf>
    <xf numFmtId="0" fontId="27" fillId="0" borderId="0" xfId="2" applyFont="1"/>
    <xf numFmtId="0" fontId="28" fillId="7" borderId="0" xfId="2" applyFont="1" applyFill="1"/>
    <xf numFmtId="0" fontId="28" fillId="0" borderId="0" xfId="2" applyFont="1"/>
    <xf numFmtId="0" fontId="28" fillId="0" borderId="0" xfId="2" applyFont="1" applyFill="1"/>
    <xf numFmtId="164" fontId="29" fillId="0" borderId="0" xfId="2" applyNumberFormat="1" applyFont="1"/>
    <xf numFmtId="49" fontId="29" fillId="0" borderId="0" xfId="2" applyNumberFormat="1" applyFont="1"/>
    <xf numFmtId="0" fontId="29" fillId="0" borderId="0" xfId="2" applyFont="1"/>
    <xf numFmtId="0" fontId="29" fillId="0" borderId="0" xfId="2" applyFont="1" applyBorder="1"/>
    <xf numFmtId="49" fontId="17" fillId="10" borderId="6" xfId="0" applyNumberFormat="1" applyFont="1" applyFill="1" applyBorder="1" applyAlignment="1">
      <alignment horizontal="center" vertical="center"/>
    </xf>
    <xf numFmtId="49" fontId="0" fillId="0" borderId="12" xfId="0" applyNumberFormat="1" applyBorder="1"/>
    <xf numFmtId="49" fontId="0" fillId="0" borderId="7" xfId="0" applyNumberFormat="1" applyBorder="1"/>
    <xf numFmtId="49" fontId="0" fillId="0" borderId="10" xfId="0" applyNumberFormat="1" applyBorder="1"/>
    <xf numFmtId="7" fontId="0" fillId="0" borderId="0" xfId="0" applyNumberFormat="1"/>
    <xf numFmtId="0" fontId="29" fillId="0" borderId="0" xfId="0" applyFont="1"/>
    <xf numFmtId="0" fontId="29" fillId="0" borderId="0" xfId="0" applyFont="1" applyBorder="1"/>
    <xf numFmtId="0" fontId="0" fillId="0" borderId="14" xfId="0" applyBorder="1"/>
    <xf numFmtId="0" fontId="30" fillId="0" borderId="0" xfId="0" applyFont="1"/>
    <xf numFmtId="49" fontId="28" fillId="0" borderId="0" xfId="2" applyNumberFormat="1" applyFont="1" applyFill="1" applyBorder="1" applyAlignment="1">
      <alignment horizontal="center"/>
    </xf>
    <xf numFmtId="49" fontId="31" fillId="0" borderId="6" xfId="2" applyNumberFormat="1" applyFont="1" applyFill="1" applyBorder="1" applyAlignment="1">
      <alignment horizontal="center" vertical="center"/>
    </xf>
    <xf numFmtId="49" fontId="31" fillId="0" borderId="13" xfId="2" applyNumberFormat="1" applyFont="1" applyFill="1" applyBorder="1" applyAlignment="1">
      <alignment horizontal="center" vertical="center"/>
    </xf>
    <xf numFmtId="0" fontId="31" fillId="0" borderId="6" xfId="2" applyFont="1" applyBorder="1" applyAlignment="1">
      <alignment horizontal="center" vertical="center"/>
    </xf>
    <xf numFmtId="0" fontId="32" fillId="0" borderId="6" xfId="2" applyFont="1" applyFill="1" applyBorder="1" applyAlignment="1">
      <alignment horizontal="center" vertical="center" wrapText="1"/>
    </xf>
    <xf numFmtId="0" fontId="0" fillId="12" borderId="0" xfId="0" applyFill="1"/>
    <xf numFmtId="7" fontId="0" fillId="12" borderId="0" xfId="0" applyNumberFormat="1" applyFill="1"/>
    <xf numFmtId="7" fontId="0" fillId="11" borderId="0" xfId="0" applyNumberFormat="1" applyFill="1"/>
    <xf numFmtId="0" fontId="4" fillId="2" borderId="1" xfId="1" applyFont="1" applyFill="1" applyBorder="1" applyAlignment="1" applyProtection="1">
      <alignment horizontal="center" vertical="center" wrapText="1"/>
      <protection hidden="1"/>
    </xf>
    <xf numFmtId="0" fontId="4" fillId="2" borderId="2" xfId="1" applyFont="1" applyFill="1" applyBorder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</xf>
    <xf numFmtId="0" fontId="17" fillId="10" borderId="7" xfId="0" applyFont="1" applyFill="1" applyBorder="1" applyAlignment="1">
      <alignment horizontal="center" vertical="center" wrapText="1"/>
    </xf>
    <xf numFmtId="0" fontId="17" fillId="10" borderId="5" xfId="0" applyFont="1" applyFill="1" applyBorder="1" applyAlignment="1">
      <alignment horizontal="center" vertical="center" wrapText="1"/>
    </xf>
    <xf numFmtId="49" fontId="17" fillId="10" borderId="7" xfId="0" applyNumberFormat="1" applyFont="1" applyFill="1" applyBorder="1" applyAlignment="1">
      <alignment horizontal="center" vertical="center" wrapText="1"/>
    </xf>
    <xf numFmtId="49" fontId="17" fillId="10" borderId="5" xfId="0" applyNumberFormat="1" applyFont="1" applyFill="1" applyBorder="1" applyAlignment="1">
      <alignment horizontal="center" vertical="center" wrapText="1"/>
    </xf>
    <xf numFmtId="49" fontId="17" fillId="10" borderId="7" xfId="0" applyNumberFormat="1" applyFont="1" applyFill="1" applyBorder="1" applyAlignment="1">
      <alignment horizontal="center" vertical="center"/>
    </xf>
    <xf numFmtId="49" fontId="17" fillId="10" borderId="5" xfId="0" applyNumberFormat="1" applyFont="1" applyFill="1" applyBorder="1" applyAlignment="1">
      <alignment horizontal="center" vertical="center"/>
    </xf>
    <xf numFmtId="0" fontId="17" fillId="10" borderId="8" xfId="0" applyFont="1" applyFill="1" applyBorder="1" applyAlignment="1">
      <alignment horizontal="center" vertical="center" wrapText="1"/>
    </xf>
    <xf numFmtId="0" fontId="17" fillId="10" borderId="9" xfId="0" applyFont="1" applyFill="1" applyBorder="1" applyAlignment="1">
      <alignment horizontal="center" vertical="center" wrapText="1"/>
    </xf>
    <xf numFmtId="49" fontId="17" fillId="10" borderId="7" xfId="0" applyNumberFormat="1" applyFont="1" applyFill="1" applyBorder="1" applyAlignment="1">
      <alignment horizontal="left" vertical="center" wrapText="1"/>
    </xf>
    <xf numFmtId="49" fontId="17" fillId="10" borderId="5" xfId="0" applyNumberFormat="1" applyFont="1" applyFill="1" applyBorder="1" applyAlignment="1">
      <alignment horizontal="left" vertical="center" wrapText="1"/>
    </xf>
    <xf numFmtId="7" fontId="17" fillId="10" borderId="7" xfId="0" applyNumberFormat="1" applyFont="1" applyFill="1" applyBorder="1" applyAlignment="1">
      <alignment horizontal="center" vertical="center" wrapText="1"/>
    </xf>
    <xf numFmtId="7" fontId="17" fillId="10" borderId="5" xfId="0" applyNumberFormat="1" applyFont="1" applyFill="1" applyBorder="1" applyAlignment="1">
      <alignment horizontal="center" vertical="center" wrapText="1"/>
    </xf>
    <xf numFmtId="7" fontId="17" fillId="12" borderId="7" xfId="0" applyNumberFormat="1" applyFont="1" applyFill="1" applyBorder="1" applyAlignment="1">
      <alignment horizontal="center" vertical="center" wrapText="1"/>
    </xf>
    <xf numFmtId="7" fontId="17" fillId="12" borderId="5" xfId="0" applyNumberFormat="1" applyFont="1" applyFill="1" applyBorder="1" applyAlignment="1">
      <alignment horizontal="center" vertical="center" wrapText="1"/>
    </xf>
    <xf numFmtId="49" fontId="17" fillId="10" borderId="6" xfId="0" applyNumberFormat="1" applyFont="1" applyFill="1" applyBorder="1" applyAlignment="1">
      <alignment horizontal="center" vertical="center" wrapText="1"/>
    </xf>
    <xf numFmtId="0" fontId="10" fillId="0" borderId="0" xfId="2" applyFont="1" applyAlignment="1">
      <alignment horizontal="center"/>
    </xf>
    <xf numFmtId="0" fontId="25" fillId="0" borderId="0" xfId="2" applyFont="1" applyAlignment="1" applyProtection="1">
      <alignment horizontal="center"/>
      <protection locked="0"/>
    </xf>
    <xf numFmtId="0" fontId="26" fillId="0" borderId="0" xfId="2" applyFont="1" applyAlignment="1" applyProtection="1">
      <alignment horizontal="center"/>
      <protection locked="0"/>
    </xf>
    <xf numFmtId="0" fontId="31" fillId="0" borderId="6" xfId="2" applyFont="1" applyFill="1" applyBorder="1" applyAlignment="1">
      <alignment horizontal="center" vertical="center" wrapText="1"/>
    </xf>
    <xf numFmtId="0" fontId="31" fillId="0" borderId="7" xfId="2" applyFont="1" applyFill="1" applyBorder="1" applyAlignment="1">
      <alignment horizontal="center" vertical="center" wrapText="1"/>
    </xf>
    <xf numFmtId="0" fontId="31" fillId="0" borderId="5" xfId="2" applyFont="1" applyFill="1" applyBorder="1" applyAlignment="1">
      <alignment horizontal="center" vertical="center" wrapText="1"/>
    </xf>
    <xf numFmtId="0" fontId="31" fillId="0" borderId="8" xfId="2" applyFont="1" applyFill="1" applyBorder="1" applyAlignment="1">
      <alignment horizontal="center" vertical="center" wrapText="1"/>
    </xf>
    <xf numFmtId="0" fontId="31" fillId="0" borderId="13" xfId="2" applyFont="1" applyFill="1" applyBorder="1" applyAlignment="1">
      <alignment horizontal="center" vertical="center" wrapText="1"/>
    </xf>
    <xf numFmtId="0" fontId="31" fillId="0" borderId="9" xfId="2" applyFont="1" applyFill="1" applyBorder="1" applyAlignment="1">
      <alignment horizontal="center" vertical="center" wrapText="1"/>
    </xf>
    <xf numFmtId="0" fontId="31" fillId="0" borderId="8" xfId="2" applyFont="1" applyFill="1" applyBorder="1" applyAlignment="1">
      <alignment horizontal="center" vertical="center"/>
    </xf>
    <xf numFmtId="0" fontId="31" fillId="0" borderId="13" xfId="2" applyFont="1" applyFill="1" applyBorder="1" applyAlignment="1">
      <alignment horizontal="center" vertical="center"/>
    </xf>
    <xf numFmtId="0" fontId="31" fillId="0" borderId="9" xfId="2" applyFont="1" applyFill="1" applyBorder="1" applyAlignment="1">
      <alignment horizontal="center" vertical="center"/>
    </xf>
  </cellXfs>
  <cellStyles count="13">
    <cellStyle name="Comma_Cheques Niños" xfId="3"/>
    <cellStyle name="Euro" xfId="4"/>
    <cellStyle name="Millares 2" xfId="5"/>
    <cellStyle name="Millares 2 2" xfId="6"/>
    <cellStyle name="Millares 3" xfId="7"/>
    <cellStyle name="Millares 4" xfId="8"/>
    <cellStyle name="Moneda 2" xfId="9"/>
    <cellStyle name="Normal" xfId="0" builtinId="0"/>
    <cellStyle name="Normal 2" xfId="1"/>
    <cellStyle name="Normal 2 2" xfId="10"/>
    <cellStyle name="Normal 3" xfId="11"/>
    <cellStyle name="Normal 4" xfId="12"/>
    <cellStyle name="Normal 5" xfId="2"/>
  </cellStyles>
  <dxfs count="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CCFFCC"/>
        </patternFill>
      </fill>
      <alignment horizontal="center" vertical="bottom" textRotation="0" wrapText="0" indent="0" justifyLastLine="0" shrinkToFit="0" readingOrder="0"/>
      <protection locked="1" hidden="1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Label" lockText="1"/>
</file>

<file path=xl/ctrlProps/ctrlProp3.xml><?xml version="1.0" encoding="utf-8"?>
<formControlPr xmlns="http://schemas.microsoft.com/office/spreadsheetml/2009/9/main" objectType="Label" lockText="1"/>
</file>

<file path=xl/ctrlProps/ctrlProp4.xml><?xml version="1.0" encoding="utf-8"?>
<formControlPr xmlns="http://schemas.microsoft.com/office/spreadsheetml/2009/9/main" objectType="Label" lockText="1"/>
</file>

<file path=xl/ctrlProps/ctrlProp5.xml><?xml version="1.0" encoding="utf-8"?>
<formControlPr xmlns="http://schemas.microsoft.com/office/spreadsheetml/2009/9/main" objectType="Label" lockText="1"/>
</file>

<file path=xl/ctrlProps/ctrlProp6.xml><?xml version="1.0" encoding="utf-8"?>
<formControlPr xmlns="http://schemas.microsoft.com/office/spreadsheetml/2009/9/main" objectType="Label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4</xdr:row>
          <xdr:rowOff>104775</xdr:rowOff>
        </xdr:from>
        <xdr:to>
          <xdr:col>9</xdr:col>
          <xdr:colOff>571500</xdr:colOff>
          <xdr:row>16</xdr:row>
          <xdr:rowOff>76200</xdr:rowOff>
        </xdr:to>
        <xdr:sp macro="" textlink="">
          <xdr:nvSpPr>
            <xdr:cNvPr id="1025" name="Group Box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523875</xdr:colOff>
          <xdr:row>6</xdr:row>
          <xdr:rowOff>104775</xdr:rowOff>
        </xdr:from>
        <xdr:to>
          <xdr:col>5</xdr:col>
          <xdr:colOff>342900</xdr:colOff>
          <xdr:row>7</xdr:row>
          <xdr:rowOff>95250</xdr:rowOff>
        </xdr:to>
        <xdr:sp macro="" textlink="">
          <xdr:nvSpPr>
            <xdr:cNvPr id="1026" name="Label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NOMBRE O RAZON SOCIAL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514350</xdr:colOff>
          <xdr:row>8</xdr:row>
          <xdr:rowOff>161925</xdr:rowOff>
        </xdr:from>
        <xdr:to>
          <xdr:col>4</xdr:col>
          <xdr:colOff>352425</xdr:colOff>
          <xdr:row>9</xdr:row>
          <xdr:rowOff>142875</xdr:rowOff>
        </xdr:to>
        <xdr:sp macro="" textlink="">
          <xdr:nvSpPr>
            <xdr:cNvPr id="1027" name="Label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RUC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514350</xdr:colOff>
          <xdr:row>12</xdr:row>
          <xdr:rowOff>180975</xdr:rowOff>
        </xdr:from>
        <xdr:to>
          <xdr:col>5</xdr:col>
          <xdr:colOff>323850</xdr:colOff>
          <xdr:row>13</xdr:row>
          <xdr:rowOff>152400</xdr:rowOff>
        </xdr:to>
        <xdr:sp macro="" textlink="">
          <xdr:nvSpPr>
            <xdr:cNvPr id="1028" name="Label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PERIODO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12</xdr:row>
          <xdr:rowOff>180975</xdr:rowOff>
        </xdr:from>
        <xdr:to>
          <xdr:col>6</xdr:col>
          <xdr:colOff>400050</xdr:colOff>
          <xdr:row>13</xdr:row>
          <xdr:rowOff>161925</xdr:rowOff>
        </xdr:to>
        <xdr:sp macro="" textlink="">
          <xdr:nvSpPr>
            <xdr:cNvPr id="1029" name="Label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600075</xdr:colOff>
          <xdr:row>12</xdr:row>
          <xdr:rowOff>180975</xdr:rowOff>
        </xdr:from>
        <xdr:to>
          <xdr:col>8</xdr:col>
          <xdr:colOff>190500</xdr:colOff>
          <xdr:row>13</xdr:row>
          <xdr:rowOff>161925</xdr:rowOff>
        </xdr:to>
        <xdr:sp macro="" textlink="">
          <xdr:nvSpPr>
            <xdr:cNvPr id="1030" name="Label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AÑO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419100</xdr:colOff>
          <xdr:row>6</xdr:row>
          <xdr:rowOff>114300</xdr:rowOff>
        </xdr:from>
        <xdr:to>
          <xdr:col>9</xdr:col>
          <xdr:colOff>257175</xdr:colOff>
          <xdr:row>7</xdr:row>
          <xdr:rowOff>152400</xdr:rowOff>
        </xdr:to>
        <xdr:sp macro="" textlink="">
          <xdr:nvSpPr>
            <xdr:cNvPr id="1033" name="TextBox1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447675</xdr:colOff>
          <xdr:row>8</xdr:row>
          <xdr:rowOff>95250</xdr:rowOff>
        </xdr:from>
        <xdr:to>
          <xdr:col>9</xdr:col>
          <xdr:colOff>285750</xdr:colOff>
          <xdr:row>9</xdr:row>
          <xdr:rowOff>133350</xdr:rowOff>
        </xdr:to>
        <xdr:sp macro="" textlink="">
          <xdr:nvSpPr>
            <xdr:cNvPr id="1034" name="TextBox2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152400</xdr:rowOff>
        </xdr:from>
        <xdr:to>
          <xdr:col>7</xdr:col>
          <xdr:colOff>66675</xdr:colOff>
          <xdr:row>14</xdr:row>
          <xdr:rowOff>9525</xdr:rowOff>
        </xdr:to>
        <xdr:sp macro="" textlink="">
          <xdr:nvSpPr>
            <xdr:cNvPr id="1035" name="ComboBox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276225</xdr:colOff>
          <xdr:row>12</xdr:row>
          <xdr:rowOff>142875</xdr:rowOff>
        </xdr:from>
        <xdr:to>
          <xdr:col>9</xdr:col>
          <xdr:colOff>257175</xdr:colOff>
          <xdr:row>13</xdr:row>
          <xdr:rowOff>171450</xdr:rowOff>
        </xdr:to>
        <xdr:sp macro="" textlink="">
          <xdr:nvSpPr>
            <xdr:cNvPr id="1037" name="TextBox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2028825</xdr:colOff>
      <xdr:row>2</xdr:row>
      <xdr:rowOff>123825</xdr:rowOff>
    </xdr:from>
    <xdr:to>
      <xdr:col>9</xdr:col>
      <xdr:colOff>38100</xdr:colOff>
      <xdr:row>3</xdr:row>
      <xdr:rowOff>180975</xdr:rowOff>
    </xdr:to>
    <xdr:sp macro="[0]!Rectángulo1_Haga_clic_en" textlink="">
      <xdr:nvSpPr>
        <xdr:cNvPr id="2" name="Rectángulo 1"/>
        <xdr:cNvSpPr/>
      </xdr:nvSpPr>
      <xdr:spPr>
        <a:xfrm>
          <a:off x="8839200" y="581025"/>
          <a:ext cx="1200150" cy="2571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      PROCESAR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ERU_CONTABLE/PERU%20CONTABLE/BASES/SISTEMA%20CONTABLE%20(PLE___MACROS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 GENERALES"/>
      <sheetName val="APOYO-ASIENTO"/>
      <sheetName val="Login"/>
      <sheetName val="Productos"/>
      <sheetName val="Movimientos"/>
      <sheetName val="PROVEE-CLIENTES"/>
      <sheetName val="TABLAS"/>
      <sheetName val="PCGE"/>
      <sheetName val="LIBRO CAJA"/>
      <sheetName val="LIBRO BANCOS"/>
      <sheetName val="REG COMPRAS"/>
      <sheetName val="Hoja1"/>
      <sheetName val="REG VENTAS"/>
      <sheetName val="Hoja3"/>
      <sheetName val="Dario_Detallado"/>
      <sheetName val="DIARIO"/>
      <sheetName val="MAYOR ELECTRONICO"/>
      <sheetName val="HOJA DE TRABAJO"/>
      <sheetName val="BGC"/>
      <sheetName val="ERF"/>
      <sheetName val="ERN"/>
      <sheetName val="BGSMV"/>
      <sheetName val="ERSMV"/>
      <sheetName val="DETALLE DE RUBROS"/>
      <sheetName val="Hoja de trabjo EFE"/>
      <sheetName val="EE_FLUJOS_EFECTIVO"/>
      <sheetName val="EE DE CAMBIOS EN EL PATRI NETO"/>
      <sheetName val="LIBRO CAJA mensual"/>
      <sheetName val="LIBRO BANCOS mensual "/>
      <sheetName val="RC Mensual"/>
      <sheetName val="RV Mensual"/>
      <sheetName val="KARDEX"/>
      <sheetName val="Diario Mensual"/>
      <sheetName val="Mayor"/>
      <sheetName val="Diario Simplificado"/>
    </sheetNames>
    <sheetDataSet>
      <sheetData sheetId="0" refreshError="1"/>
      <sheetData sheetId="1">
        <row r="5">
          <cell r="B5">
            <v>622</v>
          </cell>
          <cell r="E5">
            <v>8900</v>
          </cell>
        </row>
        <row r="6">
          <cell r="B6">
            <v>413</v>
          </cell>
          <cell r="C6" t="str">
            <v>P0311</v>
          </cell>
          <cell r="F6">
            <v>8900</v>
          </cell>
        </row>
        <row r="7">
          <cell r="B7">
            <v>851</v>
          </cell>
          <cell r="C7">
            <v>0</v>
          </cell>
          <cell r="E7">
            <v>80100</v>
          </cell>
        </row>
        <row r="8">
          <cell r="B8">
            <v>881</v>
          </cell>
          <cell r="C8">
            <v>0</v>
          </cell>
          <cell r="E8">
            <v>24030</v>
          </cell>
          <cell r="F8">
            <v>24030</v>
          </cell>
        </row>
        <row r="9">
          <cell r="B9">
            <v>882</v>
          </cell>
          <cell r="C9">
            <v>0</v>
          </cell>
        </row>
        <row r="10">
          <cell r="B10">
            <v>3712</v>
          </cell>
          <cell r="C10" t="str">
            <v>A0207</v>
          </cell>
          <cell r="E10">
            <v>0</v>
          </cell>
        </row>
        <row r="11">
          <cell r="B11">
            <v>891</v>
          </cell>
          <cell r="C11">
            <v>0</v>
          </cell>
          <cell r="E11">
            <v>56070</v>
          </cell>
          <cell r="F11">
            <v>56070</v>
          </cell>
        </row>
        <row r="12">
          <cell r="B12">
            <v>892</v>
          </cell>
          <cell r="C12">
            <v>0</v>
          </cell>
        </row>
        <row r="13">
          <cell r="B13">
            <v>582</v>
          </cell>
          <cell r="C13" t="str">
            <v>P0705</v>
          </cell>
          <cell r="F13">
            <v>0</v>
          </cell>
        </row>
        <row r="14">
          <cell r="B14">
            <v>5911</v>
          </cell>
          <cell r="C14" t="str">
            <v>P0707</v>
          </cell>
          <cell r="E14">
            <v>0</v>
          </cell>
          <cell r="F14">
            <v>56070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12">
          <cell r="A12" t="str">
            <v>CODIGO</v>
          </cell>
          <cell r="B12" t="str">
            <v>CUENTA</v>
          </cell>
        </row>
        <row r="13">
          <cell r="A13" t="str">
            <v>1</v>
          </cell>
          <cell r="B13" t="str">
            <v>ACTIVO DISPONIBLE Y EXIGIBLE</v>
          </cell>
        </row>
        <row r="14">
          <cell r="A14">
            <v>10</v>
          </cell>
          <cell r="B14" t="str">
            <v>EFECTIVO Y EQUIVALENTES DE EFECTIVO</v>
          </cell>
          <cell r="P14" t="str">
            <v>A0109</v>
          </cell>
          <cell r="S14">
            <v>0</v>
          </cell>
        </row>
        <row r="15">
          <cell r="A15">
            <v>101</v>
          </cell>
          <cell r="B15" t="str">
            <v xml:space="preserve">Caja </v>
          </cell>
          <cell r="P15" t="str">
            <v>A0109</v>
          </cell>
          <cell r="S15">
            <v>0</v>
          </cell>
        </row>
        <row r="16">
          <cell r="A16">
            <v>1011</v>
          </cell>
          <cell r="B16" t="str">
            <v>Caja en moneda nacional</v>
          </cell>
          <cell r="P16" t="str">
            <v>A0109</v>
          </cell>
          <cell r="S16">
            <v>0</v>
          </cell>
        </row>
        <row r="17">
          <cell r="A17">
            <v>10111</v>
          </cell>
          <cell r="B17" t="str">
            <v>Dinero en efectivo - nuevos soles</v>
          </cell>
          <cell r="P17" t="str">
            <v>A0109</v>
          </cell>
          <cell r="S17">
            <v>0</v>
          </cell>
        </row>
        <row r="18">
          <cell r="A18">
            <v>102</v>
          </cell>
          <cell r="B18" t="str">
            <v>Fondos Fijos</v>
          </cell>
          <cell r="P18" t="str">
            <v>A0109</v>
          </cell>
          <cell r="S18">
            <v>0</v>
          </cell>
        </row>
        <row r="19">
          <cell r="A19">
            <v>103</v>
          </cell>
          <cell r="B19" t="str">
            <v>Efectivo en Tránsito</v>
          </cell>
          <cell r="P19" t="str">
            <v>A0109</v>
          </cell>
          <cell r="S19">
            <v>0</v>
          </cell>
        </row>
        <row r="20">
          <cell r="A20">
            <v>104</v>
          </cell>
          <cell r="B20" t="str">
            <v>Cuentas Corrientes en Instituciones Financieras</v>
          </cell>
          <cell r="P20" t="str">
            <v>A0109</v>
          </cell>
          <cell r="S20">
            <v>0</v>
          </cell>
        </row>
        <row r="21">
          <cell r="A21">
            <v>1041</v>
          </cell>
          <cell r="B21" t="str">
            <v>Cuentas corrientes operativas</v>
          </cell>
          <cell r="P21" t="str">
            <v>A0109</v>
          </cell>
          <cell r="S21">
            <v>0</v>
          </cell>
        </row>
        <row r="22">
          <cell r="A22">
            <v>10411</v>
          </cell>
          <cell r="B22" t="str">
            <v>Cuenta corriente banco DE CREDITO DEL PERU</v>
          </cell>
          <cell r="P22" t="str">
            <v>A0109</v>
          </cell>
          <cell r="S22">
            <v>10000000</v>
          </cell>
        </row>
        <row r="23">
          <cell r="A23">
            <v>10412</v>
          </cell>
          <cell r="B23" t="str">
            <v>Banco CONTINENTAL</v>
          </cell>
          <cell r="P23" t="str">
            <v>A0109</v>
          </cell>
          <cell r="S23">
            <v>0</v>
          </cell>
        </row>
        <row r="24">
          <cell r="A24">
            <v>10413</v>
          </cell>
          <cell r="B24" t="str">
            <v>Cuenta corriente banco SCOTIABANK PERU</v>
          </cell>
          <cell r="P24" t="str">
            <v>A0109</v>
          </cell>
          <cell r="S24">
            <v>0</v>
          </cell>
        </row>
        <row r="25">
          <cell r="A25">
            <v>10414</v>
          </cell>
          <cell r="B25" t="str">
            <v>Cuenta corriente banco CONTINENTAL</v>
          </cell>
          <cell r="P25" t="str">
            <v>A0109</v>
          </cell>
          <cell r="S25">
            <v>0</v>
          </cell>
        </row>
        <row r="26">
          <cell r="A26">
            <v>10415</v>
          </cell>
          <cell r="B26" t="str">
            <v>Cuenta corriente banco FINANCIERO DEL PERU</v>
          </cell>
          <cell r="P26" t="str">
            <v>A0109</v>
          </cell>
          <cell r="S26">
            <v>0</v>
          </cell>
        </row>
        <row r="27">
          <cell r="A27">
            <v>10416</v>
          </cell>
          <cell r="B27" t="str">
            <v>Cuenta corriente banco AGROBANCO</v>
          </cell>
          <cell r="P27" t="str">
            <v>A0109</v>
          </cell>
          <cell r="S27">
            <v>0</v>
          </cell>
        </row>
        <row r="28">
          <cell r="A28">
            <v>10417</v>
          </cell>
          <cell r="B28" t="str">
            <v>Cuenta corriente banco DE CREDITO DEL PERU</v>
          </cell>
          <cell r="P28" t="str">
            <v>A0109</v>
          </cell>
          <cell r="S28">
            <v>0</v>
          </cell>
        </row>
        <row r="29">
          <cell r="A29">
            <v>10418</v>
          </cell>
          <cell r="B29" t="str">
            <v>Cuenta corriente banco CONTINENTAL</v>
          </cell>
          <cell r="P29" t="str">
            <v>A0109</v>
          </cell>
          <cell r="S29">
            <v>0</v>
          </cell>
        </row>
        <row r="30">
          <cell r="A30">
            <v>10419</v>
          </cell>
          <cell r="B30" t="str">
            <v>Cuenta corriente banco SCOTIABANK PERU</v>
          </cell>
          <cell r="P30" t="str">
            <v>A0109</v>
          </cell>
          <cell r="S30">
            <v>0</v>
          </cell>
        </row>
        <row r="31">
          <cell r="A31">
            <v>1042</v>
          </cell>
          <cell r="B31" t="str">
            <v>Cuentas corrientes para fines específicos</v>
          </cell>
          <cell r="P31" t="str">
            <v>A0109</v>
          </cell>
          <cell r="S31">
            <v>0</v>
          </cell>
        </row>
        <row r="32">
          <cell r="A32">
            <v>10421</v>
          </cell>
          <cell r="B32" t="str">
            <v>Cuenta corriente de detracciones Banco de la Nación</v>
          </cell>
          <cell r="P32" t="str">
            <v>A0109</v>
          </cell>
          <cell r="S32">
            <v>0</v>
          </cell>
        </row>
        <row r="33">
          <cell r="A33">
            <v>105</v>
          </cell>
          <cell r="B33" t="str">
            <v>Otros Equivalentes de Efectivo</v>
          </cell>
          <cell r="P33" t="str">
            <v>A0109</v>
          </cell>
          <cell r="S33">
            <v>0</v>
          </cell>
        </row>
        <row r="34">
          <cell r="A34">
            <v>1051</v>
          </cell>
          <cell r="B34" t="str">
            <v>Otros equivalentes de efectivo</v>
          </cell>
          <cell r="P34" t="str">
            <v>A0109</v>
          </cell>
          <cell r="S34">
            <v>0</v>
          </cell>
        </row>
        <row r="35">
          <cell r="A35">
            <v>106</v>
          </cell>
          <cell r="B35" t="str">
            <v>Depósitos en Instituciones Financieras</v>
          </cell>
          <cell r="P35" t="str">
            <v>A0109</v>
          </cell>
          <cell r="S35">
            <v>0</v>
          </cell>
        </row>
        <row r="36">
          <cell r="A36">
            <v>1061</v>
          </cell>
          <cell r="B36" t="str">
            <v>Depósitos de ahorro</v>
          </cell>
          <cell r="P36" t="str">
            <v>A0109</v>
          </cell>
          <cell r="S36">
            <v>0</v>
          </cell>
        </row>
        <row r="37">
          <cell r="A37">
            <v>1062</v>
          </cell>
          <cell r="B37" t="str">
            <v>Depósitos a plazo</v>
          </cell>
          <cell r="P37" t="str">
            <v>A0109</v>
          </cell>
          <cell r="S37">
            <v>0</v>
          </cell>
        </row>
        <row r="38">
          <cell r="A38">
            <v>107</v>
          </cell>
          <cell r="B38" t="str">
            <v>Fondos Sujetos a Restricción</v>
          </cell>
          <cell r="P38" t="str">
            <v>A0105</v>
          </cell>
          <cell r="S38">
            <v>0</v>
          </cell>
        </row>
        <row r="39">
          <cell r="A39">
            <v>1071</v>
          </cell>
          <cell r="B39" t="str">
            <v>Fondos sujetos a restricción</v>
          </cell>
          <cell r="P39" t="str">
            <v>A0105</v>
          </cell>
          <cell r="S39">
            <v>0</v>
          </cell>
        </row>
        <row r="40">
          <cell r="A40">
            <v>11</v>
          </cell>
          <cell r="B40" t="str">
            <v>INVERSIONES FINANCIERAS</v>
          </cell>
          <cell r="P40" t="str">
            <v>A0110</v>
          </cell>
          <cell r="S40">
            <v>0</v>
          </cell>
        </row>
        <row r="41">
          <cell r="A41">
            <v>111</v>
          </cell>
          <cell r="B41" t="str">
            <v>Inversiones Mantenidas para Negociación</v>
          </cell>
          <cell r="P41" t="str">
            <v>A0110</v>
          </cell>
          <cell r="S41">
            <v>0</v>
          </cell>
        </row>
        <row r="42">
          <cell r="A42">
            <v>1111</v>
          </cell>
          <cell r="B42" t="str">
            <v>Valores emitidos o garantizados por el estado</v>
          </cell>
          <cell r="P42" t="str">
            <v>A0110</v>
          </cell>
          <cell r="S42">
            <v>0</v>
          </cell>
        </row>
        <row r="43">
          <cell r="A43">
            <v>11111</v>
          </cell>
          <cell r="B43" t="str">
            <v>Costo</v>
          </cell>
          <cell r="P43" t="str">
            <v>A0110</v>
          </cell>
          <cell r="S43">
            <v>0</v>
          </cell>
        </row>
        <row r="44">
          <cell r="A44">
            <v>11112</v>
          </cell>
          <cell r="B44" t="str">
            <v>Valor razonable</v>
          </cell>
          <cell r="P44" t="str">
            <v>A0110</v>
          </cell>
          <cell r="S44">
            <v>0</v>
          </cell>
        </row>
        <row r="45">
          <cell r="A45">
            <v>1112</v>
          </cell>
          <cell r="B45" t="str">
            <v>Valores emitidos por el sistema financiero</v>
          </cell>
          <cell r="P45" t="str">
            <v>A0110</v>
          </cell>
          <cell r="S45">
            <v>0</v>
          </cell>
        </row>
        <row r="46">
          <cell r="A46">
            <v>11121</v>
          </cell>
          <cell r="B46" t="str">
            <v>Costo</v>
          </cell>
          <cell r="P46" t="str">
            <v>A0110</v>
          </cell>
          <cell r="S46">
            <v>0</v>
          </cell>
        </row>
        <row r="47">
          <cell r="A47">
            <v>11122</v>
          </cell>
          <cell r="B47" t="str">
            <v>Valor razonable</v>
          </cell>
          <cell r="P47" t="str">
            <v>A0110</v>
          </cell>
          <cell r="S47">
            <v>0</v>
          </cell>
        </row>
        <row r="48">
          <cell r="A48">
            <v>1113</v>
          </cell>
          <cell r="B48" t="str">
            <v>Valores emitidos por empresas</v>
          </cell>
          <cell r="P48" t="str">
            <v>A0110</v>
          </cell>
          <cell r="S48">
            <v>0</v>
          </cell>
        </row>
        <row r="49">
          <cell r="A49">
            <v>11131</v>
          </cell>
          <cell r="B49" t="str">
            <v>Costo</v>
          </cell>
          <cell r="P49" t="str">
            <v>A0110</v>
          </cell>
          <cell r="S49">
            <v>0</v>
          </cell>
        </row>
        <row r="50">
          <cell r="A50">
            <v>11132</v>
          </cell>
          <cell r="B50" t="str">
            <v>Valor razonable</v>
          </cell>
          <cell r="P50" t="str">
            <v>A0110</v>
          </cell>
          <cell r="S50">
            <v>0</v>
          </cell>
        </row>
        <row r="51">
          <cell r="A51">
            <v>1114</v>
          </cell>
          <cell r="B51" t="str">
            <v>Otros títulos representativos de deuda</v>
          </cell>
          <cell r="P51" t="str">
            <v>A0110</v>
          </cell>
          <cell r="S51">
            <v>0</v>
          </cell>
        </row>
        <row r="52">
          <cell r="A52">
            <v>11141</v>
          </cell>
          <cell r="B52" t="str">
            <v>Costo</v>
          </cell>
          <cell r="P52" t="str">
            <v>A0110</v>
          </cell>
          <cell r="S52">
            <v>0</v>
          </cell>
        </row>
        <row r="53">
          <cell r="A53">
            <v>11142</v>
          </cell>
          <cell r="B53" t="str">
            <v>Valor razonable</v>
          </cell>
          <cell r="P53" t="str">
            <v>A0110</v>
          </cell>
          <cell r="S53">
            <v>0</v>
          </cell>
        </row>
        <row r="54">
          <cell r="A54">
            <v>1115</v>
          </cell>
          <cell r="B54" t="str">
            <v>Participaciones en entidades</v>
          </cell>
          <cell r="P54" t="str">
            <v>A0110</v>
          </cell>
          <cell r="S54">
            <v>0</v>
          </cell>
        </row>
        <row r="55">
          <cell r="A55">
            <v>11151</v>
          </cell>
          <cell r="B55" t="str">
            <v>Costo</v>
          </cell>
          <cell r="P55" t="str">
            <v>A0110</v>
          </cell>
          <cell r="S55">
            <v>0</v>
          </cell>
        </row>
        <row r="56">
          <cell r="A56">
            <v>11152</v>
          </cell>
          <cell r="B56" t="str">
            <v>Valor razonable</v>
          </cell>
          <cell r="P56" t="str">
            <v>A0110</v>
          </cell>
          <cell r="S56">
            <v>0</v>
          </cell>
        </row>
        <row r="57">
          <cell r="A57">
            <v>112</v>
          </cell>
          <cell r="B57" t="str">
            <v>Inversiones Disponibles para la Venta</v>
          </cell>
          <cell r="P57" t="str">
            <v>A0111</v>
          </cell>
          <cell r="S57">
            <v>0</v>
          </cell>
        </row>
        <row r="58">
          <cell r="A58">
            <v>1121</v>
          </cell>
          <cell r="B58" t="str">
            <v>Valores emitidos o garantizados por el estado</v>
          </cell>
          <cell r="P58" t="str">
            <v>A0111</v>
          </cell>
          <cell r="S58">
            <v>0</v>
          </cell>
        </row>
        <row r="59">
          <cell r="A59">
            <v>11211</v>
          </cell>
          <cell r="B59" t="str">
            <v>Costo</v>
          </cell>
          <cell r="P59" t="str">
            <v>A0111</v>
          </cell>
          <cell r="S59">
            <v>0</v>
          </cell>
        </row>
        <row r="60">
          <cell r="A60">
            <v>11212</v>
          </cell>
          <cell r="B60" t="str">
            <v>Valor razonable</v>
          </cell>
          <cell r="P60" t="str">
            <v>A0111</v>
          </cell>
          <cell r="S60">
            <v>0</v>
          </cell>
        </row>
        <row r="61">
          <cell r="A61">
            <v>1122</v>
          </cell>
          <cell r="B61" t="str">
            <v>Valores emitidos por el sistema financiero</v>
          </cell>
          <cell r="P61" t="str">
            <v>A0111</v>
          </cell>
          <cell r="S61">
            <v>0</v>
          </cell>
        </row>
        <row r="62">
          <cell r="A62">
            <v>11221</v>
          </cell>
          <cell r="B62" t="str">
            <v>Costo</v>
          </cell>
          <cell r="P62" t="str">
            <v>A0111</v>
          </cell>
          <cell r="S62">
            <v>0</v>
          </cell>
        </row>
        <row r="63">
          <cell r="A63">
            <v>11222</v>
          </cell>
          <cell r="B63" t="str">
            <v>Valor razonable</v>
          </cell>
          <cell r="P63" t="str">
            <v>A0111</v>
          </cell>
          <cell r="S63">
            <v>0</v>
          </cell>
        </row>
        <row r="64">
          <cell r="A64">
            <v>1123</v>
          </cell>
          <cell r="B64" t="str">
            <v>Valores emitidos por empresas</v>
          </cell>
          <cell r="P64" t="str">
            <v>A0111</v>
          </cell>
          <cell r="S64">
            <v>0</v>
          </cell>
        </row>
        <row r="65">
          <cell r="A65">
            <v>11231</v>
          </cell>
          <cell r="B65" t="str">
            <v>Costo</v>
          </cell>
          <cell r="P65" t="str">
            <v>A0111</v>
          </cell>
          <cell r="S65">
            <v>0</v>
          </cell>
        </row>
        <row r="66">
          <cell r="A66">
            <v>11232</v>
          </cell>
          <cell r="B66" t="str">
            <v>Valor razonable</v>
          </cell>
          <cell r="P66" t="str">
            <v>A0111</v>
          </cell>
          <cell r="S66">
            <v>0</v>
          </cell>
        </row>
        <row r="67">
          <cell r="A67">
            <v>1124</v>
          </cell>
          <cell r="B67" t="str">
            <v>Otros títulos representativos de deuda</v>
          </cell>
          <cell r="P67" t="str">
            <v>A0111</v>
          </cell>
          <cell r="S67">
            <v>0</v>
          </cell>
        </row>
        <row r="68">
          <cell r="A68">
            <v>11241</v>
          </cell>
          <cell r="B68" t="str">
            <v>Costo</v>
          </cell>
          <cell r="P68" t="str">
            <v>A0111</v>
          </cell>
          <cell r="S68">
            <v>0</v>
          </cell>
        </row>
        <row r="69">
          <cell r="A69">
            <v>11242</v>
          </cell>
          <cell r="B69" t="str">
            <v>Valor razonable</v>
          </cell>
          <cell r="P69" t="str">
            <v>A0111</v>
          </cell>
          <cell r="S69">
            <v>0</v>
          </cell>
        </row>
        <row r="70">
          <cell r="A70">
            <v>113</v>
          </cell>
          <cell r="B70" t="str">
            <v>Activos Financieros – Acuerdo de Compra</v>
          </cell>
          <cell r="P70" t="str">
            <v>A0110</v>
          </cell>
          <cell r="S70">
            <v>0</v>
          </cell>
        </row>
        <row r="71">
          <cell r="A71">
            <v>1131</v>
          </cell>
          <cell r="B71" t="str">
            <v>Inversiones mantenidas para negociacion - acuerdo de compra</v>
          </cell>
          <cell r="P71" t="str">
            <v>A0110</v>
          </cell>
          <cell r="S71">
            <v>0</v>
          </cell>
        </row>
        <row r="72">
          <cell r="A72">
            <v>11311</v>
          </cell>
          <cell r="B72" t="str">
            <v>Costo</v>
          </cell>
          <cell r="P72" t="str">
            <v>A0110</v>
          </cell>
          <cell r="S72">
            <v>0</v>
          </cell>
        </row>
        <row r="73">
          <cell r="A73">
            <v>11312</v>
          </cell>
          <cell r="B73" t="str">
            <v>Valor razonable</v>
          </cell>
          <cell r="P73" t="str">
            <v>A0110</v>
          </cell>
          <cell r="S73">
            <v>0</v>
          </cell>
        </row>
        <row r="74">
          <cell r="A74">
            <v>1132</v>
          </cell>
          <cell r="B74" t="str">
            <v>Inversiones disponibles para la venta - acuerdo de compra</v>
          </cell>
          <cell r="P74" t="str">
            <v>A0111</v>
          </cell>
          <cell r="S74">
            <v>0</v>
          </cell>
        </row>
        <row r="75">
          <cell r="A75">
            <v>11321</v>
          </cell>
          <cell r="B75" t="str">
            <v>Costo</v>
          </cell>
          <cell r="P75" t="str">
            <v>A0111</v>
          </cell>
          <cell r="S75">
            <v>0</v>
          </cell>
        </row>
        <row r="76">
          <cell r="A76">
            <v>11322</v>
          </cell>
          <cell r="B76" t="str">
            <v>Valor razonable</v>
          </cell>
          <cell r="P76" t="str">
            <v>A0111</v>
          </cell>
          <cell r="S76">
            <v>0</v>
          </cell>
        </row>
        <row r="77">
          <cell r="A77">
            <v>12</v>
          </cell>
          <cell r="B77" t="str">
            <v>CUENTAS POR COBRAR COMERCIALES – TERCEROS</v>
          </cell>
          <cell r="P77" t="str">
            <v>A0103</v>
          </cell>
          <cell r="S77">
            <v>0</v>
          </cell>
        </row>
        <row r="78">
          <cell r="A78">
            <v>121</v>
          </cell>
          <cell r="B78" t="str">
            <v>Facturas, Boletas y Otros Comprobantes por Cobrar</v>
          </cell>
          <cell r="P78" t="str">
            <v>A0103</v>
          </cell>
          <cell r="S78">
            <v>0</v>
          </cell>
        </row>
        <row r="79">
          <cell r="A79">
            <v>1211</v>
          </cell>
          <cell r="B79" t="str">
            <v>No emitidas</v>
          </cell>
          <cell r="P79" t="str">
            <v>A0103</v>
          </cell>
          <cell r="S79">
            <v>0</v>
          </cell>
        </row>
        <row r="80">
          <cell r="A80">
            <v>1212</v>
          </cell>
          <cell r="B80" t="str">
            <v>Emitidas en cartera</v>
          </cell>
          <cell r="P80" t="str">
            <v>A0103</v>
          </cell>
          <cell r="S80">
            <v>106200</v>
          </cell>
        </row>
        <row r="81">
          <cell r="A81">
            <v>12121</v>
          </cell>
          <cell r="B81" t="str">
            <v>Facturas por cobrar emitidas en cartera</v>
          </cell>
          <cell r="P81" t="str">
            <v>A0103</v>
          </cell>
          <cell r="S81">
            <v>0</v>
          </cell>
        </row>
        <row r="82">
          <cell r="A82">
            <v>1213</v>
          </cell>
          <cell r="B82" t="str">
            <v>En cobranza</v>
          </cell>
          <cell r="P82" t="str">
            <v>A0103</v>
          </cell>
          <cell r="S82">
            <v>0</v>
          </cell>
        </row>
        <row r="83">
          <cell r="A83">
            <v>1214</v>
          </cell>
          <cell r="B83" t="str">
            <v>En descuento</v>
          </cell>
          <cell r="P83" t="str">
            <v>A0103</v>
          </cell>
          <cell r="S83">
            <v>0</v>
          </cell>
        </row>
        <row r="84">
          <cell r="A84">
            <v>122</v>
          </cell>
          <cell r="B84" t="str">
            <v>Anticipos de Clientes</v>
          </cell>
          <cell r="P84" t="str">
            <v>P0304</v>
          </cell>
          <cell r="S84">
            <v>0</v>
          </cell>
        </row>
        <row r="85">
          <cell r="A85">
            <v>123</v>
          </cell>
          <cell r="B85" t="str">
            <v>Letras por Cobrar</v>
          </cell>
          <cell r="P85" t="str">
            <v>A0103</v>
          </cell>
          <cell r="S85">
            <v>0</v>
          </cell>
        </row>
        <row r="86">
          <cell r="A86">
            <v>1231</v>
          </cell>
          <cell r="B86" t="str">
            <v>En cartera</v>
          </cell>
          <cell r="P86" t="str">
            <v>A0103</v>
          </cell>
          <cell r="S86">
            <v>0</v>
          </cell>
        </row>
        <row r="87">
          <cell r="A87">
            <v>12311</v>
          </cell>
          <cell r="B87" t="str">
            <v>Letras por cobrar en cartera</v>
          </cell>
          <cell r="P87" t="str">
            <v>A0103</v>
          </cell>
          <cell r="S87">
            <v>0</v>
          </cell>
        </row>
        <row r="88">
          <cell r="A88">
            <v>1232</v>
          </cell>
          <cell r="B88" t="str">
            <v>En cobranza</v>
          </cell>
          <cell r="P88" t="str">
            <v>A0103</v>
          </cell>
          <cell r="S88">
            <v>0</v>
          </cell>
        </row>
        <row r="89">
          <cell r="A89">
            <v>1233</v>
          </cell>
          <cell r="B89" t="str">
            <v>En descuento</v>
          </cell>
          <cell r="P89" t="str">
            <v>A0103</v>
          </cell>
          <cell r="S89">
            <v>0</v>
          </cell>
        </row>
        <row r="90">
          <cell r="A90">
            <v>13</v>
          </cell>
          <cell r="B90" t="str">
            <v>CUENTAS POR COBRAR COMERCIALES – RELACIONADAS</v>
          </cell>
          <cell r="P90" t="str">
            <v>A0103</v>
          </cell>
          <cell r="S90">
            <v>0</v>
          </cell>
        </row>
        <row r="91">
          <cell r="A91">
            <v>131</v>
          </cell>
          <cell r="B91" t="str">
            <v>Facturas, Boletas y Otros Comprobantes por Cobrar</v>
          </cell>
          <cell r="P91" t="str">
            <v>A0103</v>
          </cell>
          <cell r="S91">
            <v>0</v>
          </cell>
        </row>
        <row r="92">
          <cell r="A92">
            <v>1311</v>
          </cell>
          <cell r="B92" t="str">
            <v>No emitidas</v>
          </cell>
          <cell r="P92" t="str">
            <v>A0103</v>
          </cell>
          <cell r="S92">
            <v>0</v>
          </cell>
        </row>
        <row r="93">
          <cell r="A93">
            <v>13111</v>
          </cell>
          <cell r="B93" t="str">
            <v>Matriz</v>
          </cell>
          <cell r="P93" t="str">
            <v>A0103</v>
          </cell>
          <cell r="S93">
            <v>0</v>
          </cell>
        </row>
        <row r="94">
          <cell r="A94">
            <v>13112</v>
          </cell>
          <cell r="B94" t="str">
            <v>Subsidiarias</v>
          </cell>
          <cell r="P94" t="str">
            <v>A0103</v>
          </cell>
          <cell r="S94">
            <v>0</v>
          </cell>
        </row>
        <row r="95">
          <cell r="A95">
            <v>13113</v>
          </cell>
          <cell r="B95" t="str">
            <v>Asociadas</v>
          </cell>
          <cell r="P95" t="str">
            <v>A0103</v>
          </cell>
          <cell r="S95">
            <v>0</v>
          </cell>
        </row>
        <row r="96">
          <cell r="A96">
            <v>13114</v>
          </cell>
          <cell r="B96" t="str">
            <v>Sucursales</v>
          </cell>
          <cell r="P96" t="str">
            <v>A0103</v>
          </cell>
          <cell r="S96">
            <v>0</v>
          </cell>
        </row>
        <row r="97">
          <cell r="A97">
            <v>13115</v>
          </cell>
          <cell r="B97" t="str">
            <v>Otros</v>
          </cell>
          <cell r="P97" t="str">
            <v>A0103</v>
          </cell>
          <cell r="S97">
            <v>0</v>
          </cell>
        </row>
        <row r="98">
          <cell r="A98">
            <v>1312</v>
          </cell>
          <cell r="B98" t="str">
            <v>Emitidas en cartera</v>
          </cell>
          <cell r="P98" t="str">
            <v>A0103</v>
          </cell>
          <cell r="S98">
            <v>0</v>
          </cell>
        </row>
        <row r="99">
          <cell r="A99">
            <v>13121</v>
          </cell>
          <cell r="B99" t="str">
            <v>Matriz</v>
          </cell>
          <cell r="P99" t="str">
            <v>A0103</v>
          </cell>
          <cell r="S99">
            <v>0</v>
          </cell>
        </row>
        <row r="100">
          <cell r="A100">
            <v>13122</v>
          </cell>
          <cell r="B100" t="str">
            <v>Subsidiarias</v>
          </cell>
          <cell r="P100" t="str">
            <v>A0103</v>
          </cell>
          <cell r="S100">
            <v>0</v>
          </cell>
        </row>
        <row r="101">
          <cell r="A101">
            <v>13123</v>
          </cell>
          <cell r="B101" t="str">
            <v>Asociadas</v>
          </cell>
          <cell r="P101" t="str">
            <v>A0103</v>
          </cell>
          <cell r="S101">
            <v>0</v>
          </cell>
        </row>
        <row r="102">
          <cell r="A102">
            <v>13124</v>
          </cell>
          <cell r="B102" t="str">
            <v>Sucursales</v>
          </cell>
          <cell r="P102" t="str">
            <v>A0103</v>
          </cell>
          <cell r="S102">
            <v>0</v>
          </cell>
        </row>
        <row r="103">
          <cell r="A103">
            <v>1313</v>
          </cell>
          <cell r="B103" t="str">
            <v>En cobranza</v>
          </cell>
          <cell r="P103" t="str">
            <v>A0103</v>
          </cell>
          <cell r="S103">
            <v>0</v>
          </cell>
        </row>
        <row r="104">
          <cell r="A104">
            <v>13131</v>
          </cell>
          <cell r="B104" t="str">
            <v>Matriz</v>
          </cell>
          <cell r="P104" t="str">
            <v>A0103</v>
          </cell>
          <cell r="S104">
            <v>0</v>
          </cell>
        </row>
        <row r="105">
          <cell r="A105">
            <v>13132</v>
          </cell>
          <cell r="B105" t="str">
            <v>Subsidiarias</v>
          </cell>
          <cell r="P105" t="str">
            <v>A0103</v>
          </cell>
          <cell r="S105">
            <v>0</v>
          </cell>
        </row>
        <row r="106">
          <cell r="A106">
            <v>13133</v>
          </cell>
          <cell r="B106" t="str">
            <v>Asociadas</v>
          </cell>
          <cell r="P106" t="str">
            <v>A0103</v>
          </cell>
          <cell r="S106">
            <v>0</v>
          </cell>
        </row>
        <row r="107">
          <cell r="A107">
            <v>13134</v>
          </cell>
          <cell r="B107" t="str">
            <v>Sucursales</v>
          </cell>
          <cell r="P107" t="str">
            <v>A0103</v>
          </cell>
          <cell r="S107">
            <v>0</v>
          </cell>
        </row>
        <row r="108">
          <cell r="A108">
            <v>13135</v>
          </cell>
          <cell r="B108" t="str">
            <v>Otros</v>
          </cell>
          <cell r="P108" t="str">
            <v>A0103</v>
          </cell>
          <cell r="S108">
            <v>0</v>
          </cell>
        </row>
        <row r="109">
          <cell r="A109">
            <v>1314</v>
          </cell>
          <cell r="B109" t="str">
            <v>En descuento</v>
          </cell>
          <cell r="P109" t="str">
            <v>A0103</v>
          </cell>
          <cell r="S109">
            <v>0</v>
          </cell>
        </row>
        <row r="110">
          <cell r="A110">
            <v>13141</v>
          </cell>
          <cell r="B110" t="str">
            <v>Matriz</v>
          </cell>
          <cell r="P110" t="str">
            <v>A0103</v>
          </cell>
          <cell r="S110">
            <v>0</v>
          </cell>
        </row>
        <row r="111">
          <cell r="A111">
            <v>13142</v>
          </cell>
          <cell r="B111" t="str">
            <v>Subsidiarias</v>
          </cell>
          <cell r="P111" t="str">
            <v>A0103</v>
          </cell>
          <cell r="S111">
            <v>0</v>
          </cell>
        </row>
        <row r="112">
          <cell r="A112">
            <v>13143</v>
          </cell>
          <cell r="B112" t="str">
            <v>Asociadas</v>
          </cell>
          <cell r="P112" t="str">
            <v>A0103</v>
          </cell>
          <cell r="S112">
            <v>0</v>
          </cell>
        </row>
        <row r="113">
          <cell r="A113">
            <v>13144</v>
          </cell>
          <cell r="B113" t="str">
            <v>Sucursales</v>
          </cell>
          <cell r="P113" t="str">
            <v>A0103</v>
          </cell>
          <cell r="S113">
            <v>0</v>
          </cell>
        </row>
        <row r="114">
          <cell r="A114">
            <v>13145</v>
          </cell>
          <cell r="B114" t="str">
            <v>Otros</v>
          </cell>
          <cell r="P114" t="str">
            <v>A0103</v>
          </cell>
          <cell r="S114">
            <v>0</v>
          </cell>
        </row>
        <row r="115">
          <cell r="A115">
            <v>132</v>
          </cell>
          <cell r="B115" t="str">
            <v>Anticipos Recibidos</v>
          </cell>
          <cell r="P115" t="str">
            <v>P0304</v>
          </cell>
          <cell r="S115">
            <v>0</v>
          </cell>
        </row>
        <row r="116">
          <cell r="A116">
            <v>1321</v>
          </cell>
          <cell r="B116" t="str">
            <v>Anticipos recibidos</v>
          </cell>
          <cell r="P116" t="str">
            <v>P0304</v>
          </cell>
          <cell r="S116">
            <v>0</v>
          </cell>
        </row>
        <row r="117">
          <cell r="A117">
            <v>13211</v>
          </cell>
          <cell r="B117" t="str">
            <v>Matriz</v>
          </cell>
          <cell r="P117" t="str">
            <v>P0304</v>
          </cell>
          <cell r="S117">
            <v>0</v>
          </cell>
        </row>
        <row r="118">
          <cell r="A118">
            <v>13212</v>
          </cell>
          <cell r="B118" t="str">
            <v>Subsidiarias</v>
          </cell>
          <cell r="P118" t="str">
            <v>P0304</v>
          </cell>
          <cell r="S118">
            <v>0</v>
          </cell>
        </row>
        <row r="119">
          <cell r="A119">
            <v>13213</v>
          </cell>
          <cell r="B119" t="str">
            <v>Asociadas</v>
          </cell>
          <cell r="P119" t="str">
            <v>P0304</v>
          </cell>
          <cell r="S119">
            <v>0</v>
          </cell>
        </row>
        <row r="120">
          <cell r="A120">
            <v>13214</v>
          </cell>
          <cell r="B120" t="str">
            <v>Sucursales</v>
          </cell>
          <cell r="P120" t="str">
            <v>P0304</v>
          </cell>
          <cell r="S120">
            <v>0</v>
          </cell>
        </row>
        <row r="121">
          <cell r="A121">
            <v>13215</v>
          </cell>
          <cell r="B121" t="str">
            <v>Otros</v>
          </cell>
          <cell r="P121" t="str">
            <v>P0304</v>
          </cell>
          <cell r="S121">
            <v>0</v>
          </cell>
        </row>
        <row r="122">
          <cell r="A122">
            <v>133</v>
          </cell>
          <cell r="B122" t="str">
            <v>Letras por Cobrar</v>
          </cell>
          <cell r="P122" t="str">
            <v>A0103</v>
          </cell>
          <cell r="S122">
            <v>0</v>
          </cell>
        </row>
        <row r="123">
          <cell r="A123">
            <v>1331</v>
          </cell>
          <cell r="B123" t="str">
            <v>En cartera</v>
          </cell>
          <cell r="P123" t="str">
            <v>A0103</v>
          </cell>
          <cell r="S123">
            <v>0</v>
          </cell>
        </row>
        <row r="124">
          <cell r="A124">
            <v>13311</v>
          </cell>
          <cell r="B124" t="str">
            <v>Matriz</v>
          </cell>
          <cell r="P124" t="str">
            <v>A0103</v>
          </cell>
          <cell r="S124">
            <v>0</v>
          </cell>
        </row>
        <row r="125">
          <cell r="A125">
            <v>13312</v>
          </cell>
          <cell r="B125" t="str">
            <v>Subsidiarias</v>
          </cell>
          <cell r="P125" t="str">
            <v>A0103</v>
          </cell>
          <cell r="S125">
            <v>0</v>
          </cell>
        </row>
        <row r="126">
          <cell r="A126">
            <v>13313</v>
          </cell>
          <cell r="B126" t="str">
            <v>Asociadas</v>
          </cell>
          <cell r="P126" t="str">
            <v>A0103</v>
          </cell>
          <cell r="S126">
            <v>0</v>
          </cell>
        </row>
        <row r="127">
          <cell r="A127">
            <v>13314</v>
          </cell>
          <cell r="B127" t="str">
            <v>Sucursales</v>
          </cell>
          <cell r="P127" t="str">
            <v>A0103</v>
          </cell>
          <cell r="S127">
            <v>0</v>
          </cell>
        </row>
        <row r="128">
          <cell r="A128">
            <v>13315</v>
          </cell>
          <cell r="B128" t="str">
            <v>Otros</v>
          </cell>
          <cell r="P128" t="str">
            <v>A0103</v>
          </cell>
          <cell r="S128">
            <v>0</v>
          </cell>
        </row>
        <row r="129">
          <cell r="A129">
            <v>1332</v>
          </cell>
          <cell r="B129" t="str">
            <v>En cobranza</v>
          </cell>
          <cell r="P129" t="str">
            <v>A0103</v>
          </cell>
          <cell r="S129">
            <v>0</v>
          </cell>
        </row>
        <row r="130">
          <cell r="A130">
            <v>13321</v>
          </cell>
          <cell r="B130" t="str">
            <v>Matriz</v>
          </cell>
          <cell r="P130" t="str">
            <v>A0103</v>
          </cell>
          <cell r="S130">
            <v>0</v>
          </cell>
        </row>
        <row r="131">
          <cell r="A131">
            <v>13322</v>
          </cell>
          <cell r="B131" t="str">
            <v>Subsidiarias</v>
          </cell>
          <cell r="P131" t="str">
            <v>A0103</v>
          </cell>
          <cell r="S131">
            <v>0</v>
          </cell>
        </row>
        <row r="132">
          <cell r="A132">
            <v>13323</v>
          </cell>
          <cell r="B132" t="str">
            <v>Asociadas</v>
          </cell>
          <cell r="P132" t="str">
            <v>A0103</v>
          </cell>
          <cell r="S132">
            <v>0</v>
          </cell>
        </row>
        <row r="133">
          <cell r="A133">
            <v>13324</v>
          </cell>
          <cell r="B133" t="str">
            <v>Sucursales</v>
          </cell>
          <cell r="P133" t="str">
            <v>A0103</v>
          </cell>
          <cell r="S133">
            <v>0</v>
          </cell>
        </row>
        <row r="134">
          <cell r="A134">
            <v>13325</v>
          </cell>
          <cell r="B134" t="str">
            <v>Otros</v>
          </cell>
          <cell r="P134" t="str">
            <v>A0103</v>
          </cell>
          <cell r="S134">
            <v>0</v>
          </cell>
        </row>
        <row r="135">
          <cell r="A135">
            <v>1333</v>
          </cell>
          <cell r="B135" t="str">
            <v>En descuento</v>
          </cell>
          <cell r="P135" t="str">
            <v>A0103</v>
          </cell>
          <cell r="S135">
            <v>0</v>
          </cell>
        </row>
        <row r="136">
          <cell r="A136">
            <v>13331</v>
          </cell>
          <cell r="B136" t="str">
            <v>Matriz</v>
          </cell>
          <cell r="P136" t="str">
            <v>A0103</v>
          </cell>
          <cell r="S136">
            <v>0</v>
          </cell>
        </row>
        <row r="137">
          <cell r="A137">
            <v>13332</v>
          </cell>
          <cell r="B137" t="str">
            <v>Subsidiarias</v>
          </cell>
          <cell r="P137" t="str">
            <v>A0103</v>
          </cell>
          <cell r="S137">
            <v>0</v>
          </cell>
        </row>
        <row r="138">
          <cell r="A138">
            <v>13333</v>
          </cell>
          <cell r="B138" t="str">
            <v>Asociadas</v>
          </cell>
          <cell r="P138" t="str">
            <v>A0103</v>
          </cell>
          <cell r="S138">
            <v>0</v>
          </cell>
        </row>
        <row r="139">
          <cell r="A139">
            <v>13334</v>
          </cell>
          <cell r="B139" t="str">
            <v>Sucursales</v>
          </cell>
          <cell r="P139" t="str">
            <v>A0103</v>
          </cell>
          <cell r="S139">
            <v>0</v>
          </cell>
        </row>
        <row r="140">
          <cell r="A140">
            <v>13335</v>
          </cell>
          <cell r="B140" t="str">
            <v>Otros</v>
          </cell>
          <cell r="P140" t="str">
            <v>A0103</v>
          </cell>
          <cell r="S140">
            <v>0</v>
          </cell>
        </row>
        <row r="141">
          <cell r="A141">
            <v>14</v>
          </cell>
          <cell r="B141" t="str">
            <v>CUENTAS POR COBRAR AL PERSONAL, A LOS SOCIOS, DIRECTORES Y GERENTES</v>
          </cell>
          <cell r="P141" t="str">
            <v>A0105</v>
          </cell>
          <cell r="S141">
            <v>0</v>
          </cell>
        </row>
        <row r="142">
          <cell r="A142">
            <v>141</v>
          </cell>
          <cell r="B142" t="str">
            <v>Personal</v>
          </cell>
          <cell r="P142" t="str">
            <v>A0105</v>
          </cell>
          <cell r="S142">
            <v>0</v>
          </cell>
        </row>
        <row r="143">
          <cell r="A143">
            <v>1411</v>
          </cell>
          <cell r="B143" t="str">
            <v>Préstamos</v>
          </cell>
          <cell r="P143" t="str">
            <v>A0105</v>
          </cell>
          <cell r="S143">
            <v>0</v>
          </cell>
        </row>
        <row r="144">
          <cell r="A144">
            <v>1412</v>
          </cell>
          <cell r="B144" t="str">
            <v>Adelanto de remuneraciones</v>
          </cell>
          <cell r="P144" t="str">
            <v>A0105</v>
          </cell>
          <cell r="S144">
            <v>0</v>
          </cell>
        </row>
        <row r="145">
          <cell r="A145">
            <v>1413</v>
          </cell>
          <cell r="B145" t="str">
            <v>Entregas a rendir cuenta</v>
          </cell>
          <cell r="P145" t="str">
            <v>A0105</v>
          </cell>
          <cell r="S145">
            <v>0</v>
          </cell>
        </row>
        <row r="146">
          <cell r="A146">
            <v>1419</v>
          </cell>
          <cell r="B146" t="str">
            <v>Otras cuentas por cobrar al personal</v>
          </cell>
          <cell r="P146" t="str">
            <v>A0105</v>
          </cell>
          <cell r="S146">
            <v>0</v>
          </cell>
        </row>
        <row r="147">
          <cell r="A147">
            <v>142</v>
          </cell>
          <cell r="B147" t="str">
            <v>Accionistas</v>
          </cell>
          <cell r="P147" t="str">
            <v>P0701</v>
          </cell>
          <cell r="S147">
            <v>0</v>
          </cell>
        </row>
        <row r="148">
          <cell r="A148">
            <v>1421</v>
          </cell>
          <cell r="B148" t="str">
            <v>Suscripciones por cobrar a accionistas</v>
          </cell>
          <cell r="P148" t="str">
            <v>P0701</v>
          </cell>
          <cell r="S148">
            <v>0</v>
          </cell>
        </row>
        <row r="149">
          <cell r="A149">
            <v>14211</v>
          </cell>
          <cell r="B149" t="str">
            <v>Suscripciones por cobrar a accionistas</v>
          </cell>
          <cell r="P149" t="str">
            <v>P0701</v>
          </cell>
          <cell r="S149">
            <v>0</v>
          </cell>
        </row>
        <row r="150">
          <cell r="A150">
            <v>1422</v>
          </cell>
          <cell r="B150" t="str">
            <v>Préstamos</v>
          </cell>
          <cell r="P150" t="str">
            <v>A0105</v>
          </cell>
          <cell r="S150">
            <v>0</v>
          </cell>
        </row>
        <row r="151">
          <cell r="A151">
            <v>143</v>
          </cell>
          <cell r="B151" t="str">
            <v>Directores</v>
          </cell>
          <cell r="P151" t="str">
            <v>A0105</v>
          </cell>
          <cell r="S151">
            <v>0</v>
          </cell>
        </row>
        <row r="152">
          <cell r="A152">
            <v>1431</v>
          </cell>
          <cell r="B152" t="str">
            <v>Préstamos</v>
          </cell>
          <cell r="P152" t="str">
            <v>A0105</v>
          </cell>
          <cell r="S152">
            <v>0</v>
          </cell>
        </row>
        <row r="153">
          <cell r="A153">
            <v>1432</v>
          </cell>
          <cell r="B153" t="str">
            <v>Adelanto de dietas</v>
          </cell>
          <cell r="P153" t="str">
            <v>A0105</v>
          </cell>
          <cell r="S153">
            <v>0</v>
          </cell>
        </row>
        <row r="154">
          <cell r="A154">
            <v>1433</v>
          </cell>
          <cell r="B154" t="str">
            <v>Entregas a rendir cuenta</v>
          </cell>
          <cell r="P154" t="str">
            <v>A0105</v>
          </cell>
          <cell r="S154">
            <v>0</v>
          </cell>
        </row>
        <row r="155">
          <cell r="A155">
            <v>144</v>
          </cell>
          <cell r="B155" t="str">
            <v>Gerentes</v>
          </cell>
          <cell r="P155" t="str">
            <v>A0105</v>
          </cell>
          <cell r="S155">
            <v>0</v>
          </cell>
        </row>
        <row r="156">
          <cell r="A156">
            <v>1441</v>
          </cell>
          <cell r="B156" t="str">
            <v>Préstamos</v>
          </cell>
          <cell r="P156" t="str">
            <v>A0105</v>
          </cell>
          <cell r="S156">
            <v>0</v>
          </cell>
        </row>
        <row r="157">
          <cell r="A157">
            <v>1442</v>
          </cell>
          <cell r="B157" t="str">
            <v>Adelanto de numeraciones</v>
          </cell>
          <cell r="P157" t="str">
            <v>A0105</v>
          </cell>
          <cell r="S157">
            <v>0</v>
          </cell>
        </row>
        <row r="158">
          <cell r="A158">
            <v>1443</v>
          </cell>
          <cell r="B158" t="str">
            <v>Entregas a rendir cuenta</v>
          </cell>
          <cell r="P158" t="str">
            <v>A0105</v>
          </cell>
          <cell r="S158">
            <v>0</v>
          </cell>
        </row>
        <row r="159">
          <cell r="A159">
            <v>148</v>
          </cell>
          <cell r="B159" t="str">
            <v>Diversas</v>
          </cell>
          <cell r="P159" t="str">
            <v>A0105</v>
          </cell>
          <cell r="S159">
            <v>0</v>
          </cell>
        </row>
        <row r="160">
          <cell r="A160">
            <v>16</v>
          </cell>
          <cell r="B160" t="str">
            <v>CUENTAS POR COBRAR DIVERSAS - TERCEROS</v>
          </cell>
          <cell r="P160" t="str">
            <v>A0105</v>
          </cell>
          <cell r="S160">
            <v>0</v>
          </cell>
        </row>
        <row r="161">
          <cell r="A161">
            <v>161</v>
          </cell>
          <cell r="B161" t="str">
            <v>Préstamos</v>
          </cell>
          <cell r="P161" t="str">
            <v>A0105</v>
          </cell>
          <cell r="S161">
            <v>0</v>
          </cell>
        </row>
        <row r="162">
          <cell r="A162">
            <v>1611</v>
          </cell>
          <cell r="B162" t="str">
            <v>Con garantía</v>
          </cell>
          <cell r="P162" t="str">
            <v>A0105</v>
          </cell>
          <cell r="S162">
            <v>0</v>
          </cell>
        </row>
        <row r="163">
          <cell r="A163">
            <v>1612</v>
          </cell>
          <cell r="B163" t="str">
            <v>Sin garantía</v>
          </cell>
          <cell r="P163" t="str">
            <v>A0105</v>
          </cell>
          <cell r="S163">
            <v>0</v>
          </cell>
        </row>
        <row r="164">
          <cell r="A164">
            <v>162</v>
          </cell>
          <cell r="B164" t="str">
            <v>Reclamaciones a Terceros</v>
          </cell>
          <cell r="P164" t="str">
            <v>A0105</v>
          </cell>
          <cell r="S164">
            <v>0</v>
          </cell>
        </row>
        <row r="165">
          <cell r="A165">
            <v>1621</v>
          </cell>
          <cell r="B165" t="str">
            <v>Compañías aseguradoras</v>
          </cell>
          <cell r="P165" t="str">
            <v>A0105</v>
          </cell>
          <cell r="S165">
            <v>0</v>
          </cell>
        </row>
        <row r="166">
          <cell r="A166">
            <v>1622</v>
          </cell>
          <cell r="B166" t="str">
            <v>Transportadoras</v>
          </cell>
          <cell r="P166" t="str">
            <v>A0105</v>
          </cell>
          <cell r="S166">
            <v>0</v>
          </cell>
        </row>
        <row r="167">
          <cell r="A167">
            <v>1623</v>
          </cell>
          <cell r="B167" t="str">
            <v>Servicios públicos</v>
          </cell>
          <cell r="P167" t="str">
            <v>A0105</v>
          </cell>
          <cell r="S167">
            <v>0</v>
          </cell>
        </row>
        <row r="168">
          <cell r="A168">
            <v>1624</v>
          </cell>
          <cell r="B168" t="str">
            <v>Tributos</v>
          </cell>
          <cell r="P168" t="str">
            <v>A0105</v>
          </cell>
          <cell r="S168">
            <v>0</v>
          </cell>
        </row>
        <row r="169">
          <cell r="A169">
            <v>1629</v>
          </cell>
          <cell r="B169" t="str">
            <v>Otras</v>
          </cell>
          <cell r="P169" t="str">
            <v>A0105</v>
          </cell>
          <cell r="S169">
            <v>0</v>
          </cell>
        </row>
        <row r="170">
          <cell r="A170">
            <v>163</v>
          </cell>
          <cell r="B170" t="str">
            <v>Intereses, Regalías y Dividendos</v>
          </cell>
          <cell r="P170" t="str">
            <v>A0105</v>
          </cell>
          <cell r="S170">
            <v>0</v>
          </cell>
        </row>
        <row r="171">
          <cell r="A171">
            <v>1631</v>
          </cell>
          <cell r="B171" t="str">
            <v>Intereses</v>
          </cell>
          <cell r="P171" t="str">
            <v>A0105</v>
          </cell>
          <cell r="S171">
            <v>0</v>
          </cell>
        </row>
        <row r="172">
          <cell r="A172">
            <v>1632</v>
          </cell>
          <cell r="B172" t="str">
            <v>Regalías</v>
          </cell>
          <cell r="P172" t="str">
            <v>A0105</v>
          </cell>
          <cell r="S172">
            <v>0</v>
          </cell>
        </row>
        <row r="173">
          <cell r="A173">
            <v>1633</v>
          </cell>
          <cell r="B173" t="str">
            <v>Dividendos</v>
          </cell>
          <cell r="P173" t="str">
            <v>A0105</v>
          </cell>
          <cell r="S173">
            <v>0</v>
          </cell>
        </row>
        <row r="174">
          <cell r="A174">
            <v>164</v>
          </cell>
          <cell r="B174" t="str">
            <v>Depósitos Otorgados en Garantía</v>
          </cell>
          <cell r="P174" t="str">
            <v>A0105</v>
          </cell>
          <cell r="S174">
            <v>0</v>
          </cell>
        </row>
        <row r="175">
          <cell r="A175">
            <v>1641</v>
          </cell>
          <cell r="B175" t="str">
            <v>Préstamos de instituciones no financieras</v>
          </cell>
          <cell r="P175" t="str">
            <v>A0105</v>
          </cell>
          <cell r="S175">
            <v>0</v>
          </cell>
        </row>
        <row r="176">
          <cell r="A176">
            <v>1642</v>
          </cell>
          <cell r="B176" t="str">
            <v>Préstamos de instituciones financieras</v>
          </cell>
          <cell r="P176" t="str">
            <v>A0105</v>
          </cell>
          <cell r="S176">
            <v>0</v>
          </cell>
        </row>
        <row r="177">
          <cell r="A177">
            <v>1644</v>
          </cell>
          <cell r="B177" t="str">
            <v>Depósito en garantía por alquileres</v>
          </cell>
          <cell r="P177" t="str">
            <v>A0105</v>
          </cell>
          <cell r="S177">
            <v>0</v>
          </cell>
        </row>
        <row r="178">
          <cell r="A178">
            <v>1649</v>
          </cell>
          <cell r="B178" t="str">
            <v>Otros depósitos en garantía</v>
          </cell>
          <cell r="P178" t="str">
            <v>A0105</v>
          </cell>
          <cell r="S178">
            <v>0</v>
          </cell>
        </row>
        <row r="179">
          <cell r="A179">
            <v>165</v>
          </cell>
          <cell r="B179" t="str">
            <v>Venta de Activo Inmovilizado</v>
          </cell>
          <cell r="P179" t="str">
            <v>A0105</v>
          </cell>
          <cell r="S179">
            <v>0</v>
          </cell>
        </row>
        <row r="180">
          <cell r="A180">
            <v>1651</v>
          </cell>
          <cell r="B180" t="str">
            <v>Inversión mobiliaria</v>
          </cell>
          <cell r="P180" t="str">
            <v>A0105</v>
          </cell>
          <cell r="S180">
            <v>0</v>
          </cell>
        </row>
        <row r="181">
          <cell r="A181">
            <v>1652</v>
          </cell>
          <cell r="B181" t="str">
            <v>Inversión inmobiliaria</v>
          </cell>
          <cell r="P181" t="str">
            <v>A0105</v>
          </cell>
          <cell r="S181">
            <v>0</v>
          </cell>
        </row>
        <row r="182">
          <cell r="A182">
            <v>1653</v>
          </cell>
          <cell r="B182" t="str">
            <v>Inmuebles, maquinaria y equipo</v>
          </cell>
          <cell r="P182" t="str">
            <v>A0105</v>
          </cell>
          <cell r="S182">
            <v>0</v>
          </cell>
        </row>
        <row r="183">
          <cell r="A183">
            <v>16531</v>
          </cell>
          <cell r="B183" t="str">
            <v>Venta de muebles y enseres</v>
          </cell>
          <cell r="P183" t="str">
            <v>A0105</v>
          </cell>
          <cell r="S183">
            <v>0</v>
          </cell>
        </row>
        <row r="184">
          <cell r="A184">
            <v>1654</v>
          </cell>
          <cell r="B184" t="str">
            <v>Intangibles</v>
          </cell>
          <cell r="P184" t="str">
            <v>A0105</v>
          </cell>
          <cell r="S184">
            <v>0</v>
          </cell>
        </row>
        <row r="185">
          <cell r="A185">
            <v>1655</v>
          </cell>
          <cell r="B185" t="str">
            <v>Activos biológicos</v>
          </cell>
          <cell r="P185" t="str">
            <v>A0105</v>
          </cell>
          <cell r="S185">
            <v>0</v>
          </cell>
        </row>
        <row r="186">
          <cell r="A186">
            <v>166</v>
          </cell>
          <cell r="B186" t="str">
            <v>Activos por Instrumentos Financieros Derivados</v>
          </cell>
          <cell r="P186" t="str">
            <v>A0105</v>
          </cell>
          <cell r="S186">
            <v>0</v>
          </cell>
        </row>
        <row r="187">
          <cell r="A187">
            <v>1661</v>
          </cell>
          <cell r="B187" t="str">
            <v>Instrumentos financieros</v>
          </cell>
          <cell r="P187" t="str">
            <v>A0105</v>
          </cell>
          <cell r="S187">
            <v>0</v>
          </cell>
        </row>
        <row r="188">
          <cell r="A188">
            <v>1662</v>
          </cell>
          <cell r="B188" t="str">
            <v>Instrumentos financieros derivados</v>
          </cell>
          <cell r="P188" t="str">
            <v>A0105</v>
          </cell>
          <cell r="S188">
            <v>0</v>
          </cell>
        </row>
        <row r="189">
          <cell r="A189">
            <v>16621</v>
          </cell>
          <cell r="B189" t="str">
            <v>Cartera de negociación</v>
          </cell>
          <cell r="P189" t="str">
            <v>A0105</v>
          </cell>
          <cell r="S189">
            <v>0</v>
          </cell>
        </row>
        <row r="190">
          <cell r="A190">
            <v>16622</v>
          </cell>
          <cell r="B190" t="str">
            <v>Instrumentos de cobertura</v>
          </cell>
          <cell r="P190" t="str">
            <v>A0105</v>
          </cell>
          <cell r="S190">
            <v>0</v>
          </cell>
        </row>
        <row r="191">
          <cell r="A191">
            <v>168</v>
          </cell>
          <cell r="B191" t="str">
            <v>Otras Cuentas por Cobrar Diversas</v>
          </cell>
          <cell r="P191" t="str">
            <v>A0105</v>
          </cell>
          <cell r="S191">
            <v>0</v>
          </cell>
        </row>
        <row r="192">
          <cell r="A192">
            <v>1681</v>
          </cell>
          <cell r="B192" t="str">
            <v>Entregas a rendir cuenta a terceros</v>
          </cell>
          <cell r="P192" t="str">
            <v>A0105</v>
          </cell>
          <cell r="S192">
            <v>0</v>
          </cell>
        </row>
        <row r="193">
          <cell r="A193">
            <v>1682</v>
          </cell>
          <cell r="B193" t="str">
            <v>Otras cuentas por cobrar diversas</v>
          </cell>
          <cell r="P193" t="str">
            <v>A0105</v>
          </cell>
          <cell r="S193">
            <v>0</v>
          </cell>
        </row>
        <row r="194">
          <cell r="A194">
            <v>17</v>
          </cell>
          <cell r="B194" t="str">
            <v>CUENTAS POR COBRAR DIVERSAS - RELACIONADAS</v>
          </cell>
          <cell r="P194" t="str">
            <v>A0104</v>
          </cell>
          <cell r="S194">
            <v>0</v>
          </cell>
        </row>
        <row r="195">
          <cell r="A195">
            <v>171</v>
          </cell>
          <cell r="B195" t="str">
            <v>Préstamos</v>
          </cell>
          <cell r="P195" t="str">
            <v>A0104</v>
          </cell>
          <cell r="S195">
            <v>0</v>
          </cell>
        </row>
        <row r="196">
          <cell r="A196">
            <v>1711</v>
          </cell>
          <cell r="B196" t="str">
            <v>Con garantía</v>
          </cell>
          <cell r="P196" t="str">
            <v>A0104</v>
          </cell>
          <cell r="S196">
            <v>0</v>
          </cell>
        </row>
        <row r="197">
          <cell r="A197">
            <v>17111</v>
          </cell>
          <cell r="B197" t="str">
            <v>Matriz</v>
          </cell>
          <cell r="P197" t="str">
            <v>A0104</v>
          </cell>
          <cell r="S197">
            <v>0</v>
          </cell>
        </row>
        <row r="198">
          <cell r="A198">
            <v>17112</v>
          </cell>
          <cell r="B198" t="str">
            <v>Subsidiarias</v>
          </cell>
          <cell r="P198" t="str">
            <v>A0104</v>
          </cell>
          <cell r="S198">
            <v>0</v>
          </cell>
        </row>
        <row r="199">
          <cell r="A199">
            <v>17113</v>
          </cell>
          <cell r="B199" t="str">
            <v>Asociadas</v>
          </cell>
          <cell r="P199" t="str">
            <v>A0104</v>
          </cell>
          <cell r="S199">
            <v>0</v>
          </cell>
        </row>
        <row r="200">
          <cell r="A200">
            <v>17114</v>
          </cell>
          <cell r="B200" t="str">
            <v>Sucursales</v>
          </cell>
          <cell r="P200" t="str">
            <v>A0104</v>
          </cell>
          <cell r="S200">
            <v>0</v>
          </cell>
        </row>
        <row r="201">
          <cell r="A201">
            <v>17115</v>
          </cell>
          <cell r="B201" t="str">
            <v>Otros</v>
          </cell>
          <cell r="P201" t="str">
            <v>A0104</v>
          </cell>
          <cell r="S201">
            <v>0</v>
          </cell>
        </row>
        <row r="202">
          <cell r="A202">
            <v>1712</v>
          </cell>
          <cell r="B202" t="str">
            <v>Sin garantía</v>
          </cell>
          <cell r="P202" t="str">
            <v>A0104</v>
          </cell>
          <cell r="S202">
            <v>0</v>
          </cell>
        </row>
        <row r="203">
          <cell r="A203">
            <v>17121</v>
          </cell>
          <cell r="B203" t="str">
            <v>Matriz</v>
          </cell>
          <cell r="P203" t="str">
            <v>A0104</v>
          </cell>
          <cell r="S203">
            <v>0</v>
          </cell>
        </row>
        <row r="204">
          <cell r="A204">
            <v>17122</v>
          </cell>
          <cell r="B204" t="str">
            <v>Subsidiarias</v>
          </cell>
          <cell r="P204" t="str">
            <v>A0104</v>
          </cell>
          <cell r="S204">
            <v>0</v>
          </cell>
        </row>
        <row r="205">
          <cell r="A205">
            <v>17123</v>
          </cell>
          <cell r="B205" t="str">
            <v>Asociadas</v>
          </cell>
          <cell r="P205" t="str">
            <v>A0104</v>
          </cell>
          <cell r="S205">
            <v>0</v>
          </cell>
        </row>
        <row r="206">
          <cell r="A206">
            <v>17124</v>
          </cell>
          <cell r="B206" t="str">
            <v>Sucursales</v>
          </cell>
          <cell r="P206" t="str">
            <v>A0104</v>
          </cell>
          <cell r="S206">
            <v>0</v>
          </cell>
        </row>
        <row r="207">
          <cell r="A207">
            <v>17125</v>
          </cell>
          <cell r="B207" t="str">
            <v>Otros</v>
          </cell>
          <cell r="P207" t="str">
            <v>A0104</v>
          </cell>
          <cell r="S207">
            <v>0</v>
          </cell>
        </row>
        <row r="208">
          <cell r="A208">
            <v>173</v>
          </cell>
          <cell r="B208" t="str">
            <v>Intereses, Regalías y Dividendos</v>
          </cell>
          <cell r="P208" t="str">
            <v>A0104</v>
          </cell>
          <cell r="S208">
            <v>0</v>
          </cell>
        </row>
        <row r="209">
          <cell r="A209">
            <v>1731</v>
          </cell>
          <cell r="B209" t="str">
            <v>Intereses</v>
          </cell>
          <cell r="P209" t="str">
            <v>A0104</v>
          </cell>
          <cell r="S209">
            <v>0</v>
          </cell>
        </row>
        <row r="210">
          <cell r="A210">
            <v>17311</v>
          </cell>
          <cell r="B210" t="str">
            <v>Matriz</v>
          </cell>
          <cell r="P210" t="str">
            <v>A0104</v>
          </cell>
          <cell r="S210">
            <v>0</v>
          </cell>
        </row>
        <row r="211">
          <cell r="A211">
            <v>17312</v>
          </cell>
          <cell r="B211" t="str">
            <v>Subsidiarias</v>
          </cell>
          <cell r="P211" t="str">
            <v>A0104</v>
          </cell>
          <cell r="S211">
            <v>0</v>
          </cell>
        </row>
        <row r="212">
          <cell r="A212">
            <v>17313</v>
          </cell>
          <cell r="B212" t="str">
            <v>Asociadas</v>
          </cell>
          <cell r="P212" t="str">
            <v>A0104</v>
          </cell>
          <cell r="S212">
            <v>0</v>
          </cell>
        </row>
        <row r="213">
          <cell r="A213">
            <v>17314</v>
          </cell>
          <cell r="B213" t="str">
            <v>Sucursales</v>
          </cell>
          <cell r="P213" t="str">
            <v>A0104</v>
          </cell>
          <cell r="S213">
            <v>0</v>
          </cell>
        </row>
        <row r="214">
          <cell r="A214">
            <v>17315</v>
          </cell>
          <cell r="B214" t="str">
            <v>Otros</v>
          </cell>
          <cell r="P214" t="str">
            <v>A0104</v>
          </cell>
          <cell r="S214">
            <v>0</v>
          </cell>
        </row>
        <row r="215">
          <cell r="A215">
            <v>1732</v>
          </cell>
          <cell r="B215" t="str">
            <v>Regalías</v>
          </cell>
          <cell r="P215" t="str">
            <v>A0104</v>
          </cell>
          <cell r="S215">
            <v>0</v>
          </cell>
        </row>
        <row r="216">
          <cell r="A216">
            <v>17321</v>
          </cell>
          <cell r="B216" t="str">
            <v>Matriz</v>
          </cell>
          <cell r="P216" t="str">
            <v>A0104</v>
          </cell>
          <cell r="S216">
            <v>0</v>
          </cell>
        </row>
        <row r="217">
          <cell r="A217">
            <v>17322</v>
          </cell>
          <cell r="B217" t="str">
            <v>Subsidiarias</v>
          </cell>
          <cell r="P217" t="str">
            <v>A0104</v>
          </cell>
          <cell r="S217">
            <v>0</v>
          </cell>
        </row>
        <row r="218">
          <cell r="A218">
            <v>17323</v>
          </cell>
          <cell r="B218" t="str">
            <v>Asociadas</v>
          </cell>
          <cell r="P218" t="str">
            <v>A0104</v>
          </cell>
          <cell r="S218">
            <v>0</v>
          </cell>
        </row>
        <row r="219">
          <cell r="A219">
            <v>17324</v>
          </cell>
          <cell r="B219" t="str">
            <v>Sucursales</v>
          </cell>
          <cell r="P219" t="str">
            <v>A0104</v>
          </cell>
          <cell r="S219">
            <v>0</v>
          </cell>
        </row>
        <row r="220">
          <cell r="A220">
            <v>17325</v>
          </cell>
          <cell r="B220" t="str">
            <v>Otros</v>
          </cell>
          <cell r="P220" t="str">
            <v>A0104</v>
          </cell>
          <cell r="S220">
            <v>0</v>
          </cell>
        </row>
        <row r="221">
          <cell r="A221">
            <v>1733</v>
          </cell>
          <cell r="B221" t="str">
            <v>Dividendos</v>
          </cell>
          <cell r="P221" t="str">
            <v>A0104</v>
          </cell>
          <cell r="S221">
            <v>0</v>
          </cell>
        </row>
        <row r="222">
          <cell r="A222">
            <v>17331</v>
          </cell>
          <cell r="B222" t="str">
            <v>Matriz</v>
          </cell>
          <cell r="P222" t="str">
            <v>A0104</v>
          </cell>
          <cell r="S222">
            <v>0</v>
          </cell>
        </row>
        <row r="223">
          <cell r="A223">
            <v>17332</v>
          </cell>
          <cell r="B223" t="str">
            <v>Subsidiarias</v>
          </cell>
          <cell r="P223" t="str">
            <v>A0104</v>
          </cell>
          <cell r="S223">
            <v>0</v>
          </cell>
        </row>
        <row r="224">
          <cell r="A224">
            <v>17333</v>
          </cell>
          <cell r="B224" t="str">
            <v>Asociadas</v>
          </cell>
          <cell r="P224" t="str">
            <v>A0104</v>
          </cell>
          <cell r="S224">
            <v>0</v>
          </cell>
        </row>
        <row r="225">
          <cell r="A225">
            <v>17334</v>
          </cell>
          <cell r="B225" t="str">
            <v>Otros</v>
          </cell>
          <cell r="P225" t="str">
            <v>A0104</v>
          </cell>
          <cell r="S225">
            <v>0</v>
          </cell>
        </row>
        <row r="226">
          <cell r="A226">
            <v>174</v>
          </cell>
          <cell r="B226" t="str">
            <v>Depósitos Otorgados en Garantía</v>
          </cell>
          <cell r="P226" t="str">
            <v>A0104</v>
          </cell>
          <cell r="S226">
            <v>0</v>
          </cell>
        </row>
        <row r="227">
          <cell r="A227">
            <v>175</v>
          </cell>
          <cell r="B227" t="str">
            <v>Venta de Activo Inmovilizado</v>
          </cell>
          <cell r="P227" t="str">
            <v>A0104</v>
          </cell>
          <cell r="S227">
            <v>0</v>
          </cell>
        </row>
        <row r="228">
          <cell r="A228">
            <v>1751</v>
          </cell>
          <cell r="B228" t="str">
            <v>Inversión mobiliaria</v>
          </cell>
          <cell r="P228" t="str">
            <v>A0104</v>
          </cell>
          <cell r="S228">
            <v>0</v>
          </cell>
        </row>
        <row r="229">
          <cell r="A229">
            <v>1752</v>
          </cell>
          <cell r="B229" t="str">
            <v>Inversión inmobiliaria</v>
          </cell>
          <cell r="P229" t="str">
            <v>A0104</v>
          </cell>
          <cell r="S229">
            <v>0</v>
          </cell>
        </row>
        <row r="230">
          <cell r="A230">
            <v>1753</v>
          </cell>
          <cell r="B230" t="str">
            <v>Inmuebles, maquinaria y equipo</v>
          </cell>
          <cell r="P230" t="str">
            <v>A0104</v>
          </cell>
          <cell r="S230">
            <v>0</v>
          </cell>
        </row>
        <row r="231">
          <cell r="A231">
            <v>1754</v>
          </cell>
          <cell r="B231" t="str">
            <v>Intangibles</v>
          </cell>
          <cell r="P231" t="str">
            <v>A0104</v>
          </cell>
          <cell r="S231">
            <v>0</v>
          </cell>
        </row>
        <row r="232">
          <cell r="A232">
            <v>1755</v>
          </cell>
          <cell r="B232" t="str">
            <v>Activos biológicos</v>
          </cell>
          <cell r="P232" t="str">
            <v>A0104</v>
          </cell>
          <cell r="S232">
            <v>0</v>
          </cell>
        </row>
        <row r="233">
          <cell r="A233">
            <v>176</v>
          </cell>
          <cell r="B233" t="str">
            <v>Activos por Instrumentos Financieros Derivados</v>
          </cell>
          <cell r="P233" t="str">
            <v>A0104</v>
          </cell>
          <cell r="S233">
            <v>0</v>
          </cell>
        </row>
        <row r="234">
          <cell r="A234">
            <v>178</v>
          </cell>
          <cell r="B234" t="str">
            <v>Otrs cuentas por cobrar diversas</v>
          </cell>
          <cell r="P234" t="str">
            <v>A0104</v>
          </cell>
          <cell r="S234">
            <v>0</v>
          </cell>
        </row>
        <row r="235">
          <cell r="A235">
            <v>18</v>
          </cell>
          <cell r="B235" t="str">
            <v>SERVICIOS Y OTROS CONTRATADOS POR ANTICIPADO</v>
          </cell>
          <cell r="P235" t="str">
            <v>A0107</v>
          </cell>
          <cell r="S235">
            <v>0</v>
          </cell>
        </row>
        <row r="236">
          <cell r="A236">
            <v>181</v>
          </cell>
          <cell r="B236" t="str">
            <v>Costos Financieros</v>
          </cell>
          <cell r="P236" t="str">
            <v>A0107</v>
          </cell>
          <cell r="S236">
            <v>0</v>
          </cell>
        </row>
        <row r="237">
          <cell r="A237">
            <v>182</v>
          </cell>
          <cell r="B237" t="str">
            <v>Seguros</v>
          </cell>
          <cell r="P237" t="str">
            <v>A0107</v>
          </cell>
          <cell r="S237">
            <v>0</v>
          </cell>
        </row>
        <row r="238">
          <cell r="A238">
            <v>1821</v>
          </cell>
          <cell r="B238" t="str">
            <v>Seguros contratados y/o pagados por anticipado</v>
          </cell>
          <cell r="P238" t="str">
            <v>A0107</v>
          </cell>
          <cell r="S238">
            <v>0</v>
          </cell>
        </row>
        <row r="239">
          <cell r="A239">
            <v>18211</v>
          </cell>
          <cell r="B239" t="str">
            <v>Seguro contra incendio pagado por anticipado</v>
          </cell>
          <cell r="P239" t="str">
            <v>A0107</v>
          </cell>
          <cell r="S239">
            <v>0</v>
          </cell>
        </row>
        <row r="240">
          <cell r="A240">
            <v>18212</v>
          </cell>
          <cell r="B240" t="str">
            <v>Seguro contra contra todo riesgo</v>
          </cell>
          <cell r="P240" t="str">
            <v>A0107</v>
          </cell>
          <cell r="S240">
            <v>0</v>
          </cell>
        </row>
        <row r="241">
          <cell r="A241">
            <v>1822</v>
          </cell>
          <cell r="B241" t="str">
            <v>Seguro complementario de trabajo de riesgo</v>
          </cell>
          <cell r="P241" t="str">
            <v>A0107</v>
          </cell>
          <cell r="S241">
            <v>0</v>
          </cell>
        </row>
        <row r="242">
          <cell r="A242">
            <v>1823</v>
          </cell>
          <cell r="B242" t="str">
            <v>Seguro de vida</v>
          </cell>
          <cell r="P242" t="str">
            <v>A0107</v>
          </cell>
          <cell r="S242">
            <v>0</v>
          </cell>
        </row>
        <row r="243">
          <cell r="A243">
            <v>1825</v>
          </cell>
          <cell r="B243" t="str">
            <v>Seguro obligatorio contra accidentes de tránsito</v>
          </cell>
          <cell r="P243" t="str">
            <v>A0107</v>
          </cell>
          <cell r="S243">
            <v>0</v>
          </cell>
        </row>
        <row r="244">
          <cell r="A244">
            <v>183</v>
          </cell>
          <cell r="B244" t="str">
            <v>Alquileres</v>
          </cell>
          <cell r="P244" t="str">
            <v>A0107</v>
          </cell>
          <cell r="S244">
            <v>0</v>
          </cell>
        </row>
        <row r="245">
          <cell r="A245">
            <v>1831</v>
          </cell>
          <cell r="B245" t="str">
            <v>Alquileres contratados y/o pagados por anticipado</v>
          </cell>
          <cell r="P245" t="str">
            <v>A0107</v>
          </cell>
          <cell r="S245">
            <v>0</v>
          </cell>
        </row>
        <row r="246">
          <cell r="A246">
            <v>18311</v>
          </cell>
          <cell r="B246" t="str">
            <v>Alquiler de inmuebles pagados por anticipado</v>
          </cell>
          <cell r="P246" t="str">
            <v>A0107</v>
          </cell>
          <cell r="S246">
            <v>0</v>
          </cell>
        </row>
        <row r="247">
          <cell r="A247">
            <v>184</v>
          </cell>
          <cell r="B247" t="str">
            <v>Primas Pagadas por Opciones</v>
          </cell>
          <cell r="P247" t="str">
            <v>A0107</v>
          </cell>
          <cell r="S247">
            <v>0</v>
          </cell>
        </row>
        <row r="248">
          <cell r="A248">
            <v>185</v>
          </cell>
          <cell r="B248" t="str">
            <v>Mantenimiento de Activos Inmovilizados</v>
          </cell>
          <cell r="P248" t="str">
            <v>A0107</v>
          </cell>
          <cell r="S248">
            <v>0</v>
          </cell>
        </row>
        <row r="249">
          <cell r="A249">
            <v>189</v>
          </cell>
          <cell r="B249" t="str">
            <v>Otros Gastos Contratados por Anticipado</v>
          </cell>
          <cell r="P249" t="str">
            <v>A0107</v>
          </cell>
          <cell r="S249">
            <v>0</v>
          </cell>
        </row>
        <row r="250">
          <cell r="A250">
            <v>1891</v>
          </cell>
          <cell r="B250" t="str">
            <v>Dominio anual página web</v>
          </cell>
          <cell r="P250" t="str">
            <v>A0107</v>
          </cell>
          <cell r="S250">
            <v>0</v>
          </cell>
        </row>
        <row r="251">
          <cell r="A251">
            <v>1893</v>
          </cell>
          <cell r="B251" t="str">
            <v>Pagos a cuenta del impuesto a la renta</v>
          </cell>
          <cell r="P251" t="str">
            <v>A0107</v>
          </cell>
          <cell r="S251">
            <v>0</v>
          </cell>
        </row>
        <row r="252">
          <cell r="A252">
            <v>19</v>
          </cell>
          <cell r="B252" t="str">
            <v>ESTIMACIÓN DE CUENTAS DE COBRANZA DUDOSA</v>
          </cell>
          <cell r="P252">
            <v>0</v>
          </cell>
          <cell r="S252">
            <v>0</v>
          </cell>
        </row>
        <row r="253">
          <cell r="A253">
            <v>191</v>
          </cell>
          <cell r="B253" t="str">
            <v>Cuentas por Cobrar Comerciales - Terceros</v>
          </cell>
          <cell r="P253" t="str">
            <v>A0103</v>
          </cell>
          <cell r="S253">
            <v>0</v>
          </cell>
        </row>
        <row r="254">
          <cell r="A254">
            <v>1911</v>
          </cell>
          <cell r="B254" t="str">
            <v>Facturas, boletas y otros comprobantes por cobrar</v>
          </cell>
          <cell r="P254" t="str">
            <v>A0103</v>
          </cell>
          <cell r="S254">
            <v>0</v>
          </cell>
        </row>
        <row r="255">
          <cell r="A255">
            <v>1913</v>
          </cell>
          <cell r="B255" t="str">
            <v>Letras por cobrar</v>
          </cell>
          <cell r="P255" t="str">
            <v>A0103</v>
          </cell>
          <cell r="S255">
            <v>0</v>
          </cell>
        </row>
        <row r="256">
          <cell r="A256">
            <v>192</v>
          </cell>
          <cell r="B256" t="str">
            <v>Cuentas por Cobrar Comerciales - Relacionadas</v>
          </cell>
          <cell r="P256" t="str">
            <v>A0103</v>
          </cell>
          <cell r="S256">
            <v>0</v>
          </cell>
        </row>
        <row r="257">
          <cell r="A257">
            <v>1921</v>
          </cell>
          <cell r="B257" t="str">
            <v>Facturas, boletas y otros comprobantes por cobrar</v>
          </cell>
          <cell r="P257" t="str">
            <v>A0103</v>
          </cell>
          <cell r="S257">
            <v>0</v>
          </cell>
        </row>
        <row r="258">
          <cell r="A258">
            <v>1922</v>
          </cell>
          <cell r="B258" t="str">
            <v>Letras por cobrar</v>
          </cell>
          <cell r="P258" t="str">
            <v>A0103</v>
          </cell>
          <cell r="S258">
            <v>0</v>
          </cell>
        </row>
        <row r="259">
          <cell r="A259">
            <v>193</v>
          </cell>
          <cell r="B259" t="str">
            <v>Cuentas por Cobrar al Personal, a los Socios, directores y gerentes</v>
          </cell>
          <cell r="P259" t="str">
            <v>A0105</v>
          </cell>
          <cell r="S259">
            <v>0</v>
          </cell>
        </row>
        <row r="260">
          <cell r="A260">
            <v>1931</v>
          </cell>
          <cell r="B260" t="str">
            <v>Personal</v>
          </cell>
          <cell r="P260" t="str">
            <v>A0105</v>
          </cell>
          <cell r="S260">
            <v>0</v>
          </cell>
        </row>
        <row r="261">
          <cell r="A261">
            <v>1932</v>
          </cell>
          <cell r="B261" t="str">
            <v>Socios</v>
          </cell>
          <cell r="P261" t="str">
            <v>A0105</v>
          </cell>
          <cell r="S261">
            <v>0</v>
          </cell>
        </row>
        <row r="262">
          <cell r="A262">
            <v>1933</v>
          </cell>
          <cell r="B262" t="str">
            <v>Directores</v>
          </cell>
          <cell r="P262" t="str">
            <v>A0105</v>
          </cell>
          <cell r="S262">
            <v>0</v>
          </cell>
        </row>
        <row r="263">
          <cell r="A263">
            <v>1934</v>
          </cell>
          <cell r="B263" t="str">
            <v>Gerentes</v>
          </cell>
          <cell r="P263" t="str">
            <v>A0105</v>
          </cell>
          <cell r="S263">
            <v>0</v>
          </cell>
        </row>
        <row r="264">
          <cell r="A264">
            <v>1938</v>
          </cell>
          <cell r="B264" t="str">
            <v>Diversas</v>
          </cell>
          <cell r="P264" t="str">
            <v>A0105</v>
          </cell>
          <cell r="S264">
            <v>0</v>
          </cell>
        </row>
        <row r="265">
          <cell r="A265">
            <v>194</v>
          </cell>
          <cell r="B265" t="str">
            <v>Cuentas por Cobrar Diversas- Terceros</v>
          </cell>
          <cell r="P265" t="str">
            <v>A0105</v>
          </cell>
          <cell r="S265">
            <v>0</v>
          </cell>
        </row>
        <row r="266">
          <cell r="A266">
            <v>1941</v>
          </cell>
          <cell r="B266" t="str">
            <v>Préstamos</v>
          </cell>
          <cell r="P266" t="str">
            <v>A0105</v>
          </cell>
          <cell r="S266">
            <v>0</v>
          </cell>
        </row>
        <row r="267">
          <cell r="A267">
            <v>1942</v>
          </cell>
          <cell r="B267" t="str">
            <v>Reclamaciones a terceros</v>
          </cell>
          <cell r="P267" t="str">
            <v>A0105</v>
          </cell>
          <cell r="S267">
            <v>0</v>
          </cell>
        </row>
        <row r="268">
          <cell r="A268">
            <v>1943</v>
          </cell>
          <cell r="B268" t="str">
            <v>Intereses regalias y dividendos</v>
          </cell>
          <cell r="P268" t="str">
            <v>A0105</v>
          </cell>
          <cell r="S268">
            <v>0</v>
          </cell>
        </row>
        <row r="269">
          <cell r="A269">
            <v>1944</v>
          </cell>
          <cell r="B269" t="str">
            <v>Depósitos otorgados en garantía</v>
          </cell>
          <cell r="P269" t="str">
            <v>A0105</v>
          </cell>
          <cell r="S269">
            <v>0</v>
          </cell>
        </row>
        <row r="270">
          <cell r="A270">
            <v>1945</v>
          </cell>
          <cell r="B270" t="str">
            <v>Venta de activo inmovilizado</v>
          </cell>
          <cell r="P270" t="str">
            <v>A0105</v>
          </cell>
          <cell r="S270">
            <v>0</v>
          </cell>
        </row>
        <row r="271">
          <cell r="A271">
            <v>1946</v>
          </cell>
          <cell r="B271" t="str">
            <v>Activos por instrumentos financieros</v>
          </cell>
          <cell r="P271" t="str">
            <v>A0105</v>
          </cell>
          <cell r="S271">
            <v>0</v>
          </cell>
        </row>
        <row r="272">
          <cell r="A272">
            <v>1949</v>
          </cell>
          <cell r="B272" t="str">
            <v>Otras cuentas por cobrar diversas</v>
          </cell>
          <cell r="P272" t="str">
            <v>A0105</v>
          </cell>
          <cell r="S272">
            <v>0</v>
          </cell>
        </row>
        <row r="273">
          <cell r="A273">
            <v>195</v>
          </cell>
          <cell r="B273" t="str">
            <v>Cuentas por Cobrar Diversas - Relacionadas</v>
          </cell>
          <cell r="P273" t="str">
            <v>A0104</v>
          </cell>
          <cell r="S273">
            <v>0</v>
          </cell>
        </row>
        <row r="274">
          <cell r="A274">
            <v>1951</v>
          </cell>
          <cell r="B274" t="str">
            <v>Préstamos</v>
          </cell>
          <cell r="P274" t="str">
            <v>A0104</v>
          </cell>
          <cell r="S274">
            <v>0</v>
          </cell>
        </row>
        <row r="275">
          <cell r="A275">
            <v>1953</v>
          </cell>
          <cell r="B275" t="str">
            <v>Intereses regalías y dividendos</v>
          </cell>
          <cell r="P275" t="str">
            <v>A0104</v>
          </cell>
          <cell r="S275">
            <v>0</v>
          </cell>
        </row>
        <row r="276">
          <cell r="A276">
            <v>1954</v>
          </cell>
          <cell r="B276" t="str">
            <v>Depósitos otorgados en garantía</v>
          </cell>
          <cell r="P276" t="str">
            <v>A0104</v>
          </cell>
          <cell r="S276">
            <v>0</v>
          </cell>
        </row>
        <row r="277">
          <cell r="A277">
            <v>1955</v>
          </cell>
          <cell r="B277" t="str">
            <v>Venta de activo inmovilizado</v>
          </cell>
          <cell r="P277" t="str">
            <v>A0104</v>
          </cell>
          <cell r="S277">
            <v>0</v>
          </cell>
        </row>
        <row r="278">
          <cell r="A278">
            <v>1956</v>
          </cell>
          <cell r="B278" t="str">
            <v>Activos por instrumentos financieros</v>
          </cell>
          <cell r="P278" t="str">
            <v>A0104</v>
          </cell>
          <cell r="S278">
            <v>0</v>
          </cell>
        </row>
        <row r="279">
          <cell r="A279">
            <v>1958</v>
          </cell>
          <cell r="B279" t="str">
            <v>Otras cuentas por cobrar diversas</v>
          </cell>
          <cell r="P279" t="str">
            <v>A0104</v>
          </cell>
          <cell r="S279">
            <v>0</v>
          </cell>
        </row>
        <row r="280">
          <cell r="A280">
            <v>20</v>
          </cell>
          <cell r="B280" t="str">
            <v>MERCADERÍAS</v>
          </cell>
          <cell r="P280" t="str">
            <v>A0106</v>
          </cell>
          <cell r="S280">
            <v>0</v>
          </cell>
        </row>
        <row r="281">
          <cell r="A281">
            <v>201</v>
          </cell>
          <cell r="B281" t="str">
            <v>Mercaderías Manufacturadas</v>
          </cell>
          <cell r="P281" t="str">
            <v>A0106</v>
          </cell>
          <cell r="S281">
            <v>0</v>
          </cell>
        </row>
        <row r="282">
          <cell r="A282">
            <v>2011</v>
          </cell>
          <cell r="B282" t="str">
            <v>Mercaderías manufacturadas</v>
          </cell>
          <cell r="P282" t="str">
            <v>A0106</v>
          </cell>
          <cell r="S282">
            <v>0</v>
          </cell>
        </row>
        <row r="283">
          <cell r="A283">
            <v>20111</v>
          </cell>
          <cell r="B283" t="str">
            <v>Costo de mercaderías manufacturadas</v>
          </cell>
          <cell r="P283" t="str">
            <v>A0106</v>
          </cell>
          <cell r="S283">
            <v>168000</v>
          </cell>
        </row>
        <row r="284">
          <cell r="A284">
            <v>20112</v>
          </cell>
          <cell r="B284" t="str">
            <v>Valor razonable</v>
          </cell>
          <cell r="P284" t="str">
            <v>A0106</v>
          </cell>
          <cell r="S284">
            <v>0</v>
          </cell>
        </row>
        <row r="285">
          <cell r="A285">
            <v>202</v>
          </cell>
          <cell r="B285" t="str">
            <v>Mercaderías de Extracción</v>
          </cell>
          <cell r="P285" t="str">
            <v>A0106</v>
          </cell>
          <cell r="S285">
            <v>0</v>
          </cell>
        </row>
        <row r="286">
          <cell r="A286">
            <v>203</v>
          </cell>
          <cell r="B286" t="str">
            <v>Mercaderías Agropecuarias y Piscícolas</v>
          </cell>
          <cell r="P286" t="str">
            <v>A0106</v>
          </cell>
          <cell r="S286">
            <v>0</v>
          </cell>
        </row>
        <row r="287">
          <cell r="A287">
            <v>2031</v>
          </cell>
          <cell r="B287" t="str">
            <v>De origen animal</v>
          </cell>
          <cell r="P287" t="str">
            <v>A0106</v>
          </cell>
          <cell r="S287">
            <v>0</v>
          </cell>
        </row>
        <row r="288">
          <cell r="A288">
            <v>2032</v>
          </cell>
          <cell r="B288" t="str">
            <v>De origen vegetal</v>
          </cell>
          <cell r="P288" t="str">
            <v>A0106</v>
          </cell>
          <cell r="S288">
            <v>0</v>
          </cell>
        </row>
        <row r="289">
          <cell r="A289">
            <v>204</v>
          </cell>
          <cell r="B289" t="str">
            <v>Mercaderías Inmuebles</v>
          </cell>
          <cell r="P289" t="str">
            <v>A0106</v>
          </cell>
          <cell r="S289">
            <v>0</v>
          </cell>
        </row>
        <row r="290">
          <cell r="A290">
            <v>208</v>
          </cell>
          <cell r="B290" t="str">
            <v>Otras mercaderías</v>
          </cell>
          <cell r="P290" t="str">
            <v>A0106</v>
          </cell>
          <cell r="S290">
            <v>0</v>
          </cell>
        </row>
        <row r="291">
          <cell r="A291">
            <v>21</v>
          </cell>
          <cell r="B291" t="str">
            <v>PRODUCTOS TERMINADOS</v>
          </cell>
          <cell r="P291" t="str">
            <v>A0106</v>
          </cell>
          <cell r="S291">
            <v>0</v>
          </cell>
        </row>
        <row r="292">
          <cell r="A292">
            <v>211</v>
          </cell>
          <cell r="B292" t="str">
            <v>Productos Manufacturados</v>
          </cell>
          <cell r="P292" t="str">
            <v>A0106</v>
          </cell>
          <cell r="S292">
            <v>0</v>
          </cell>
        </row>
        <row r="293">
          <cell r="A293">
            <v>212</v>
          </cell>
          <cell r="B293" t="str">
            <v>Productos de Extracción Terminados</v>
          </cell>
          <cell r="P293" t="str">
            <v>A0106</v>
          </cell>
          <cell r="S293">
            <v>0</v>
          </cell>
        </row>
        <row r="294">
          <cell r="A294">
            <v>2124</v>
          </cell>
          <cell r="B294" t="str">
            <v>Cobre lixiviado</v>
          </cell>
          <cell r="P294" t="str">
            <v>A0106</v>
          </cell>
          <cell r="S294">
            <v>0</v>
          </cell>
        </row>
        <row r="295">
          <cell r="A295">
            <v>2123</v>
          </cell>
          <cell r="B295" t="str">
            <v>concentrado de Cobre</v>
          </cell>
          <cell r="P295" t="str">
            <v>A0106</v>
          </cell>
          <cell r="S295">
            <v>0</v>
          </cell>
        </row>
        <row r="296">
          <cell r="A296">
            <v>2122</v>
          </cell>
          <cell r="B296" t="str">
            <v>concentrado de Zinc</v>
          </cell>
          <cell r="P296" t="str">
            <v>A0106</v>
          </cell>
          <cell r="S296">
            <v>0</v>
          </cell>
        </row>
        <row r="297">
          <cell r="A297">
            <v>2121</v>
          </cell>
          <cell r="B297" t="str">
            <v>concentrado de plomo</v>
          </cell>
          <cell r="P297" t="str">
            <v>A0106</v>
          </cell>
          <cell r="S297">
            <v>0</v>
          </cell>
        </row>
        <row r="298">
          <cell r="A298">
            <v>213</v>
          </cell>
          <cell r="B298" t="str">
            <v>Productos Agropecuarios y Piscícolas Terminados</v>
          </cell>
          <cell r="P298" t="str">
            <v>A0106</v>
          </cell>
          <cell r="S298">
            <v>0</v>
          </cell>
        </row>
        <row r="299">
          <cell r="A299">
            <v>2131</v>
          </cell>
          <cell r="B299" t="str">
            <v>De origen animal</v>
          </cell>
          <cell r="P299" t="str">
            <v>A0106</v>
          </cell>
          <cell r="S299">
            <v>0</v>
          </cell>
        </row>
        <row r="300">
          <cell r="A300">
            <v>21311</v>
          </cell>
          <cell r="B300" t="str">
            <v>Costo</v>
          </cell>
          <cell r="P300" t="str">
            <v>A0106</v>
          </cell>
          <cell r="S300">
            <v>0</v>
          </cell>
        </row>
        <row r="301">
          <cell r="A301">
            <v>21312</v>
          </cell>
          <cell r="B301" t="str">
            <v>Valor razonable</v>
          </cell>
          <cell r="P301" t="str">
            <v>A0106</v>
          </cell>
          <cell r="S301">
            <v>0</v>
          </cell>
        </row>
        <row r="302">
          <cell r="A302">
            <v>2132</v>
          </cell>
          <cell r="B302" t="str">
            <v>De origen vegetal</v>
          </cell>
          <cell r="P302" t="str">
            <v>A0106</v>
          </cell>
          <cell r="S302">
            <v>0</v>
          </cell>
        </row>
        <row r="303">
          <cell r="A303">
            <v>21321</v>
          </cell>
          <cell r="B303" t="str">
            <v>Costo</v>
          </cell>
          <cell r="P303" t="str">
            <v>A0106</v>
          </cell>
          <cell r="S303">
            <v>0</v>
          </cell>
        </row>
        <row r="304">
          <cell r="A304">
            <v>21322</v>
          </cell>
          <cell r="B304" t="str">
            <v>Valor razonable</v>
          </cell>
          <cell r="P304" t="str">
            <v>A0106</v>
          </cell>
          <cell r="S304">
            <v>0</v>
          </cell>
        </row>
        <row r="305">
          <cell r="A305">
            <v>214</v>
          </cell>
          <cell r="B305" t="str">
            <v>Productos Inmuebles</v>
          </cell>
          <cell r="P305" t="str">
            <v>A0106</v>
          </cell>
          <cell r="S305">
            <v>0</v>
          </cell>
        </row>
        <row r="306">
          <cell r="A306">
            <v>215</v>
          </cell>
          <cell r="B306" t="str">
            <v>Existencias de Servicios Terminados</v>
          </cell>
          <cell r="P306" t="str">
            <v>A0106</v>
          </cell>
          <cell r="S306">
            <v>0</v>
          </cell>
        </row>
        <row r="307">
          <cell r="A307">
            <v>217</v>
          </cell>
          <cell r="B307" t="str">
            <v>Otros Productos Terminados</v>
          </cell>
          <cell r="P307" t="str">
            <v>A0106</v>
          </cell>
          <cell r="S307">
            <v>0</v>
          </cell>
        </row>
        <row r="308">
          <cell r="A308">
            <v>218</v>
          </cell>
          <cell r="B308" t="str">
            <v>Costos de Financiación – Productos Terminados</v>
          </cell>
          <cell r="P308" t="str">
            <v>A0106</v>
          </cell>
          <cell r="S308">
            <v>0</v>
          </cell>
        </row>
        <row r="309">
          <cell r="A309">
            <v>22</v>
          </cell>
          <cell r="B309" t="str">
            <v>SUBPRODUCTOS, DESECHOS Y DESPERDICIOS</v>
          </cell>
          <cell r="P309" t="str">
            <v>A0106</v>
          </cell>
          <cell r="S309">
            <v>0</v>
          </cell>
        </row>
        <row r="310">
          <cell r="A310">
            <v>221</v>
          </cell>
          <cell r="B310" t="str">
            <v>Subproductos</v>
          </cell>
          <cell r="P310" t="str">
            <v>A0106</v>
          </cell>
          <cell r="S310">
            <v>0</v>
          </cell>
        </row>
        <row r="311">
          <cell r="A311">
            <v>222</v>
          </cell>
          <cell r="B311" t="str">
            <v>Desechos y Desperdicios</v>
          </cell>
          <cell r="P311" t="str">
            <v>A0106</v>
          </cell>
          <cell r="S311">
            <v>0</v>
          </cell>
        </row>
        <row r="312">
          <cell r="A312">
            <v>23</v>
          </cell>
          <cell r="B312" t="str">
            <v>PRODUCTOS EN PROCESO</v>
          </cell>
          <cell r="P312" t="str">
            <v>A0106</v>
          </cell>
          <cell r="S312">
            <v>0</v>
          </cell>
        </row>
        <row r="313">
          <cell r="A313">
            <v>231</v>
          </cell>
          <cell r="B313" t="str">
            <v>Productos en Proceso de Manufactura</v>
          </cell>
          <cell r="P313" t="str">
            <v>A0106</v>
          </cell>
          <cell r="S313">
            <v>0</v>
          </cell>
        </row>
        <row r="314">
          <cell r="A314">
            <v>232</v>
          </cell>
          <cell r="B314" t="str">
            <v>Productos Extraídos en Proceso de Transformación</v>
          </cell>
          <cell r="P314" t="str">
            <v>A0106</v>
          </cell>
          <cell r="S314">
            <v>0</v>
          </cell>
        </row>
        <row r="315">
          <cell r="A315">
            <v>233</v>
          </cell>
          <cell r="B315" t="str">
            <v>Productos Agropecuarios y Piscícolas en Proceso</v>
          </cell>
          <cell r="P315" t="str">
            <v>A0106</v>
          </cell>
          <cell r="S315">
            <v>0</v>
          </cell>
        </row>
        <row r="316">
          <cell r="A316">
            <v>2331</v>
          </cell>
          <cell r="B316" t="str">
            <v>De origen animal</v>
          </cell>
          <cell r="P316" t="str">
            <v>A0106</v>
          </cell>
          <cell r="S316">
            <v>0</v>
          </cell>
        </row>
        <row r="317">
          <cell r="A317">
            <v>23311</v>
          </cell>
          <cell r="B317" t="str">
            <v>Costo</v>
          </cell>
          <cell r="P317" t="str">
            <v>A0106</v>
          </cell>
          <cell r="S317">
            <v>0</v>
          </cell>
        </row>
        <row r="318">
          <cell r="A318">
            <v>23312</v>
          </cell>
          <cell r="B318" t="str">
            <v>Valor razonable</v>
          </cell>
          <cell r="P318" t="str">
            <v>A0106</v>
          </cell>
          <cell r="S318">
            <v>0</v>
          </cell>
        </row>
        <row r="319">
          <cell r="A319">
            <v>2332</v>
          </cell>
          <cell r="B319" t="str">
            <v>De origen vegetal</v>
          </cell>
          <cell r="P319" t="str">
            <v>A0106</v>
          </cell>
          <cell r="S319">
            <v>0</v>
          </cell>
        </row>
        <row r="320">
          <cell r="A320">
            <v>23321</v>
          </cell>
          <cell r="B320" t="str">
            <v>Costo</v>
          </cell>
          <cell r="P320" t="str">
            <v>A0106</v>
          </cell>
          <cell r="S320">
            <v>0</v>
          </cell>
        </row>
        <row r="321">
          <cell r="A321">
            <v>23322</v>
          </cell>
          <cell r="B321" t="str">
            <v>Valor razonable</v>
          </cell>
          <cell r="P321" t="str">
            <v>A0106</v>
          </cell>
          <cell r="S321">
            <v>0</v>
          </cell>
        </row>
        <row r="322">
          <cell r="A322">
            <v>234</v>
          </cell>
          <cell r="B322" t="str">
            <v>Productos Inmuebles en Proceso</v>
          </cell>
          <cell r="P322" t="str">
            <v>A0106</v>
          </cell>
          <cell r="S322">
            <v>0</v>
          </cell>
        </row>
        <row r="323">
          <cell r="A323">
            <v>235</v>
          </cell>
          <cell r="B323" t="str">
            <v>Existencias de Servicios en Proceso</v>
          </cell>
          <cell r="P323" t="str">
            <v>A0106</v>
          </cell>
          <cell r="S323">
            <v>0</v>
          </cell>
        </row>
        <row r="324">
          <cell r="A324">
            <v>237</v>
          </cell>
          <cell r="B324" t="str">
            <v>Otros Productos en Proceso</v>
          </cell>
          <cell r="P324" t="str">
            <v>A0106</v>
          </cell>
          <cell r="S324">
            <v>0</v>
          </cell>
        </row>
        <row r="325">
          <cell r="A325">
            <v>238</v>
          </cell>
          <cell r="B325" t="str">
            <v>Costos de Financiación – Productos en Proceso</v>
          </cell>
          <cell r="P325" t="str">
            <v>A0106</v>
          </cell>
          <cell r="S325">
            <v>0</v>
          </cell>
        </row>
        <row r="326">
          <cell r="A326">
            <v>24</v>
          </cell>
          <cell r="B326" t="str">
            <v>MATERIAS PRIMAS</v>
          </cell>
          <cell r="P326" t="str">
            <v>A0106</v>
          </cell>
          <cell r="S326">
            <v>0</v>
          </cell>
        </row>
        <row r="327">
          <cell r="A327">
            <v>241</v>
          </cell>
          <cell r="B327" t="str">
            <v>Materias Primas para Productos Manufacturados</v>
          </cell>
          <cell r="P327" t="str">
            <v>A0106</v>
          </cell>
          <cell r="S327">
            <v>0</v>
          </cell>
        </row>
        <row r="328">
          <cell r="A328">
            <v>242</v>
          </cell>
          <cell r="B328" t="str">
            <v>Materias Primas para Productos de Extracción</v>
          </cell>
          <cell r="P328" t="str">
            <v>A0106</v>
          </cell>
          <cell r="S328">
            <v>0</v>
          </cell>
        </row>
        <row r="329">
          <cell r="A329">
            <v>243</v>
          </cell>
          <cell r="B329" t="str">
            <v>Materias Primas para Productos Agropecuarios y Piscícolas</v>
          </cell>
          <cell r="P329" t="str">
            <v>A0106</v>
          </cell>
          <cell r="S329">
            <v>0</v>
          </cell>
        </row>
        <row r="330">
          <cell r="A330">
            <v>244</v>
          </cell>
          <cell r="B330" t="str">
            <v>Materias Primas para Productos Inmuebles</v>
          </cell>
          <cell r="P330" t="str">
            <v>A0106</v>
          </cell>
          <cell r="S330">
            <v>0</v>
          </cell>
        </row>
        <row r="331">
          <cell r="A331">
            <v>25</v>
          </cell>
          <cell r="B331" t="str">
            <v>MATERIALES AUXILIARES, SUMINISTROS Y REPUESTOS</v>
          </cell>
          <cell r="P331" t="str">
            <v>A0106</v>
          </cell>
          <cell r="S331">
            <v>0</v>
          </cell>
        </row>
        <row r="332">
          <cell r="A332">
            <v>251</v>
          </cell>
          <cell r="B332" t="str">
            <v>Materiales Auxiliares</v>
          </cell>
          <cell r="P332" t="str">
            <v>A0106</v>
          </cell>
          <cell r="S332">
            <v>0</v>
          </cell>
        </row>
        <row r="333">
          <cell r="A333">
            <v>252</v>
          </cell>
          <cell r="B333" t="str">
            <v>Suministros</v>
          </cell>
          <cell r="P333" t="str">
            <v>A0106</v>
          </cell>
          <cell r="S333">
            <v>0</v>
          </cell>
        </row>
        <row r="334">
          <cell r="A334">
            <v>2521</v>
          </cell>
          <cell r="B334" t="str">
            <v>Combustibles</v>
          </cell>
          <cell r="P334" t="str">
            <v>A0106</v>
          </cell>
          <cell r="S334">
            <v>0</v>
          </cell>
        </row>
        <row r="335">
          <cell r="A335">
            <v>25211</v>
          </cell>
          <cell r="B335" t="str">
            <v>Petroleo diesel 2</v>
          </cell>
          <cell r="P335" t="str">
            <v>A0106</v>
          </cell>
          <cell r="S335">
            <v>0</v>
          </cell>
        </row>
        <row r="336">
          <cell r="A336">
            <v>2522</v>
          </cell>
          <cell r="B336" t="str">
            <v>Lubricantes</v>
          </cell>
          <cell r="P336" t="str">
            <v>A0106</v>
          </cell>
          <cell r="S336">
            <v>0</v>
          </cell>
        </row>
        <row r="337">
          <cell r="A337">
            <v>25221</v>
          </cell>
          <cell r="B337" t="str">
            <v>aceites</v>
          </cell>
          <cell r="P337" t="str">
            <v>A0106</v>
          </cell>
          <cell r="S337">
            <v>0</v>
          </cell>
        </row>
        <row r="338">
          <cell r="A338">
            <v>2523</v>
          </cell>
          <cell r="B338" t="str">
            <v>Energía</v>
          </cell>
          <cell r="P338" t="str">
            <v>A0106</v>
          </cell>
          <cell r="S338">
            <v>0</v>
          </cell>
        </row>
        <row r="339">
          <cell r="A339">
            <v>2524</v>
          </cell>
          <cell r="B339" t="str">
            <v>Otros suministros</v>
          </cell>
          <cell r="P339" t="str">
            <v>A0106</v>
          </cell>
          <cell r="S339">
            <v>0</v>
          </cell>
        </row>
        <row r="340">
          <cell r="A340">
            <v>25241</v>
          </cell>
          <cell r="B340" t="str">
            <v>Dinamita</v>
          </cell>
          <cell r="P340" t="str">
            <v>A0106</v>
          </cell>
          <cell r="S340">
            <v>0</v>
          </cell>
        </row>
        <row r="341">
          <cell r="A341">
            <v>253</v>
          </cell>
          <cell r="B341" t="str">
            <v>Repuestos</v>
          </cell>
          <cell r="P341" t="str">
            <v>A0106</v>
          </cell>
          <cell r="S341">
            <v>0</v>
          </cell>
        </row>
        <row r="342">
          <cell r="A342">
            <v>2536</v>
          </cell>
          <cell r="B342" t="str">
            <v>transformadores</v>
          </cell>
          <cell r="P342" t="str">
            <v>A0106</v>
          </cell>
          <cell r="S342">
            <v>0</v>
          </cell>
        </row>
        <row r="343">
          <cell r="A343">
            <v>2535</v>
          </cell>
          <cell r="B343" t="str">
            <v>bolas de acero</v>
          </cell>
          <cell r="P343" t="str">
            <v>A0106</v>
          </cell>
          <cell r="S343">
            <v>0</v>
          </cell>
        </row>
        <row r="344">
          <cell r="A344">
            <v>2534</v>
          </cell>
          <cell r="B344" t="str">
            <v>planchas de acero</v>
          </cell>
          <cell r="P344" t="str">
            <v>A0106</v>
          </cell>
          <cell r="S344">
            <v>0</v>
          </cell>
        </row>
        <row r="345">
          <cell r="A345">
            <v>2533</v>
          </cell>
          <cell r="B345" t="str">
            <v>madera</v>
          </cell>
          <cell r="P345" t="str">
            <v>A0106</v>
          </cell>
          <cell r="S345">
            <v>0</v>
          </cell>
        </row>
        <row r="346">
          <cell r="A346">
            <v>2532</v>
          </cell>
          <cell r="B346" t="str">
            <v>llantas</v>
          </cell>
          <cell r="P346" t="str">
            <v>A0106</v>
          </cell>
          <cell r="S346">
            <v>0</v>
          </cell>
        </row>
        <row r="347">
          <cell r="A347">
            <v>2531</v>
          </cell>
          <cell r="B347" t="str">
            <v>rodajes</v>
          </cell>
          <cell r="P347" t="str">
            <v>A0106</v>
          </cell>
          <cell r="S347">
            <v>0</v>
          </cell>
        </row>
        <row r="348">
          <cell r="A348">
            <v>26</v>
          </cell>
          <cell r="B348" t="str">
            <v>ENVASES Y EMBALAJES</v>
          </cell>
          <cell r="P348" t="str">
            <v>A0106</v>
          </cell>
          <cell r="S348">
            <v>0</v>
          </cell>
        </row>
        <row r="349">
          <cell r="A349">
            <v>261</v>
          </cell>
          <cell r="B349" t="str">
            <v>Envases</v>
          </cell>
          <cell r="P349" t="str">
            <v>A0106</v>
          </cell>
          <cell r="S349">
            <v>0</v>
          </cell>
        </row>
        <row r="350">
          <cell r="A350">
            <v>262</v>
          </cell>
          <cell r="B350" t="str">
            <v>Embalajes</v>
          </cell>
          <cell r="P350" t="str">
            <v>A0106</v>
          </cell>
          <cell r="S350">
            <v>0</v>
          </cell>
        </row>
        <row r="351">
          <cell r="A351">
            <v>27</v>
          </cell>
          <cell r="B351" t="str">
            <v>ACTIVOS NO CORRIENTES MANTENIDOS PARA LA VENTA</v>
          </cell>
          <cell r="P351" t="str">
            <v>A0115</v>
          </cell>
          <cell r="S351">
            <v>0</v>
          </cell>
        </row>
        <row r="352">
          <cell r="A352">
            <v>271</v>
          </cell>
          <cell r="B352" t="str">
            <v>Inversiones Inmobiliarias</v>
          </cell>
          <cell r="P352" t="str">
            <v>A0115</v>
          </cell>
          <cell r="S352">
            <v>0</v>
          </cell>
        </row>
        <row r="353">
          <cell r="A353">
            <v>2711</v>
          </cell>
          <cell r="B353" t="str">
            <v>Terrenos</v>
          </cell>
          <cell r="P353" t="str">
            <v>A0115</v>
          </cell>
          <cell r="S353">
            <v>0</v>
          </cell>
        </row>
        <row r="354">
          <cell r="A354">
            <v>27111</v>
          </cell>
          <cell r="B354" t="str">
            <v>Valor razonable</v>
          </cell>
          <cell r="P354" t="str">
            <v>A0115</v>
          </cell>
          <cell r="S354">
            <v>0</v>
          </cell>
        </row>
        <row r="355">
          <cell r="A355">
            <v>27112</v>
          </cell>
          <cell r="B355" t="str">
            <v>Costo</v>
          </cell>
          <cell r="P355" t="str">
            <v>A0115</v>
          </cell>
          <cell r="S355">
            <v>0</v>
          </cell>
        </row>
        <row r="356">
          <cell r="A356">
            <v>27113</v>
          </cell>
          <cell r="B356" t="str">
            <v>Revaluación</v>
          </cell>
          <cell r="P356" t="str">
            <v>A0115</v>
          </cell>
          <cell r="S356">
            <v>0</v>
          </cell>
        </row>
        <row r="357">
          <cell r="A357">
            <v>2712</v>
          </cell>
          <cell r="B357" t="str">
            <v>Edificaciones</v>
          </cell>
          <cell r="P357" t="str">
            <v>A0115</v>
          </cell>
          <cell r="S357">
            <v>0</v>
          </cell>
        </row>
        <row r="358">
          <cell r="A358">
            <v>27121</v>
          </cell>
          <cell r="B358" t="str">
            <v>Valor razonable</v>
          </cell>
          <cell r="P358" t="str">
            <v>A0115</v>
          </cell>
          <cell r="S358">
            <v>0</v>
          </cell>
        </row>
        <row r="359">
          <cell r="A359">
            <v>27122</v>
          </cell>
          <cell r="B359" t="str">
            <v>Costo</v>
          </cell>
          <cell r="P359" t="str">
            <v>A0115</v>
          </cell>
          <cell r="S359">
            <v>0</v>
          </cell>
        </row>
        <row r="360">
          <cell r="A360">
            <v>27123</v>
          </cell>
          <cell r="B360" t="str">
            <v>Revaluación</v>
          </cell>
          <cell r="P360" t="str">
            <v>A0115</v>
          </cell>
          <cell r="S360">
            <v>0</v>
          </cell>
        </row>
        <row r="361">
          <cell r="A361">
            <v>27124</v>
          </cell>
          <cell r="B361" t="str">
            <v>Costo de financiación</v>
          </cell>
          <cell r="P361" t="str">
            <v>A0115</v>
          </cell>
          <cell r="S361">
            <v>0</v>
          </cell>
        </row>
        <row r="362">
          <cell r="A362">
            <v>272</v>
          </cell>
          <cell r="B362" t="str">
            <v>Inmuebles, Maquinaria y Equipo</v>
          </cell>
          <cell r="P362" t="str">
            <v>A0115</v>
          </cell>
          <cell r="S362">
            <v>0</v>
          </cell>
        </row>
        <row r="363">
          <cell r="A363">
            <v>2721</v>
          </cell>
          <cell r="B363" t="str">
            <v>Terrenos</v>
          </cell>
          <cell r="P363" t="str">
            <v>A0115</v>
          </cell>
          <cell r="S363">
            <v>0</v>
          </cell>
        </row>
        <row r="364">
          <cell r="A364">
            <v>27211</v>
          </cell>
          <cell r="B364" t="str">
            <v>Valor razonable</v>
          </cell>
          <cell r="P364" t="str">
            <v>A0115</v>
          </cell>
          <cell r="S364">
            <v>0</v>
          </cell>
        </row>
        <row r="365">
          <cell r="A365">
            <v>27212</v>
          </cell>
          <cell r="B365" t="str">
            <v>Costo</v>
          </cell>
          <cell r="P365" t="str">
            <v>A0115</v>
          </cell>
          <cell r="S365">
            <v>0</v>
          </cell>
        </row>
        <row r="366">
          <cell r="A366">
            <v>27213</v>
          </cell>
          <cell r="B366" t="str">
            <v>Revaluación</v>
          </cell>
          <cell r="P366" t="str">
            <v>A0115</v>
          </cell>
          <cell r="S366">
            <v>0</v>
          </cell>
        </row>
        <row r="367">
          <cell r="A367">
            <v>2722</v>
          </cell>
          <cell r="B367" t="str">
            <v>Edificaciones</v>
          </cell>
          <cell r="P367" t="str">
            <v>A0115</v>
          </cell>
          <cell r="S367">
            <v>0</v>
          </cell>
        </row>
        <row r="368">
          <cell r="A368">
            <v>27221</v>
          </cell>
          <cell r="B368" t="str">
            <v>Costo de adquisición o construcción</v>
          </cell>
          <cell r="P368" t="str">
            <v>A0115</v>
          </cell>
          <cell r="S368">
            <v>0</v>
          </cell>
        </row>
        <row r="369">
          <cell r="A369">
            <v>27222</v>
          </cell>
          <cell r="B369" t="str">
            <v>Revaluación</v>
          </cell>
          <cell r="P369" t="str">
            <v>A0115</v>
          </cell>
          <cell r="S369">
            <v>0</v>
          </cell>
        </row>
        <row r="370">
          <cell r="A370">
            <v>27223</v>
          </cell>
          <cell r="B370" t="str">
            <v>Costo de financiación</v>
          </cell>
          <cell r="P370" t="str">
            <v>A0115</v>
          </cell>
          <cell r="S370">
            <v>0</v>
          </cell>
        </row>
        <row r="371">
          <cell r="A371">
            <v>2723</v>
          </cell>
          <cell r="B371" t="str">
            <v>Maquinarias y equipos de explotación</v>
          </cell>
          <cell r="P371" t="str">
            <v>A0115</v>
          </cell>
          <cell r="S371">
            <v>0</v>
          </cell>
        </row>
        <row r="372">
          <cell r="A372">
            <v>27231</v>
          </cell>
          <cell r="B372" t="str">
            <v>Costo de adquisición o construcción</v>
          </cell>
          <cell r="P372" t="str">
            <v>A0115</v>
          </cell>
          <cell r="S372">
            <v>0</v>
          </cell>
        </row>
        <row r="373">
          <cell r="A373">
            <v>27232</v>
          </cell>
          <cell r="B373" t="str">
            <v>Revaluación</v>
          </cell>
          <cell r="P373" t="str">
            <v>A0115</v>
          </cell>
          <cell r="S373">
            <v>0</v>
          </cell>
        </row>
        <row r="374">
          <cell r="A374">
            <v>27233</v>
          </cell>
          <cell r="B374" t="str">
            <v>Costo de financiación</v>
          </cell>
          <cell r="P374" t="str">
            <v>A0115</v>
          </cell>
          <cell r="S374">
            <v>0</v>
          </cell>
        </row>
        <row r="375">
          <cell r="A375">
            <v>2724</v>
          </cell>
          <cell r="B375" t="str">
            <v>Equipo de transporte</v>
          </cell>
          <cell r="P375" t="str">
            <v>A0115</v>
          </cell>
          <cell r="S375">
            <v>0</v>
          </cell>
        </row>
        <row r="376">
          <cell r="A376">
            <v>27241</v>
          </cell>
          <cell r="B376" t="str">
            <v>Costo</v>
          </cell>
          <cell r="P376" t="str">
            <v>A0115</v>
          </cell>
          <cell r="S376">
            <v>0</v>
          </cell>
        </row>
        <row r="377">
          <cell r="A377">
            <v>27242</v>
          </cell>
          <cell r="B377" t="str">
            <v>Revaluación</v>
          </cell>
          <cell r="P377" t="str">
            <v>A0115</v>
          </cell>
          <cell r="S377">
            <v>0</v>
          </cell>
        </row>
        <row r="378">
          <cell r="A378">
            <v>2725</v>
          </cell>
          <cell r="B378" t="str">
            <v>Muebles y enseres</v>
          </cell>
          <cell r="P378" t="str">
            <v>A0115</v>
          </cell>
          <cell r="S378">
            <v>0</v>
          </cell>
        </row>
        <row r="379">
          <cell r="A379">
            <v>27251</v>
          </cell>
          <cell r="B379" t="str">
            <v>Costo de muebles y enseres</v>
          </cell>
          <cell r="P379" t="str">
            <v>A0115</v>
          </cell>
          <cell r="S379">
            <v>0</v>
          </cell>
        </row>
        <row r="380">
          <cell r="A380">
            <v>27252</v>
          </cell>
          <cell r="B380" t="str">
            <v>Revaluación</v>
          </cell>
          <cell r="P380" t="str">
            <v>A0115</v>
          </cell>
          <cell r="S380">
            <v>0</v>
          </cell>
        </row>
        <row r="381">
          <cell r="A381">
            <v>2726</v>
          </cell>
          <cell r="B381" t="str">
            <v>Equipos diversos</v>
          </cell>
          <cell r="P381" t="str">
            <v>A0115</v>
          </cell>
          <cell r="S381">
            <v>0</v>
          </cell>
        </row>
        <row r="382">
          <cell r="A382">
            <v>27261</v>
          </cell>
          <cell r="B382" t="str">
            <v>Costo</v>
          </cell>
          <cell r="P382" t="str">
            <v>A0115</v>
          </cell>
          <cell r="S382">
            <v>0</v>
          </cell>
        </row>
        <row r="383">
          <cell r="A383">
            <v>27262</v>
          </cell>
          <cell r="B383" t="str">
            <v>Revaluación</v>
          </cell>
          <cell r="P383" t="str">
            <v>A0115</v>
          </cell>
          <cell r="S383">
            <v>0</v>
          </cell>
        </row>
        <row r="384">
          <cell r="A384">
            <v>2727</v>
          </cell>
          <cell r="B384" t="str">
            <v>Herramientas y unidades de reemplazo</v>
          </cell>
          <cell r="P384" t="str">
            <v>A0115</v>
          </cell>
          <cell r="S384">
            <v>0</v>
          </cell>
        </row>
        <row r="385">
          <cell r="A385">
            <v>27271</v>
          </cell>
          <cell r="B385" t="str">
            <v>Costo</v>
          </cell>
          <cell r="P385" t="str">
            <v>A0115</v>
          </cell>
          <cell r="S385">
            <v>0</v>
          </cell>
        </row>
        <row r="386">
          <cell r="A386">
            <v>27272</v>
          </cell>
          <cell r="B386" t="str">
            <v>Revaluación</v>
          </cell>
          <cell r="P386" t="str">
            <v>A0115</v>
          </cell>
          <cell r="S386">
            <v>0</v>
          </cell>
        </row>
        <row r="387">
          <cell r="A387">
            <v>273</v>
          </cell>
          <cell r="B387" t="str">
            <v>Intangibles</v>
          </cell>
          <cell r="P387" t="str">
            <v>A0115</v>
          </cell>
          <cell r="S387">
            <v>0</v>
          </cell>
        </row>
        <row r="388">
          <cell r="A388">
            <v>2731</v>
          </cell>
          <cell r="B388" t="str">
            <v>Concesiones, licencias y derechos</v>
          </cell>
          <cell r="P388" t="str">
            <v>A0115</v>
          </cell>
          <cell r="S388">
            <v>0</v>
          </cell>
        </row>
        <row r="389">
          <cell r="A389">
            <v>27311</v>
          </cell>
          <cell r="B389" t="str">
            <v>Costo</v>
          </cell>
          <cell r="P389" t="str">
            <v>A0115</v>
          </cell>
          <cell r="S389">
            <v>0</v>
          </cell>
        </row>
        <row r="390">
          <cell r="A390">
            <v>27312</v>
          </cell>
          <cell r="B390" t="str">
            <v>Revaluación</v>
          </cell>
          <cell r="P390" t="str">
            <v>A0115</v>
          </cell>
          <cell r="S390">
            <v>0</v>
          </cell>
        </row>
        <row r="391">
          <cell r="A391">
            <v>2732</v>
          </cell>
          <cell r="B391" t="str">
            <v>Patentes y propiedad industrial</v>
          </cell>
          <cell r="P391" t="str">
            <v>A0115</v>
          </cell>
          <cell r="S391">
            <v>0</v>
          </cell>
        </row>
        <row r="392">
          <cell r="A392">
            <v>27321</v>
          </cell>
          <cell r="B392" t="str">
            <v>Costo</v>
          </cell>
          <cell r="P392" t="str">
            <v>A0115</v>
          </cell>
          <cell r="S392">
            <v>0</v>
          </cell>
        </row>
        <row r="393">
          <cell r="A393">
            <v>27322</v>
          </cell>
          <cell r="B393" t="str">
            <v>Revaluación</v>
          </cell>
          <cell r="P393" t="str">
            <v>A0115</v>
          </cell>
          <cell r="S393">
            <v>0</v>
          </cell>
        </row>
        <row r="394">
          <cell r="A394">
            <v>2733</v>
          </cell>
          <cell r="B394" t="str">
            <v>Programas de computadora (software)</v>
          </cell>
          <cell r="P394" t="str">
            <v>A0115</v>
          </cell>
          <cell r="S394">
            <v>0</v>
          </cell>
        </row>
        <row r="395">
          <cell r="A395">
            <v>27331</v>
          </cell>
          <cell r="B395" t="str">
            <v>Costo</v>
          </cell>
          <cell r="P395" t="str">
            <v>A0115</v>
          </cell>
          <cell r="S395">
            <v>0</v>
          </cell>
        </row>
        <row r="396">
          <cell r="A396">
            <v>27332</v>
          </cell>
          <cell r="B396" t="str">
            <v>Revaluación</v>
          </cell>
          <cell r="P396" t="str">
            <v>A0115</v>
          </cell>
          <cell r="S396">
            <v>0</v>
          </cell>
        </row>
        <row r="397">
          <cell r="A397">
            <v>2734</v>
          </cell>
          <cell r="B397" t="str">
            <v>Costo de exploración y desarrollo</v>
          </cell>
          <cell r="P397" t="str">
            <v>A0115</v>
          </cell>
          <cell r="S397">
            <v>0</v>
          </cell>
        </row>
        <row r="398">
          <cell r="A398">
            <v>27341</v>
          </cell>
          <cell r="B398" t="str">
            <v>Costo</v>
          </cell>
          <cell r="P398" t="str">
            <v>A0115</v>
          </cell>
          <cell r="S398">
            <v>0</v>
          </cell>
        </row>
        <row r="399">
          <cell r="A399">
            <v>27342</v>
          </cell>
          <cell r="B399" t="str">
            <v>Revaluación</v>
          </cell>
          <cell r="P399" t="str">
            <v>A0115</v>
          </cell>
          <cell r="S399">
            <v>0</v>
          </cell>
        </row>
        <row r="400">
          <cell r="A400">
            <v>2735</v>
          </cell>
          <cell r="B400" t="str">
            <v>Fórmulas, diseños y prototipos</v>
          </cell>
          <cell r="P400" t="str">
            <v>A0115</v>
          </cell>
          <cell r="S400">
            <v>0</v>
          </cell>
        </row>
        <row r="401">
          <cell r="A401">
            <v>27351</v>
          </cell>
          <cell r="B401" t="str">
            <v>Costo</v>
          </cell>
          <cell r="P401" t="str">
            <v>A0115</v>
          </cell>
          <cell r="S401">
            <v>0</v>
          </cell>
        </row>
        <row r="402">
          <cell r="A402">
            <v>27352</v>
          </cell>
          <cell r="B402" t="str">
            <v>Revaluación</v>
          </cell>
          <cell r="P402" t="str">
            <v>A0115</v>
          </cell>
          <cell r="S402">
            <v>0</v>
          </cell>
        </row>
        <row r="403">
          <cell r="A403">
            <v>2736</v>
          </cell>
          <cell r="B403" t="str">
            <v>Reservas de recursos extraíbles</v>
          </cell>
          <cell r="P403" t="str">
            <v>A0115</v>
          </cell>
          <cell r="S403">
            <v>0</v>
          </cell>
        </row>
        <row r="404">
          <cell r="A404">
            <v>27361</v>
          </cell>
          <cell r="B404" t="str">
            <v>Costo</v>
          </cell>
          <cell r="P404" t="str">
            <v>A0115</v>
          </cell>
          <cell r="S404">
            <v>0</v>
          </cell>
        </row>
        <row r="405">
          <cell r="A405">
            <v>2739</v>
          </cell>
          <cell r="B405" t="str">
            <v>Otros activos intangibles</v>
          </cell>
          <cell r="P405" t="str">
            <v>A0115</v>
          </cell>
          <cell r="S405">
            <v>0</v>
          </cell>
        </row>
        <row r="406">
          <cell r="A406">
            <v>27391</v>
          </cell>
          <cell r="B406" t="str">
            <v>Costo</v>
          </cell>
          <cell r="P406" t="str">
            <v>A0115</v>
          </cell>
          <cell r="S406">
            <v>0</v>
          </cell>
        </row>
        <row r="407">
          <cell r="A407">
            <v>274</v>
          </cell>
          <cell r="B407" t="str">
            <v>Activos Biológicos</v>
          </cell>
          <cell r="P407" t="str">
            <v>A0115</v>
          </cell>
          <cell r="S407">
            <v>0</v>
          </cell>
        </row>
        <row r="408">
          <cell r="A408">
            <v>2741</v>
          </cell>
          <cell r="B408" t="str">
            <v>Activos biológicos en producción</v>
          </cell>
          <cell r="P408" t="str">
            <v>A0115</v>
          </cell>
          <cell r="S408">
            <v>0</v>
          </cell>
        </row>
        <row r="409">
          <cell r="A409">
            <v>27411</v>
          </cell>
          <cell r="B409" t="str">
            <v>Valor razonable</v>
          </cell>
          <cell r="P409" t="str">
            <v>A0115</v>
          </cell>
          <cell r="S409">
            <v>0</v>
          </cell>
        </row>
        <row r="410">
          <cell r="A410">
            <v>27412</v>
          </cell>
          <cell r="B410" t="str">
            <v>Costo</v>
          </cell>
          <cell r="P410" t="str">
            <v>A0115</v>
          </cell>
          <cell r="S410">
            <v>0</v>
          </cell>
        </row>
        <row r="411">
          <cell r="A411">
            <v>27413</v>
          </cell>
          <cell r="B411" t="str">
            <v>Costo de financiación</v>
          </cell>
          <cell r="P411" t="str">
            <v>A0115</v>
          </cell>
          <cell r="S411">
            <v>0</v>
          </cell>
        </row>
        <row r="412">
          <cell r="A412">
            <v>2742</v>
          </cell>
          <cell r="B412" t="str">
            <v>Activos biológicos en desarrollo</v>
          </cell>
          <cell r="P412" t="str">
            <v>A0115</v>
          </cell>
          <cell r="S412">
            <v>0</v>
          </cell>
        </row>
        <row r="413">
          <cell r="A413">
            <v>27421</v>
          </cell>
          <cell r="B413" t="str">
            <v>Valor razonable</v>
          </cell>
          <cell r="P413" t="str">
            <v>A0115</v>
          </cell>
          <cell r="S413">
            <v>0</v>
          </cell>
        </row>
        <row r="414">
          <cell r="A414">
            <v>27422</v>
          </cell>
          <cell r="B414" t="str">
            <v>Costo</v>
          </cell>
          <cell r="P414" t="str">
            <v>A0115</v>
          </cell>
          <cell r="S414">
            <v>0</v>
          </cell>
        </row>
        <row r="415">
          <cell r="A415">
            <v>27423</v>
          </cell>
          <cell r="B415" t="str">
            <v>Costo de financiación</v>
          </cell>
          <cell r="P415" t="str">
            <v>A0115</v>
          </cell>
          <cell r="S415">
            <v>0</v>
          </cell>
        </row>
        <row r="416">
          <cell r="A416">
            <v>275</v>
          </cell>
          <cell r="B416" t="str">
            <v>Depreciaion Acumulada - Inversión Inmobiliaria</v>
          </cell>
          <cell r="P416" t="str">
            <v>A0115</v>
          </cell>
          <cell r="S416">
            <v>0</v>
          </cell>
        </row>
        <row r="417">
          <cell r="A417">
            <v>2752</v>
          </cell>
          <cell r="B417" t="str">
            <v>Edificaciones</v>
          </cell>
          <cell r="P417" t="str">
            <v>A0115</v>
          </cell>
          <cell r="S417">
            <v>0</v>
          </cell>
        </row>
        <row r="418">
          <cell r="A418">
            <v>27521</v>
          </cell>
          <cell r="B418" t="str">
            <v>Valor razonable</v>
          </cell>
          <cell r="P418" t="str">
            <v>A0115</v>
          </cell>
          <cell r="S418">
            <v>0</v>
          </cell>
        </row>
        <row r="419">
          <cell r="A419">
            <v>27522</v>
          </cell>
          <cell r="B419" t="str">
            <v>Costo</v>
          </cell>
          <cell r="P419" t="str">
            <v>A0115</v>
          </cell>
          <cell r="S419">
            <v>0</v>
          </cell>
        </row>
        <row r="420">
          <cell r="A420">
            <v>27523</v>
          </cell>
          <cell r="B420" t="str">
            <v>Revaluación</v>
          </cell>
          <cell r="P420" t="str">
            <v>A0115</v>
          </cell>
          <cell r="S420">
            <v>0</v>
          </cell>
        </row>
        <row r="421">
          <cell r="A421">
            <v>276</v>
          </cell>
          <cell r="B421" t="str">
            <v>Depreciaion Acumulada - Inmueble  Maquinaria y Equipo</v>
          </cell>
          <cell r="P421" t="str">
            <v>A0115</v>
          </cell>
          <cell r="S421">
            <v>0</v>
          </cell>
        </row>
        <row r="422">
          <cell r="A422">
            <v>2762</v>
          </cell>
          <cell r="B422" t="str">
            <v>Edificaciones</v>
          </cell>
          <cell r="P422" t="str">
            <v>A0115</v>
          </cell>
          <cell r="S422">
            <v>0</v>
          </cell>
        </row>
        <row r="423">
          <cell r="A423">
            <v>27621</v>
          </cell>
          <cell r="B423" t="str">
            <v>Costo de adquisición o construcción</v>
          </cell>
          <cell r="P423" t="str">
            <v>A0115</v>
          </cell>
          <cell r="S423">
            <v>0</v>
          </cell>
        </row>
        <row r="424">
          <cell r="A424">
            <v>27622</v>
          </cell>
          <cell r="B424" t="str">
            <v>Revaluación</v>
          </cell>
          <cell r="P424" t="str">
            <v>A0115</v>
          </cell>
          <cell r="S424">
            <v>0</v>
          </cell>
        </row>
        <row r="425">
          <cell r="A425">
            <v>27623</v>
          </cell>
          <cell r="B425" t="str">
            <v>Costo de financiación</v>
          </cell>
          <cell r="P425" t="str">
            <v>A0115</v>
          </cell>
          <cell r="S425">
            <v>0</v>
          </cell>
        </row>
        <row r="426">
          <cell r="A426">
            <v>2763</v>
          </cell>
          <cell r="B426" t="str">
            <v>Maquinarias y equipos de explotación</v>
          </cell>
          <cell r="P426" t="str">
            <v>A0115</v>
          </cell>
          <cell r="S426">
            <v>0</v>
          </cell>
        </row>
        <row r="427">
          <cell r="A427">
            <v>27631</v>
          </cell>
          <cell r="B427" t="str">
            <v>Costo de adquisición o construcción</v>
          </cell>
          <cell r="P427" t="str">
            <v>A0115</v>
          </cell>
          <cell r="S427">
            <v>0</v>
          </cell>
        </row>
        <row r="428">
          <cell r="A428">
            <v>27632</v>
          </cell>
          <cell r="B428" t="str">
            <v>Revaluación</v>
          </cell>
          <cell r="P428" t="str">
            <v>A0115</v>
          </cell>
          <cell r="S428">
            <v>0</v>
          </cell>
        </row>
        <row r="429">
          <cell r="A429">
            <v>27633</v>
          </cell>
          <cell r="B429" t="str">
            <v>Costo de financiación</v>
          </cell>
          <cell r="P429" t="str">
            <v>A0115</v>
          </cell>
          <cell r="S429">
            <v>0</v>
          </cell>
        </row>
        <row r="430">
          <cell r="A430">
            <v>2764</v>
          </cell>
          <cell r="B430" t="str">
            <v>Equipos de transporte</v>
          </cell>
          <cell r="P430" t="str">
            <v>A0115</v>
          </cell>
          <cell r="S430">
            <v>0</v>
          </cell>
        </row>
        <row r="431">
          <cell r="A431">
            <v>27641</v>
          </cell>
          <cell r="B431" t="str">
            <v>Costo</v>
          </cell>
          <cell r="P431" t="str">
            <v>A0115</v>
          </cell>
          <cell r="S431">
            <v>0</v>
          </cell>
        </row>
        <row r="432">
          <cell r="A432">
            <v>27642</v>
          </cell>
          <cell r="B432" t="str">
            <v>Revaluación</v>
          </cell>
          <cell r="P432" t="str">
            <v>A0115</v>
          </cell>
          <cell r="S432">
            <v>0</v>
          </cell>
        </row>
        <row r="433">
          <cell r="A433">
            <v>2765</v>
          </cell>
          <cell r="B433" t="str">
            <v>Muebles y enseres</v>
          </cell>
          <cell r="P433" t="str">
            <v>A0115</v>
          </cell>
          <cell r="S433">
            <v>0</v>
          </cell>
        </row>
        <row r="434">
          <cell r="A434">
            <v>27651</v>
          </cell>
          <cell r="B434" t="str">
            <v>Costo</v>
          </cell>
          <cell r="P434" t="str">
            <v>A0115</v>
          </cell>
          <cell r="S434">
            <v>0</v>
          </cell>
        </row>
        <row r="435">
          <cell r="A435">
            <v>27652</v>
          </cell>
          <cell r="B435" t="str">
            <v>Revaluación</v>
          </cell>
          <cell r="P435" t="str">
            <v>A0115</v>
          </cell>
          <cell r="S435">
            <v>0</v>
          </cell>
        </row>
        <row r="436">
          <cell r="A436">
            <v>2766</v>
          </cell>
          <cell r="B436" t="str">
            <v>Equipos diversos</v>
          </cell>
          <cell r="P436" t="str">
            <v>A0115</v>
          </cell>
          <cell r="S436">
            <v>0</v>
          </cell>
        </row>
        <row r="437">
          <cell r="A437">
            <v>27661</v>
          </cell>
          <cell r="B437" t="str">
            <v>Costo</v>
          </cell>
          <cell r="P437" t="str">
            <v>A0115</v>
          </cell>
          <cell r="S437">
            <v>0</v>
          </cell>
        </row>
        <row r="438">
          <cell r="A438">
            <v>27662</v>
          </cell>
          <cell r="B438" t="str">
            <v>Revaluación</v>
          </cell>
          <cell r="P438" t="str">
            <v>A0115</v>
          </cell>
          <cell r="S438">
            <v>0</v>
          </cell>
        </row>
        <row r="439">
          <cell r="A439">
            <v>2767</v>
          </cell>
          <cell r="B439" t="str">
            <v>Herramientas y unidades de reemplazo</v>
          </cell>
          <cell r="P439" t="str">
            <v>A0115</v>
          </cell>
          <cell r="S439">
            <v>0</v>
          </cell>
        </row>
        <row r="440">
          <cell r="A440">
            <v>27671</v>
          </cell>
          <cell r="B440" t="str">
            <v>Costo</v>
          </cell>
          <cell r="P440" t="str">
            <v>A0115</v>
          </cell>
          <cell r="S440">
            <v>0</v>
          </cell>
        </row>
        <row r="441">
          <cell r="A441">
            <v>27672</v>
          </cell>
          <cell r="B441" t="str">
            <v>Revaluación</v>
          </cell>
          <cell r="P441" t="str">
            <v>A0115</v>
          </cell>
          <cell r="S441">
            <v>0</v>
          </cell>
        </row>
        <row r="442">
          <cell r="A442">
            <v>277</v>
          </cell>
          <cell r="B442" t="str">
            <v>Amortizacion Acumulada - Intangibles</v>
          </cell>
          <cell r="P442" t="str">
            <v>A0115</v>
          </cell>
          <cell r="S442">
            <v>0</v>
          </cell>
        </row>
        <row r="443">
          <cell r="A443">
            <v>2771</v>
          </cell>
          <cell r="B443" t="str">
            <v>Concesiones, licencias y derechos</v>
          </cell>
          <cell r="P443" t="str">
            <v>A0115</v>
          </cell>
          <cell r="S443">
            <v>0</v>
          </cell>
        </row>
        <row r="444">
          <cell r="A444">
            <v>27711</v>
          </cell>
          <cell r="B444" t="str">
            <v>Costo</v>
          </cell>
          <cell r="P444" t="str">
            <v>A0115</v>
          </cell>
          <cell r="S444">
            <v>0</v>
          </cell>
        </row>
        <row r="445">
          <cell r="A445">
            <v>27712</v>
          </cell>
          <cell r="B445" t="str">
            <v>Revaluación</v>
          </cell>
          <cell r="P445" t="str">
            <v>A0115</v>
          </cell>
          <cell r="S445">
            <v>0</v>
          </cell>
        </row>
        <row r="446">
          <cell r="A446">
            <v>2772</v>
          </cell>
          <cell r="B446" t="str">
            <v>Patentes y propiedad industrial</v>
          </cell>
          <cell r="P446" t="str">
            <v>A0115</v>
          </cell>
          <cell r="S446">
            <v>0</v>
          </cell>
        </row>
        <row r="447">
          <cell r="A447">
            <v>27721</v>
          </cell>
          <cell r="B447" t="str">
            <v>Costo</v>
          </cell>
          <cell r="P447" t="str">
            <v>A0115</v>
          </cell>
          <cell r="S447">
            <v>0</v>
          </cell>
        </row>
        <row r="448">
          <cell r="A448">
            <v>27722</v>
          </cell>
          <cell r="B448" t="str">
            <v>Revaluación</v>
          </cell>
          <cell r="P448" t="str">
            <v>A0115</v>
          </cell>
          <cell r="S448">
            <v>0</v>
          </cell>
        </row>
        <row r="449">
          <cell r="A449">
            <v>2773</v>
          </cell>
          <cell r="B449" t="str">
            <v>Programas de computadora (software)</v>
          </cell>
          <cell r="P449" t="str">
            <v>A0115</v>
          </cell>
          <cell r="S449">
            <v>0</v>
          </cell>
        </row>
        <row r="450">
          <cell r="A450">
            <v>2774</v>
          </cell>
          <cell r="B450" t="str">
            <v>Costos de exploracion y desarrollo</v>
          </cell>
          <cell r="P450" t="str">
            <v>A0115</v>
          </cell>
          <cell r="S450">
            <v>0</v>
          </cell>
        </row>
        <row r="451">
          <cell r="A451">
            <v>27741</v>
          </cell>
          <cell r="B451" t="str">
            <v>Costo</v>
          </cell>
          <cell r="P451" t="str">
            <v>A0115</v>
          </cell>
          <cell r="S451">
            <v>0</v>
          </cell>
        </row>
        <row r="452">
          <cell r="A452">
            <v>27742</v>
          </cell>
          <cell r="B452" t="str">
            <v>Revaluación</v>
          </cell>
          <cell r="P452" t="str">
            <v>A0115</v>
          </cell>
          <cell r="S452">
            <v>0</v>
          </cell>
        </row>
        <row r="453">
          <cell r="A453">
            <v>2775</v>
          </cell>
          <cell r="B453" t="str">
            <v>Fórmulas, diseños y prototipos</v>
          </cell>
          <cell r="P453" t="str">
            <v>A0115</v>
          </cell>
          <cell r="S453">
            <v>0</v>
          </cell>
        </row>
        <row r="454">
          <cell r="A454">
            <v>27751</v>
          </cell>
          <cell r="B454" t="str">
            <v>Costo</v>
          </cell>
          <cell r="P454" t="str">
            <v>A0115</v>
          </cell>
          <cell r="S454">
            <v>0</v>
          </cell>
        </row>
        <row r="455">
          <cell r="A455">
            <v>27752</v>
          </cell>
          <cell r="B455" t="str">
            <v>Revaluación</v>
          </cell>
          <cell r="P455" t="str">
            <v>A0115</v>
          </cell>
          <cell r="S455">
            <v>0</v>
          </cell>
        </row>
        <row r="456">
          <cell r="A456">
            <v>2776</v>
          </cell>
          <cell r="B456" t="str">
            <v>Reservas de recursos extraibles</v>
          </cell>
          <cell r="P456" t="str">
            <v>A0115</v>
          </cell>
          <cell r="S456">
            <v>0</v>
          </cell>
        </row>
        <row r="457">
          <cell r="A457">
            <v>27761</v>
          </cell>
          <cell r="B457" t="str">
            <v>Costo</v>
          </cell>
          <cell r="P457" t="str">
            <v>A0115</v>
          </cell>
          <cell r="S457">
            <v>0</v>
          </cell>
        </row>
        <row r="458">
          <cell r="A458">
            <v>2779</v>
          </cell>
          <cell r="B458" t="str">
            <v>Otros activos</v>
          </cell>
          <cell r="P458" t="str">
            <v>A0115</v>
          </cell>
          <cell r="S458">
            <v>0</v>
          </cell>
        </row>
        <row r="459">
          <cell r="A459">
            <v>27791</v>
          </cell>
          <cell r="B459" t="str">
            <v>Costo</v>
          </cell>
          <cell r="P459" t="str">
            <v>A0115</v>
          </cell>
          <cell r="S459">
            <v>0</v>
          </cell>
        </row>
        <row r="460">
          <cell r="A460">
            <v>27792</v>
          </cell>
          <cell r="B460" t="str">
            <v>Revaluación</v>
          </cell>
          <cell r="P460" t="str">
            <v>A0115</v>
          </cell>
          <cell r="S460">
            <v>0</v>
          </cell>
        </row>
        <row r="461">
          <cell r="A461">
            <v>278</v>
          </cell>
          <cell r="B461" t="str">
            <v>Depreciacion Acumulada - Activos Biológicos</v>
          </cell>
          <cell r="P461" t="str">
            <v>A0115</v>
          </cell>
          <cell r="S461">
            <v>0</v>
          </cell>
        </row>
        <row r="462">
          <cell r="A462">
            <v>2781</v>
          </cell>
          <cell r="B462" t="str">
            <v>Activos biológicos en producción</v>
          </cell>
          <cell r="P462" t="str">
            <v>A0115</v>
          </cell>
          <cell r="S462">
            <v>0</v>
          </cell>
        </row>
        <row r="463">
          <cell r="A463">
            <v>27812</v>
          </cell>
          <cell r="B463" t="str">
            <v>Costo</v>
          </cell>
          <cell r="P463" t="str">
            <v>A0115</v>
          </cell>
          <cell r="S463">
            <v>0</v>
          </cell>
        </row>
        <row r="464">
          <cell r="A464">
            <v>2782</v>
          </cell>
          <cell r="B464" t="str">
            <v>Activos biológicos en desarrollo</v>
          </cell>
          <cell r="P464" t="str">
            <v>A0115</v>
          </cell>
          <cell r="S464">
            <v>0</v>
          </cell>
        </row>
        <row r="465">
          <cell r="A465">
            <v>27822</v>
          </cell>
          <cell r="B465" t="str">
            <v>Costo</v>
          </cell>
          <cell r="P465" t="str">
            <v>A0115</v>
          </cell>
          <cell r="S465">
            <v>0</v>
          </cell>
        </row>
        <row r="466">
          <cell r="A466">
            <v>279</v>
          </cell>
          <cell r="B466" t="str">
            <v>Desvalorización Acumulada</v>
          </cell>
          <cell r="P466" t="str">
            <v>A0115</v>
          </cell>
          <cell r="S466">
            <v>0</v>
          </cell>
        </row>
        <row r="467">
          <cell r="A467">
            <v>2791</v>
          </cell>
          <cell r="B467" t="str">
            <v>Inversión inmobiliaria</v>
          </cell>
          <cell r="P467" t="str">
            <v>A0115</v>
          </cell>
          <cell r="S467">
            <v>0</v>
          </cell>
        </row>
        <row r="468">
          <cell r="A468">
            <v>27911</v>
          </cell>
          <cell r="B468" t="str">
            <v>Terrenos</v>
          </cell>
          <cell r="P468" t="str">
            <v>A0115</v>
          </cell>
          <cell r="S468">
            <v>0</v>
          </cell>
        </row>
        <row r="469">
          <cell r="A469">
            <v>27912</v>
          </cell>
          <cell r="B469" t="str">
            <v>Edificaciones</v>
          </cell>
          <cell r="P469" t="str">
            <v>A0115</v>
          </cell>
          <cell r="S469">
            <v>0</v>
          </cell>
        </row>
        <row r="470">
          <cell r="A470">
            <v>2793</v>
          </cell>
          <cell r="B470" t="str">
            <v>Inmuebles, maquinaria y equipo</v>
          </cell>
          <cell r="P470" t="str">
            <v>A0115</v>
          </cell>
          <cell r="S470">
            <v>0</v>
          </cell>
        </row>
        <row r="471">
          <cell r="A471">
            <v>27931</v>
          </cell>
          <cell r="B471" t="str">
            <v>Terrenos</v>
          </cell>
          <cell r="P471" t="str">
            <v>A0115</v>
          </cell>
          <cell r="S471">
            <v>0</v>
          </cell>
        </row>
        <row r="472">
          <cell r="A472">
            <v>27932</v>
          </cell>
          <cell r="B472" t="str">
            <v>Edificaciones</v>
          </cell>
          <cell r="P472" t="str">
            <v>A0115</v>
          </cell>
          <cell r="S472">
            <v>0</v>
          </cell>
        </row>
        <row r="473">
          <cell r="A473">
            <v>27933</v>
          </cell>
          <cell r="B473" t="str">
            <v>Maquinarias y equipos de explotación</v>
          </cell>
          <cell r="P473" t="str">
            <v>A0115</v>
          </cell>
          <cell r="S473">
            <v>0</v>
          </cell>
        </row>
        <row r="474">
          <cell r="A474">
            <v>27934</v>
          </cell>
          <cell r="B474" t="str">
            <v>Equipos de transporte</v>
          </cell>
          <cell r="P474" t="str">
            <v>A0115</v>
          </cell>
          <cell r="S474">
            <v>0</v>
          </cell>
        </row>
        <row r="475">
          <cell r="A475">
            <v>27935</v>
          </cell>
          <cell r="B475" t="str">
            <v>Muebles y enseres</v>
          </cell>
          <cell r="P475" t="str">
            <v>A0115</v>
          </cell>
          <cell r="S475">
            <v>0</v>
          </cell>
        </row>
        <row r="476">
          <cell r="A476">
            <v>27936</v>
          </cell>
          <cell r="B476" t="str">
            <v>Equipos diversos</v>
          </cell>
          <cell r="P476" t="str">
            <v>A0115</v>
          </cell>
          <cell r="S476">
            <v>0</v>
          </cell>
        </row>
        <row r="477">
          <cell r="A477">
            <v>27937</v>
          </cell>
          <cell r="B477" t="str">
            <v>Herramientas y unidades de reemplazo</v>
          </cell>
          <cell r="P477" t="str">
            <v>A0115</v>
          </cell>
          <cell r="S477">
            <v>0</v>
          </cell>
        </row>
        <row r="478">
          <cell r="A478">
            <v>2794</v>
          </cell>
          <cell r="B478" t="str">
            <v>Intangibles</v>
          </cell>
          <cell r="P478" t="str">
            <v>A0115</v>
          </cell>
          <cell r="S478">
            <v>0</v>
          </cell>
        </row>
        <row r="479">
          <cell r="A479">
            <v>27941</v>
          </cell>
          <cell r="B479" t="str">
            <v>Concesiones, licencias y derechos</v>
          </cell>
          <cell r="P479" t="str">
            <v>A0115</v>
          </cell>
          <cell r="S479">
            <v>0</v>
          </cell>
        </row>
        <row r="480">
          <cell r="A480">
            <v>27942</v>
          </cell>
          <cell r="B480" t="str">
            <v>Patentes y propiedad industrial</v>
          </cell>
          <cell r="P480" t="str">
            <v>A0115</v>
          </cell>
          <cell r="S480">
            <v>0</v>
          </cell>
        </row>
        <row r="481">
          <cell r="A481">
            <v>27943</v>
          </cell>
          <cell r="B481" t="str">
            <v>Programas de computadora (software)</v>
          </cell>
          <cell r="P481" t="str">
            <v>A0115</v>
          </cell>
          <cell r="S481">
            <v>0</v>
          </cell>
        </row>
        <row r="482">
          <cell r="A482">
            <v>27944</v>
          </cell>
          <cell r="B482" t="str">
            <v>Costos de exploración y desarrollo</v>
          </cell>
          <cell r="P482" t="str">
            <v>A0115</v>
          </cell>
          <cell r="S482">
            <v>0</v>
          </cell>
        </row>
        <row r="483">
          <cell r="A483">
            <v>27945</v>
          </cell>
          <cell r="B483" t="str">
            <v>Fórmulas, diseños y prototipos</v>
          </cell>
          <cell r="P483" t="str">
            <v>A0115</v>
          </cell>
          <cell r="S483">
            <v>0</v>
          </cell>
        </row>
        <row r="484">
          <cell r="A484">
            <v>27946</v>
          </cell>
          <cell r="B484" t="str">
            <v>Reservas de recursos extraíbles</v>
          </cell>
          <cell r="P484" t="str">
            <v>A0115</v>
          </cell>
          <cell r="S484">
            <v>0</v>
          </cell>
        </row>
        <row r="485">
          <cell r="A485">
            <v>2795</v>
          </cell>
          <cell r="B485" t="str">
            <v>Activos biológicos</v>
          </cell>
          <cell r="P485" t="str">
            <v>A0115</v>
          </cell>
          <cell r="S485">
            <v>0</v>
          </cell>
        </row>
        <row r="486">
          <cell r="A486">
            <v>27951</v>
          </cell>
          <cell r="B486" t="str">
            <v>Activos biológicos en producción</v>
          </cell>
          <cell r="P486" t="str">
            <v>A0115</v>
          </cell>
          <cell r="S486">
            <v>0</v>
          </cell>
        </row>
        <row r="487">
          <cell r="A487">
            <v>27952</v>
          </cell>
          <cell r="B487" t="str">
            <v>Activos biológicos es desarrollo</v>
          </cell>
          <cell r="P487" t="str">
            <v>A0115</v>
          </cell>
          <cell r="S487">
            <v>0</v>
          </cell>
        </row>
        <row r="488">
          <cell r="A488">
            <v>28</v>
          </cell>
          <cell r="B488" t="str">
            <v>EXISTENCIAS POR RECIBIR</v>
          </cell>
          <cell r="P488" t="str">
            <v>A0106</v>
          </cell>
          <cell r="S488">
            <v>0</v>
          </cell>
        </row>
        <row r="489">
          <cell r="A489">
            <v>281</v>
          </cell>
          <cell r="B489" t="str">
            <v>Mercaderías</v>
          </cell>
          <cell r="P489" t="str">
            <v>A0106</v>
          </cell>
          <cell r="S489">
            <v>0</v>
          </cell>
        </row>
        <row r="490">
          <cell r="A490">
            <v>284</v>
          </cell>
          <cell r="B490" t="str">
            <v>Materias Primas</v>
          </cell>
          <cell r="P490" t="str">
            <v>A0106</v>
          </cell>
          <cell r="S490">
            <v>0</v>
          </cell>
        </row>
        <row r="491">
          <cell r="A491">
            <v>285</v>
          </cell>
          <cell r="B491" t="str">
            <v>Materiales Auxiliares, Suministros y Repuestos</v>
          </cell>
          <cell r="P491" t="str">
            <v>A0106</v>
          </cell>
          <cell r="S491">
            <v>0</v>
          </cell>
        </row>
        <row r="492">
          <cell r="A492">
            <v>286</v>
          </cell>
          <cell r="B492" t="str">
            <v>Envases y Embalajes</v>
          </cell>
          <cell r="P492" t="str">
            <v>A0106</v>
          </cell>
          <cell r="S492">
            <v>0</v>
          </cell>
        </row>
        <row r="493">
          <cell r="A493">
            <v>29</v>
          </cell>
          <cell r="B493" t="str">
            <v>DESVALORIZACIÓN DE EXISTENCIAS</v>
          </cell>
          <cell r="P493" t="str">
            <v>A0106</v>
          </cell>
          <cell r="S493">
            <v>0</v>
          </cell>
        </row>
        <row r="494">
          <cell r="A494">
            <v>291</v>
          </cell>
          <cell r="B494" t="str">
            <v>Mercaderías</v>
          </cell>
          <cell r="P494" t="str">
            <v>A0106</v>
          </cell>
          <cell r="S494">
            <v>0</v>
          </cell>
        </row>
        <row r="495">
          <cell r="A495">
            <v>2911</v>
          </cell>
          <cell r="B495" t="str">
            <v>Mercaderías manufacturadas</v>
          </cell>
          <cell r="P495" t="str">
            <v>A0106</v>
          </cell>
          <cell r="S495">
            <v>0</v>
          </cell>
        </row>
        <row r="496">
          <cell r="A496">
            <v>2912</v>
          </cell>
          <cell r="B496" t="str">
            <v>Mercaderías de extracción</v>
          </cell>
          <cell r="P496" t="str">
            <v>A0106</v>
          </cell>
          <cell r="S496">
            <v>0</v>
          </cell>
        </row>
        <row r="497">
          <cell r="A497">
            <v>2913</v>
          </cell>
          <cell r="B497" t="str">
            <v>Mercaderías agropecuarias y piscícolas</v>
          </cell>
          <cell r="P497" t="str">
            <v>A0106</v>
          </cell>
          <cell r="S497">
            <v>0</v>
          </cell>
        </row>
        <row r="498">
          <cell r="A498">
            <v>2914</v>
          </cell>
          <cell r="B498" t="str">
            <v>Mercaderías inmuebles</v>
          </cell>
          <cell r="P498" t="str">
            <v>A0106</v>
          </cell>
          <cell r="S498">
            <v>0</v>
          </cell>
        </row>
        <row r="499">
          <cell r="A499">
            <v>2918</v>
          </cell>
          <cell r="B499" t="str">
            <v>Otras mercaderías</v>
          </cell>
          <cell r="P499" t="str">
            <v>A0106</v>
          </cell>
          <cell r="S499">
            <v>0</v>
          </cell>
        </row>
        <row r="500">
          <cell r="A500">
            <v>292</v>
          </cell>
          <cell r="B500" t="str">
            <v>Productos Terminados</v>
          </cell>
          <cell r="P500" t="str">
            <v>A0106</v>
          </cell>
          <cell r="S500">
            <v>0</v>
          </cell>
        </row>
        <row r="501">
          <cell r="A501">
            <v>2921</v>
          </cell>
          <cell r="B501" t="str">
            <v>Productos manufacturados</v>
          </cell>
          <cell r="P501" t="str">
            <v>A0106</v>
          </cell>
          <cell r="S501">
            <v>0</v>
          </cell>
        </row>
        <row r="502">
          <cell r="A502">
            <v>2922</v>
          </cell>
          <cell r="B502" t="str">
            <v>Productos de extracción terminados</v>
          </cell>
          <cell r="P502" t="str">
            <v>A0106</v>
          </cell>
          <cell r="S502">
            <v>0</v>
          </cell>
        </row>
        <row r="503">
          <cell r="A503">
            <v>2923</v>
          </cell>
          <cell r="B503" t="str">
            <v>Productos agropecuarios y piscícolas terminados</v>
          </cell>
          <cell r="P503" t="str">
            <v>A0106</v>
          </cell>
          <cell r="S503">
            <v>0</v>
          </cell>
        </row>
        <row r="504">
          <cell r="A504">
            <v>2924</v>
          </cell>
          <cell r="B504" t="str">
            <v>Productos inmuebles</v>
          </cell>
          <cell r="P504" t="str">
            <v>A0106</v>
          </cell>
          <cell r="S504">
            <v>0</v>
          </cell>
        </row>
        <row r="505">
          <cell r="A505">
            <v>2925</v>
          </cell>
          <cell r="B505" t="str">
            <v>Existencias de servicios terminados</v>
          </cell>
          <cell r="P505" t="str">
            <v>A0106</v>
          </cell>
          <cell r="S505">
            <v>0</v>
          </cell>
        </row>
        <row r="506">
          <cell r="A506">
            <v>2927</v>
          </cell>
          <cell r="B506" t="str">
            <v>Otros productos terminados</v>
          </cell>
          <cell r="P506" t="str">
            <v>A0106</v>
          </cell>
          <cell r="S506">
            <v>0</v>
          </cell>
        </row>
        <row r="507">
          <cell r="A507">
            <v>2928</v>
          </cell>
          <cell r="B507" t="str">
            <v>Costos de financiación – productos terminados</v>
          </cell>
          <cell r="P507" t="str">
            <v>A0106</v>
          </cell>
          <cell r="S507">
            <v>0</v>
          </cell>
        </row>
        <row r="508">
          <cell r="A508">
            <v>293</v>
          </cell>
          <cell r="B508" t="str">
            <v>Subproductos, Desechos y Desperdicios</v>
          </cell>
          <cell r="P508" t="str">
            <v>A0106</v>
          </cell>
          <cell r="S508">
            <v>0</v>
          </cell>
        </row>
        <row r="509">
          <cell r="A509">
            <v>2931</v>
          </cell>
          <cell r="B509" t="str">
            <v>Subproductos</v>
          </cell>
          <cell r="P509" t="str">
            <v>A0106</v>
          </cell>
          <cell r="S509">
            <v>0</v>
          </cell>
        </row>
        <row r="510">
          <cell r="A510">
            <v>2932</v>
          </cell>
          <cell r="B510" t="str">
            <v>Desechos y desperdicios</v>
          </cell>
          <cell r="P510" t="str">
            <v>A0106</v>
          </cell>
          <cell r="S510">
            <v>0</v>
          </cell>
        </row>
        <row r="511">
          <cell r="A511">
            <v>294</v>
          </cell>
          <cell r="B511" t="str">
            <v>Productos en Proceso</v>
          </cell>
          <cell r="P511" t="str">
            <v>A0106</v>
          </cell>
          <cell r="S511">
            <v>0</v>
          </cell>
        </row>
        <row r="512">
          <cell r="A512">
            <v>2941</v>
          </cell>
          <cell r="B512" t="str">
            <v>Productos en proceso de manufactura</v>
          </cell>
          <cell r="P512" t="str">
            <v>A0106</v>
          </cell>
          <cell r="S512">
            <v>0</v>
          </cell>
        </row>
        <row r="513">
          <cell r="A513">
            <v>2942</v>
          </cell>
          <cell r="B513" t="str">
            <v>Productos extraídos en proceso de transformación</v>
          </cell>
          <cell r="P513" t="str">
            <v>A0106</v>
          </cell>
          <cell r="S513">
            <v>0</v>
          </cell>
        </row>
        <row r="514">
          <cell r="A514">
            <v>2943</v>
          </cell>
          <cell r="B514" t="str">
            <v>Productos agropecuarios y piscícolas en proceso</v>
          </cell>
          <cell r="P514" t="str">
            <v>A0106</v>
          </cell>
          <cell r="S514">
            <v>0</v>
          </cell>
        </row>
        <row r="515">
          <cell r="A515">
            <v>2944</v>
          </cell>
          <cell r="B515" t="str">
            <v>Productos inmuebles en proceso</v>
          </cell>
          <cell r="P515" t="str">
            <v>A0106</v>
          </cell>
          <cell r="S515">
            <v>0</v>
          </cell>
        </row>
        <row r="516">
          <cell r="A516">
            <v>2945</v>
          </cell>
          <cell r="B516" t="str">
            <v>Existencias de servicios en proceso</v>
          </cell>
          <cell r="P516" t="str">
            <v>A0106</v>
          </cell>
          <cell r="S516">
            <v>0</v>
          </cell>
        </row>
        <row r="517">
          <cell r="A517">
            <v>2947</v>
          </cell>
          <cell r="B517" t="str">
            <v>Otros productos en proceso</v>
          </cell>
          <cell r="P517" t="str">
            <v>A0106</v>
          </cell>
          <cell r="S517">
            <v>0</v>
          </cell>
        </row>
        <row r="518">
          <cell r="A518">
            <v>2948</v>
          </cell>
          <cell r="B518" t="str">
            <v>Costos de financiación – productos en proceso</v>
          </cell>
          <cell r="P518" t="str">
            <v>A0106</v>
          </cell>
          <cell r="S518">
            <v>0</v>
          </cell>
        </row>
        <row r="519">
          <cell r="A519">
            <v>295</v>
          </cell>
          <cell r="B519" t="str">
            <v>Materias Primas</v>
          </cell>
          <cell r="P519" t="str">
            <v>A0106</v>
          </cell>
          <cell r="S519">
            <v>0</v>
          </cell>
        </row>
        <row r="520">
          <cell r="A520">
            <v>2951</v>
          </cell>
          <cell r="B520" t="str">
            <v>Materias primas para productos manufacturados</v>
          </cell>
          <cell r="P520" t="str">
            <v>A0106</v>
          </cell>
          <cell r="S520">
            <v>0</v>
          </cell>
        </row>
        <row r="521">
          <cell r="A521">
            <v>2952</v>
          </cell>
          <cell r="B521" t="str">
            <v>Materias primas para productos de extracción</v>
          </cell>
          <cell r="P521" t="str">
            <v>A0106</v>
          </cell>
          <cell r="S521">
            <v>0</v>
          </cell>
        </row>
        <row r="522">
          <cell r="A522">
            <v>2953</v>
          </cell>
          <cell r="B522" t="str">
            <v>Materias primas para productos agropecuarios y piscícolas</v>
          </cell>
          <cell r="P522" t="str">
            <v>A0106</v>
          </cell>
          <cell r="S522">
            <v>0</v>
          </cell>
        </row>
        <row r="523">
          <cell r="A523">
            <v>2954</v>
          </cell>
          <cell r="B523" t="str">
            <v>Materias primas para productos inmuebles</v>
          </cell>
          <cell r="P523" t="str">
            <v>A0106</v>
          </cell>
          <cell r="S523">
            <v>0</v>
          </cell>
        </row>
        <row r="524">
          <cell r="A524">
            <v>296</v>
          </cell>
          <cell r="B524" t="str">
            <v>Materiales Auxiliares, Suministros y Repuestos</v>
          </cell>
          <cell r="P524" t="str">
            <v>A0106</v>
          </cell>
          <cell r="S524">
            <v>0</v>
          </cell>
        </row>
        <row r="525">
          <cell r="A525">
            <v>2961</v>
          </cell>
          <cell r="B525" t="str">
            <v>Materiales auxiliares</v>
          </cell>
          <cell r="P525" t="str">
            <v>A0106</v>
          </cell>
          <cell r="S525">
            <v>0</v>
          </cell>
        </row>
        <row r="526">
          <cell r="A526">
            <v>2962</v>
          </cell>
          <cell r="B526" t="str">
            <v>Suministros</v>
          </cell>
          <cell r="P526" t="str">
            <v>A0106</v>
          </cell>
          <cell r="S526">
            <v>0</v>
          </cell>
        </row>
        <row r="527">
          <cell r="A527">
            <v>2963</v>
          </cell>
          <cell r="B527" t="str">
            <v>Repuestos</v>
          </cell>
          <cell r="P527" t="str">
            <v>A0106</v>
          </cell>
          <cell r="S527">
            <v>0</v>
          </cell>
        </row>
        <row r="528">
          <cell r="A528">
            <v>297</v>
          </cell>
          <cell r="B528" t="str">
            <v>Envases y Embalajes</v>
          </cell>
          <cell r="P528" t="str">
            <v>A0106</v>
          </cell>
          <cell r="S528">
            <v>0</v>
          </cell>
        </row>
        <row r="529">
          <cell r="A529">
            <v>2971</v>
          </cell>
          <cell r="B529" t="str">
            <v>Envases</v>
          </cell>
          <cell r="P529" t="str">
            <v>A0106</v>
          </cell>
          <cell r="S529">
            <v>0</v>
          </cell>
        </row>
        <row r="530">
          <cell r="A530">
            <v>2972</v>
          </cell>
          <cell r="B530" t="str">
            <v>Embalajes</v>
          </cell>
          <cell r="P530" t="str">
            <v>A0106</v>
          </cell>
          <cell r="S530">
            <v>0</v>
          </cell>
        </row>
        <row r="531">
          <cell r="A531">
            <v>298</v>
          </cell>
          <cell r="B531" t="str">
            <v>Existencias por Recibir</v>
          </cell>
          <cell r="P531" t="str">
            <v>A0106</v>
          </cell>
          <cell r="S531">
            <v>0</v>
          </cell>
        </row>
        <row r="532">
          <cell r="A532">
            <v>2981</v>
          </cell>
          <cell r="B532" t="str">
            <v>Mercaderías</v>
          </cell>
          <cell r="P532" t="str">
            <v>A0106</v>
          </cell>
          <cell r="S532">
            <v>0</v>
          </cell>
        </row>
        <row r="533">
          <cell r="A533">
            <v>2982</v>
          </cell>
          <cell r="B533" t="str">
            <v>Materias primas</v>
          </cell>
          <cell r="P533" t="str">
            <v>A0106</v>
          </cell>
          <cell r="S533">
            <v>0</v>
          </cell>
        </row>
        <row r="534">
          <cell r="A534">
            <v>2983</v>
          </cell>
          <cell r="B534" t="str">
            <v>Materiales auxiliares, suministros y repuestos</v>
          </cell>
          <cell r="P534" t="str">
            <v>A0106</v>
          </cell>
          <cell r="S534">
            <v>0</v>
          </cell>
        </row>
        <row r="535">
          <cell r="A535">
            <v>2984</v>
          </cell>
          <cell r="B535" t="str">
            <v>Envases y embalajes</v>
          </cell>
          <cell r="P535" t="str">
            <v>A0106</v>
          </cell>
          <cell r="S535">
            <v>0</v>
          </cell>
        </row>
        <row r="536">
          <cell r="A536">
            <v>30</v>
          </cell>
          <cell r="B536" t="str">
            <v>INVERSIONES MOBILIARIAS</v>
          </cell>
          <cell r="P536">
            <v>0</v>
          </cell>
          <cell r="S536">
            <v>0</v>
          </cell>
        </row>
        <row r="537">
          <cell r="A537">
            <v>301</v>
          </cell>
          <cell r="B537" t="str">
            <v>Inversiones a ser Mantenidas Hasta el Vencimiento</v>
          </cell>
          <cell r="P537" t="str">
            <v>A0215</v>
          </cell>
          <cell r="S537">
            <v>0</v>
          </cell>
        </row>
        <row r="538">
          <cell r="A538">
            <v>3011</v>
          </cell>
          <cell r="B538" t="str">
            <v>Instrumentos financieros representativos de deuda</v>
          </cell>
          <cell r="P538" t="str">
            <v>A0215</v>
          </cell>
          <cell r="S538">
            <v>0</v>
          </cell>
        </row>
        <row r="539">
          <cell r="A539">
            <v>30111</v>
          </cell>
          <cell r="B539" t="str">
            <v>Valores emitidos o garantizados por el estado</v>
          </cell>
          <cell r="P539" t="str">
            <v>A0215</v>
          </cell>
          <cell r="S539">
            <v>0</v>
          </cell>
        </row>
        <row r="540">
          <cell r="A540">
            <v>30112</v>
          </cell>
          <cell r="B540" t="str">
            <v>Valores emitidos por el sistema financiero</v>
          </cell>
          <cell r="P540" t="str">
            <v>A0215</v>
          </cell>
          <cell r="S540">
            <v>0</v>
          </cell>
        </row>
        <row r="541">
          <cell r="A541">
            <v>30113</v>
          </cell>
          <cell r="B541" t="str">
            <v>Valores emitidos por las empresas</v>
          </cell>
          <cell r="P541" t="str">
            <v>A0215</v>
          </cell>
          <cell r="S541">
            <v>0</v>
          </cell>
        </row>
        <row r="542">
          <cell r="A542">
            <v>30114</v>
          </cell>
          <cell r="B542" t="str">
            <v>Otros títulos representativos de deuda</v>
          </cell>
          <cell r="P542" t="str">
            <v>A0215</v>
          </cell>
          <cell r="S542">
            <v>0</v>
          </cell>
        </row>
        <row r="543">
          <cell r="A543">
            <v>302</v>
          </cell>
          <cell r="B543" t="str">
            <v>Instrumentos Financieros Representativos de Derecho Patrimonial</v>
          </cell>
          <cell r="P543" t="str">
            <v>A0210</v>
          </cell>
          <cell r="S543">
            <v>0</v>
          </cell>
        </row>
        <row r="544">
          <cell r="A544">
            <v>3021</v>
          </cell>
          <cell r="B544" t="str">
            <v>Certificados de suscripción preferente</v>
          </cell>
          <cell r="P544" t="str">
            <v>A0210</v>
          </cell>
          <cell r="S544">
            <v>0</v>
          </cell>
        </row>
        <row r="545">
          <cell r="A545">
            <v>3022</v>
          </cell>
          <cell r="B545" t="str">
            <v>Acciones representativas de capital social - comunes</v>
          </cell>
          <cell r="P545" t="str">
            <v>A0210</v>
          </cell>
          <cell r="S545">
            <v>0</v>
          </cell>
        </row>
        <row r="546">
          <cell r="A546">
            <v>30221</v>
          </cell>
          <cell r="B546" t="str">
            <v>Costo</v>
          </cell>
          <cell r="P546" t="str">
            <v>A0210</v>
          </cell>
          <cell r="S546">
            <v>0</v>
          </cell>
        </row>
        <row r="547">
          <cell r="A547">
            <v>30222</v>
          </cell>
          <cell r="B547" t="str">
            <v>Valor razonable</v>
          </cell>
          <cell r="P547" t="str">
            <v>A0210</v>
          </cell>
          <cell r="S547">
            <v>0</v>
          </cell>
        </row>
        <row r="548">
          <cell r="A548">
            <v>30223</v>
          </cell>
          <cell r="B548" t="str">
            <v>Participacion patrimonial</v>
          </cell>
          <cell r="P548" t="str">
            <v>A0210</v>
          </cell>
          <cell r="S548">
            <v>0</v>
          </cell>
        </row>
        <row r="549">
          <cell r="A549">
            <v>3023</v>
          </cell>
          <cell r="B549" t="str">
            <v>Acciones representativas de capital social - preferentes</v>
          </cell>
          <cell r="P549" t="str">
            <v>A0210</v>
          </cell>
          <cell r="S549">
            <v>0</v>
          </cell>
        </row>
        <row r="550">
          <cell r="A550">
            <v>30231</v>
          </cell>
          <cell r="B550" t="str">
            <v>Costo</v>
          </cell>
          <cell r="P550" t="str">
            <v>A0210</v>
          </cell>
          <cell r="S550">
            <v>0</v>
          </cell>
        </row>
        <row r="551">
          <cell r="A551">
            <v>30232</v>
          </cell>
          <cell r="B551" t="str">
            <v>Valor razonable</v>
          </cell>
          <cell r="P551" t="str">
            <v>A0210</v>
          </cell>
          <cell r="S551">
            <v>0</v>
          </cell>
        </row>
        <row r="552">
          <cell r="A552">
            <v>30233</v>
          </cell>
          <cell r="B552" t="str">
            <v>Participacion patrimonial</v>
          </cell>
          <cell r="P552" t="str">
            <v>A0210</v>
          </cell>
          <cell r="S552">
            <v>0</v>
          </cell>
        </row>
        <row r="553">
          <cell r="A553">
            <v>3024</v>
          </cell>
          <cell r="B553" t="str">
            <v>Acciones de inversión</v>
          </cell>
          <cell r="P553" t="str">
            <v>A0210</v>
          </cell>
          <cell r="S553">
            <v>0</v>
          </cell>
        </row>
        <row r="554">
          <cell r="A554">
            <v>30241</v>
          </cell>
          <cell r="B554" t="str">
            <v>Costo</v>
          </cell>
          <cell r="P554" t="str">
            <v>A0210</v>
          </cell>
          <cell r="S554">
            <v>0</v>
          </cell>
        </row>
        <row r="555">
          <cell r="A555">
            <v>30242</v>
          </cell>
          <cell r="B555" t="str">
            <v>Valor razonable</v>
          </cell>
          <cell r="P555" t="str">
            <v>A0210</v>
          </cell>
          <cell r="S555">
            <v>0</v>
          </cell>
        </row>
        <row r="556">
          <cell r="A556">
            <v>30243</v>
          </cell>
          <cell r="B556" t="str">
            <v>Participacion patrimonial</v>
          </cell>
          <cell r="P556" t="str">
            <v>A0210</v>
          </cell>
          <cell r="S556">
            <v>0</v>
          </cell>
        </row>
        <row r="557">
          <cell r="A557">
            <v>3025</v>
          </cell>
          <cell r="B557" t="str">
            <v>Certificados de participación de fondos de inversión</v>
          </cell>
          <cell r="P557" t="str">
            <v>A0210</v>
          </cell>
          <cell r="S557">
            <v>0</v>
          </cell>
        </row>
        <row r="558">
          <cell r="A558">
            <v>30251</v>
          </cell>
          <cell r="B558" t="str">
            <v>Costo</v>
          </cell>
          <cell r="P558" t="str">
            <v>A0210</v>
          </cell>
          <cell r="S558">
            <v>0</v>
          </cell>
        </row>
        <row r="559">
          <cell r="A559">
            <v>3026</v>
          </cell>
          <cell r="B559" t="str">
            <v>Certificado de participación en fondos mutuos</v>
          </cell>
          <cell r="P559" t="str">
            <v>A0210</v>
          </cell>
          <cell r="S559">
            <v>0</v>
          </cell>
        </row>
        <row r="560">
          <cell r="A560">
            <v>30261</v>
          </cell>
          <cell r="B560" t="str">
            <v>Costo</v>
          </cell>
          <cell r="P560" t="str">
            <v>A0210</v>
          </cell>
          <cell r="S560">
            <v>0</v>
          </cell>
        </row>
        <row r="561">
          <cell r="A561">
            <v>30262</v>
          </cell>
          <cell r="B561" t="str">
            <v>Valor razonable</v>
          </cell>
          <cell r="P561" t="str">
            <v>A0210</v>
          </cell>
          <cell r="S561">
            <v>0</v>
          </cell>
        </row>
        <row r="562">
          <cell r="A562">
            <v>3027</v>
          </cell>
          <cell r="B562" t="str">
            <v>Participaciones en asociaciones en participación y consorcios</v>
          </cell>
          <cell r="P562" t="str">
            <v>A0210</v>
          </cell>
          <cell r="S562">
            <v>0</v>
          </cell>
        </row>
        <row r="563">
          <cell r="A563">
            <v>30271</v>
          </cell>
          <cell r="B563" t="str">
            <v>Costo</v>
          </cell>
          <cell r="P563" t="str">
            <v>A0210</v>
          </cell>
          <cell r="S563">
            <v>0</v>
          </cell>
        </row>
        <row r="564">
          <cell r="A564">
            <v>30272</v>
          </cell>
          <cell r="B564" t="str">
            <v>Valor razonable</v>
          </cell>
          <cell r="P564" t="str">
            <v>A0210</v>
          </cell>
          <cell r="S564">
            <v>0</v>
          </cell>
        </row>
        <row r="565">
          <cell r="A565">
            <v>30273</v>
          </cell>
          <cell r="B565" t="str">
            <v>Participación patrimonial</v>
          </cell>
          <cell r="P565" t="str">
            <v>A0210</v>
          </cell>
          <cell r="S565">
            <v>0</v>
          </cell>
        </row>
        <row r="566">
          <cell r="A566">
            <v>3028</v>
          </cell>
          <cell r="B566" t="str">
            <v>Otros títulos representativos de patrimonio</v>
          </cell>
          <cell r="P566" t="str">
            <v>A0210</v>
          </cell>
          <cell r="S566">
            <v>0</v>
          </cell>
        </row>
        <row r="567">
          <cell r="A567">
            <v>30281</v>
          </cell>
          <cell r="B567" t="str">
            <v>Costo</v>
          </cell>
          <cell r="P567" t="str">
            <v>A0210</v>
          </cell>
          <cell r="S567">
            <v>0</v>
          </cell>
        </row>
        <row r="568">
          <cell r="A568">
            <v>30282</v>
          </cell>
          <cell r="B568" t="str">
            <v>Valor razonable</v>
          </cell>
          <cell r="P568" t="str">
            <v>A0210</v>
          </cell>
          <cell r="S568">
            <v>0</v>
          </cell>
        </row>
        <row r="569">
          <cell r="A569">
            <v>308</v>
          </cell>
          <cell r="B569" t="str">
            <v>Inversiones Mobiliarias - Acuerdo de Compra</v>
          </cell>
          <cell r="P569">
            <v>0</v>
          </cell>
          <cell r="S569">
            <v>0</v>
          </cell>
        </row>
        <row r="570">
          <cell r="A570">
            <v>3081</v>
          </cell>
          <cell r="B570" t="str">
            <v>Inversiones a ser mantenidas hasta el vencimiento - acuerdo de compra</v>
          </cell>
          <cell r="P570" t="str">
            <v>A0215</v>
          </cell>
          <cell r="S570">
            <v>0</v>
          </cell>
        </row>
        <row r="571">
          <cell r="A571">
            <v>3082</v>
          </cell>
          <cell r="B571" t="str">
            <v>Instrumentos financieros representativos de derecho patrimonial - acuerdo de compra</v>
          </cell>
          <cell r="P571" t="str">
            <v>A0210</v>
          </cell>
          <cell r="S571">
            <v>0</v>
          </cell>
        </row>
        <row r="572">
          <cell r="A572">
            <v>31</v>
          </cell>
          <cell r="B572" t="str">
            <v>INVERSIONES INMOBILIARIAS</v>
          </cell>
          <cell r="P572" t="str">
            <v>A0211</v>
          </cell>
          <cell r="S572">
            <v>0</v>
          </cell>
        </row>
        <row r="573">
          <cell r="A573">
            <v>311</v>
          </cell>
          <cell r="B573" t="str">
            <v>Terrenos</v>
          </cell>
          <cell r="P573" t="str">
            <v>A0211</v>
          </cell>
          <cell r="S573">
            <v>0</v>
          </cell>
        </row>
        <row r="574">
          <cell r="A574">
            <v>3111</v>
          </cell>
          <cell r="B574" t="str">
            <v>Urbanos</v>
          </cell>
          <cell r="P574" t="str">
            <v>A0211</v>
          </cell>
          <cell r="S574">
            <v>0</v>
          </cell>
        </row>
        <row r="575">
          <cell r="A575">
            <v>31111</v>
          </cell>
          <cell r="B575" t="str">
            <v>Valor razonable</v>
          </cell>
          <cell r="P575" t="str">
            <v>A0211</v>
          </cell>
          <cell r="S575">
            <v>0</v>
          </cell>
        </row>
        <row r="576">
          <cell r="A576">
            <v>31112</v>
          </cell>
          <cell r="B576" t="str">
            <v>Costo</v>
          </cell>
          <cell r="P576" t="str">
            <v>A0211</v>
          </cell>
          <cell r="S576">
            <v>0</v>
          </cell>
        </row>
        <row r="577">
          <cell r="A577">
            <v>31113</v>
          </cell>
          <cell r="B577" t="str">
            <v>Revaluación</v>
          </cell>
          <cell r="P577" t="str">
            <v>A0211</v>
          </cell>
          <cell r="S577">
            <v>0</v>
          </cell>
        </row>
        <row r="578">
          <cell r="A578">
            <v>3112</v>
          </cell>
          <cell r="B578" t="str">
            <v>Rurales</v>
          </cell>
          <cell r="P578" t="str">
            <v>A0211</v>
          </cell>
          <cell r="S578">
            <v>0</v>
          </cell>
        </row>
        <row r="579">
          <cell r="A579">
            <v>31121</v>
          </cell>
          <cell r="B579" t="str">
            <v>Valor razonable</v>
          </cell>
          <cell r="P579" t="str">
            <v>A0211</v>
          </cell>
          <cell r="S579">
            <v>0</v>
          </cell>
        </row>
        <row r="580">
          <cell r="A580">
            <v>31122</v>
          </cell>
          <cell r="B580" t="str">
            <v>Costo</v>
          </cell>
          <cell r="P580" t="str">
            <v>A0211</v>
          </cell>
          <cell r="S580">
            <v>0</v>
          </cell>
        </row>
        <row r="581">
          <cell r="A581">
            <v>31123</v>
          </cell>
          <cell r="B581" t="str">
            <v>Revaluación</v>
          </cell>
          <cell r="P581" t="str">
            <v>A0211</v>
          </cell>
          <cell r="S581">
            <v>0</v>
          </cell>
        </row>
        <row r="582">
          <cell r="A582">
            <v>312</v>
          </cell>
          <cell r="B582" t="str">
            <v>Edificaciones</v>
          </cell>
          <cell r="P582" t="str">
            <v>A0211</v>
          </cell>
          <cell r="S582">
            <v>0</v>
          </cell>
        </row>
        <row r="583">
          <cell r="A583">
            <v>3121</v>
          </cell>
          <cell r="B583" t="str">
            <v>Edificaciones</v>
          </cell>
          <cell r="P583" t="str">
            <v>A0211</v>
          </cell>
          <cell r="S583">
            <v>0</v>
          </cell>
        </row>
        <row r="584">
          <cell r="A584">
            <v>31211</v>
          </cell>
          <cell r="B584" t="str">
            <v>Valor razonable</v>
          </cell>
          <cell r="P584" t="str">
            <v>A0211</v>
          </cell>
          <cell r="S584">
            <v>0</v>
          </cell>
        </row>
        <row r="585">
          <cell r="A585">
            <v>31212</v>
          </cell>
          <cell r="B585" t="str">
            <v>Costo</v>
          </cell>
          <cell r="P585" t="str">
            <v>A0211</v>
          </cell>
          <cell r="S585">
            <v>0</v>
          </cell>
        </row>
        <row r="586">
          <cell r="A586">
            <v>31213</v>
          </cell>
          <cell r="B586" t="str">
            <v>Revaluación</v>
          </cell>
          <cell r="P586" t="str">
            <v>A0211</v>
          </cell>
          <cell r="S586">
            <v>0</v>
          </cell>
        </row>
        <row r="587">
          <cell r="A587">
            <v>31214</v>
          </cell>
          <cell r="B587" t="str">
            <v>Costos de financiación – inversiones inmobiliarias</v>
          </cell>
          <cell r="P587" t="str">
            <v>A0211</v>
          </cell>
          <cell r="S587">
            <v>0</v>
          </cell>
        </row>
        <row r="588">
          <cell r="A588">
            <v>32</v>
          </cell>
          <cell r="B588" t="str">
            <v>ACTIVOS ADQUIRIDOS EN ARRENDAMIENTO FINANCIERO</v>
          </cell>
          <cell r="P588" t="str">
            <v>A0205</v>
          </cell>
          <cell r="S588">
            <v>0</v>
          </cell>
        </row>
        <row r="589">
          <cell r="A589">
            <v>321</v>
          </cell>
          <cell r="B589" t="str">
            <v>Inversiones Inmobiliarias</v>
          </cell>
          <cell r="P589" t="str">
            <v>A0205</v>
          </cell>
          <cell r="S589">
            <v>0</v>
          </cell>
        </row>
        <row r="590">
          <cell r="A590">
            <v>3211</v>
          </cell>
          <cell r="B590" t="str">
            <v>Terrenos</v>
          </cell>
          <cell r="P590" t="str">
            <v>A0205</v>
          </cell>
          <cell r="S590">
            <v>0</v>
          </cell>
        </row>
        <row r="591">
          <cell r="A591">
            <v>3212</v>
          </cell>
          <cell r="B591" t="str">
            <v>Edificaciones</v>
          </cell>
          <cell r="P591" t="str">
            <v>A0205</v>
          </cell>
          <cell r="S591">
            <v>0</v>
          </cell>
        </row>
        <row r="592">
          <cell r="A592">
            <v>322</v>
          </cell>
          <cell r="B592" t="str">
            <v>Inmuebles, Maquinaria y Equipo</v>
          </cell>
          <cell r="P592" t="str">
            <v>A0205</v>
          </cell>
          <cell r="S592">
            <v>0</v>
          </cell>
        </row>
        <row r="593">
          <cell r="A593">
            <v>3221</v>
          </cell>
          <cell r="B593" t="str">
            <v>Terrenos</v>
          </cell>
          <cell r="P593" t="str">
            <v>A0205</v>
          </cell>
          <cell r="S593">
            <v>0</v>
          </cell>
        </row>
        <row r="594">
          <cell r="A594">
            <v>3222</v>
          </cell>
          <cell r="B594" t="str">
            <v>Edificaciones</v>
          </cell>
          <cell r="P594" t="str">
            <v>A0205</v>
          </cell>
          <cell r="S594">
            <v>0</v>
          </cell>
        </row>
        <row r="595">
          <cell r="A595">
            <v>3223</v>
          </cell>
          <cell r="B595" t="str">
            <v>Maquinarias y equipos de explotación</v>
          </cell>
          <cell r="P595" t="str">
            <v>A0205</v>
          </cell>
          <cell r="S595">
            <v>0</v>
          </cell>
        </row>
        <row r="596">
          <cell r="A596">
            <v>3224</v>
          </cell>
          <cell r="B596" t="str">
            <v>Equipo de transporte</v>
          </cell>
          <cell r="P596" t="str">
            <v>A0205</v>
          </cell>
          <cell r="S596">
            <v>0</v>
          </cell>
        </row>
        <row r="597">
          <cell r="A597">
            <v>3225</v>
          </cell>
          <cell r="B597" t="str">
            <v>Muebles y enseres</v>
          </cell>
          <cell r="P597" t="str">
            <v>A0205</v>
          </cell>
          <cell r="S597">
            <v>0</v>
          </cell>
        </row>
        <row r="598">
          <cell r="A598">
            <v>3226</v>
          </cell>
          <cell r="B598" t="str">
            <v>Equipos diversos</v>
          </cell>
          <cell r="P598" t="str">
            <v>A0205</v>
          </cell>
          <cell r="S598">
            <v>0</v>
          </cell>
        </row>
        <row r="599">
          <cell r="A599">
            <v>3227</v>
          </cell>
          <cell r="B599" t="str">
            <v>Herramientas y unidades de reemplazo</v>
          </cell>
          <cell r="P599" t="str">
            <v>A0205</v>
          </cell>
          <cell r="S599">
            <v>0</v>
          </cell>
        </row>
        <row r="600">
          <cell r="A600">
            <v>33</v>
          </cell>
          <cell r="B600" t="str">
            <v>INMUEBLES, MAQUINARIA Y EQUIPO</v>
          </cell>
          <cell r="P600" t="str">
            <v>A0205</v>
          </cell>
          <cell r="S600">
            <v>0</v>
          </cell>
        </row>
        <row r="601">
          <cell r="A601">
            <v>331</v>
          </cell>
          <cell r="B601" t="str">
            <v>Terrenos</v>
          </cell>
          <cell r="P601" t="str">
            <v>A0205</v>
          </cell>
          <cell r="S601">
            <v>0</v>
          </cell>
        </row>
        <row r="602">
          <cell r="A602">
            <v>3311</v>
          </cell>
          <cell r="B602" t="str">
            <v>Terrenos</v>
          </cell>
          <cell r="P602" t="str">
            <v>A0205</v>
          </cell>
          <cell r="S602">
            <v>0</v>
          </cell>
        </row>
        <row r="603">
          <cell r="A603">
            <v>33111</v>
          </cell>
          <cell r="B603" t="str">
            <v>Costo</v>
          </cell>
          <cell r="P603" t="str">
            <v>A0205</v>
          </cell>
          <cell r="S603">
            <v>0</v>
          </cell>
        </row>
        <row r="604">
          <cell r="A604">
            <v>331111</v>
          </cell>
          <cell r="B604" t="str">
            <v>campamentos - costo</v>
          </cell>
          <cell r="P604" t="str">
            <v>A0205</v>
          </cell>
          <cell r="S604">
            <v>0</v>
          </cell>
        </row>
        <row r="605">
          <cell r="A605">
            <v>33112</v>
          </cell>
          <cell r="B605" t="str">
            <v>Revaluación</v>
          </cell>
          <cell r="P605" t="str">
            <v>A0205</v>
          </cell>
          <cell r="S605">
            <v>0</v>
          </cell>
        </row>
        <row r="606">
          <cell r="A606">
            <v>332</v>
          </cell>
          <cell r="B606" t="str">
            <v>Edificaciones</v>
          </cell>
          <cell r="P606" t="str">
            <v>A0205</v>
          </cell>
          <cell r="S606">
            <v>0</v>
          </cell>
        </row>
        <row r="607">
          <cell r="A607">
            <v>3321</v>
          </cell>
          <cell r="B607" t="str">
            <v>Edificaciones administrativas</v>
          </cell>
          <cell r="P607" t="str">
            <v>A0205</v>
          </cell>
          <cell r="S607">
            <v>0</v>
          </cell>
        </row>
        <row r="608">
          <cell r="A608">
            <v>33211</v>
          </cell>
          <cell r="B608" t="str">
            <v>Costo de adquisición o construcción</v>
          </cell>
          <cell r="P608" t="str">
            <v>A0205</v>
          </cell>
          <cell r="S608">
            <v>0</v>
          </cell>
        </row>
        <row r="609">
          <cell r="A609">
            <v>332112</v>
          </cell>
          <cell r="B609" t="str">
            <v>escuelas</v>
          </cell>
          <cell r="P609" t="str">
            <v>A0205</v>
          </cell>
          <cell r="S609">
            <v>0</v>
          </cell>
        </row>
        <row r="610">
          <cell r="A610">
            <v>332111</v>
          </cell>
          <cell r="B610" t="str">
            <v>campamentos</v>
          </cell>
          <cell r="P610" t="str">
            <v>A0205</v>
          </cell>
          <cell r="S610">
            <v>0</v>
          </cell>
        </row>
        <row r="611">
          <cell r="A611">
            <v>33212</v>
          </cell>
          <cell r="B611" t="str">
            <v>Revaluación</v>
          </cell>
          <cell r="P611" t="str">
            <v>A0205</v>
          </cell>
          <cell r="S611">
            <v>0</v>
          </cell>
        </row>
        <row r="612">
          <cell r="A612">
            <v>33213</v>
          </cell>
          <cell r="B612" t="str">
            <v>Costo de financiación - edificaciones</v>
          </cell>
          <cell r="P612" t="str">
            <v>A0205</v>
          </cell>
          <cell r="S612">
            <v>0</v>
          </cell>
        </row>
        <row r="613">
          <cell r="A613">
            <v>3322</v>
          </cell>
          <cell r="B613" t="str">
            <v>Almacenes</v>
          </cell>
          <cell r="P613" t="str">
            <v>A0205</v>
          </cell>
          <cell r="S613">
            <v>0</v>
          </cell>
        </row>
        <row r="614">
          <cell r="A614">
            <v>33221</v>
          </cell>
          <cell r="B614" t="str">
            <v>Costo de adquisición o construcción</v>
          </cell>
          <cell r="P614" t="str">
            <v>A0205</v>
          </cell>
          <cell r="S614">
            <v>0</v>
          </cell>
        </row>
        <row r="615">
          <cell r="A615">
            <v>33222</v>
          </cell>
          <cell r="B615" t="str">
            <v>Revaluación</v>
          </cell>
          <cell r="P615" t="str">
            <v>A0205</v>
          </cell>
          <cell r="S615">
            <v>0</v>
          </cell>
        </row>
        <row r="616">
          <cell r="A616">
            <v>33223</v>
          </cell>
          <cell r="B616" t="str">
            <v>Costo de financiación - almacenes</v>
          </cell>
          <cell r="P616" t="str">
            <v>A0205</v>
          </cell>
          <cell r="S616">
            <v>0</v>
          </cell>
        </row>
        <row r="617">
          <cell r="A617">
            <v>3323</v>
          </cell>
          <cell r="B617" t="str">
            <v>Edificaciones para producción</v>
          </cell>
          <cell r="P617" t="str">
            <v>A0205</v>
          </cell>
          <cell r="S617">
            <v>0</v>
          </cell>
        </row>
        <row r="618">
          <cell r="A618">
            <v>33231</v>
          </cell>
          <cell r="B618" t="str">
            <v>Costo de adquisición o contrucción</v>
          </cell>
          <cell r="P618" t="str">
            <v>A0205</v>
          </cell>
          <cell r="S618">
            <v>0</v>
          </cell>
        </row>
        <row r="619">
          <cell r="A619">
            <v>33232</v>
          </cell>
          <cell r="B619" t="str">
            <v>Revaluación</v>
          </cell>
          <cell r="P619" t="str">
            <v>A0205</v>
          </cell>
          <cell r="S619">
            <v>0</v>
          </cell>
        </row>
        <row r="620">
          <cell r="A620">
            <v>33233</v>
          </cell>
          <cell r="B620" t="str">
            <v>Costo de financiación – edificaciones para producción</v>
          </cell>
          <cell r="P620" t="str">
            <v>A0205</v>
          </cell>
          <cell r="S620">
            <v>0</v>
          </cell>
        </row>
        <row r="621">
          <cell r="A621">
            <v>3324</v>
          </cell>
          <cell r="B621" t="str">
            <v>Instalaciones</v>
          </cell>
          <cell r="P621" t="str">
            <v>A0205</v>
          </cell>
          <cell r="S621">
            <v>0</v>
          </cell>
        </row>
        <row r="622">
          <cell r="A622">
            <v>33241</v>
          </cell>
          <cell r="B622" t="str">
            <v>Costo de adquisición o contrucción</v>
          </cell>
          <cell r="P622" t="str">
            <v>A0205</v>
          </cell>
          <cell r="S622">
            <v>0</v>
          </cell>
        </row>
        <row r="623">
          <cell r="A623">
            <v>33242</v>
          </cell>
          <cell r="B623" t="str">
            <v>Revaluación</v>
          </cell>
          <cell r="P623" t="str">
            <v>A0205</v>
          </cell>
          <cell r="S623">
            <v>0</v>
          </cell>
        </row>
        <row r="624">
          <cell r="A624">
            <v>33243</v>
          </cell>
          <cell r="B624" t="str">
            <v>Costo de financiación – instalaciones</v>
          </cell>
          <cell r="P624" t="str">
            <v>A0205</v>
          </cell>
          <cell r="S624">
            <v>0</v>
          </cell>
        </row>
        <row r="625">
          <cell r="A625">
            <v>333</v>
          </cell>
          <cell r="B625" t="str">
            <v>Maquinarias y Equipos de Explotación</v>
          </cell>
          <cell r="P625" t="str">
            <v>A0205</v>
          </cell>
          <cell r="S625">
            <v>0</v>
          </cell>
        </row>
        <row r="626">
          <cell r="A626">
            <v>3331</v>
          </cell>
          <cell r="B626" t="str">
            <v>Maquinarias y equipos de explotación</v>
          </cell>
          <cell r="P626" t="str">
            <v>A0205</v>
          </cell>
          <cell r="S626">
            <v>0</v>
          </cell>
        </row>
        <row r="627">
          <cell r="A627">
            <v>33311</v>
          </cell>
          <cell r="B627" t="str">
            <v>Costo de adquisición o construcción</v>
          </cell>
          <cell r="P627" t="str">
            <v>A0205</v>
          </cell>
          <cell r="S627">
            <v>0</v>
          </cell>
        </row>
        <row r="628">
          <cell r="A628">
            <v>333119</v>
          </cell>
          <cell r="B628" t="str">
            <v>ruedas pelton</v>
          </cell>
          <cell r="P628" t="str">
            <v>A0205</v>
          </cell>
          <cell r="S628">
            <v>0</v>
          </cell>
        </row>
        <row r="629">
          <cell r="A629">
            <v>333118</v>
          </cell>
          <cell r="B629" t="str">
            <v>transformadores</v>
          </cell>
          <cell r="P629" t="str">
            <v>A0205</v>
          </cell>
          <cell r="S629">
            <v>0</v>
          </cell>
        </row>
        <row r="630">
          <cell r="A630">
            <v>333117</v>
          </cell>
          <cell r="B630" t="str">
            <v>turbinas</v>
          </cell>
          <cell r="P630" t="str">
            <v>A0205</v>
          </cell>
          <cell r="S630">
            <v>0</v>
          </cell>
        </row>
        <row r="631">
          <cell r="A631">
            <v>333116</v>
          </cell>
          <cell r="B631" t="str">
            <v>celdas de flotacion</v>
          </cell>
          <cell r="P631" t="str">
            <v>A0205</v>
          </cell>
          <cell r="S631">
            <v>0</v>
          </cell>
        </row>
        <row r="632">
          <cell r="A632">
            <v>333115</v>
          </cell>
          <cell r="B632" t="str">
            <v>molinos</v>
          </cell>
          <cell r="P632" t="str">
            <v>A0205</v>
          </cell>
          <cell r="S632">
            <v>0</v>
          </cell>
        </row>
        <row r="633">
          <cell r="A633">
            <v>333114</v>
          </cell>
          <cell r="B633" t="str">
            <v>fajas transportadoras</v>
          </cell>
          <cell r="P633" t="str">
            <v>A0205</v>
          </cell>
          <cell r="S633">
            <v>0</v>
          </cell>
        </row>
        <row r="634">
          <cell r="A634">
            <v>333113</v>
          </cell>
          <cell r="B634" t="str">
            <v>camion bajo perfil y carros mineros</v>
          </cell>
          <cell r="P634" t="str">
            <v>A0205</v>
          </cell>
          <cell r="S634">
            <v>0</v>
          </cell>
        </row>
        <row r="635">
          <cell r="A635">
            <v>333112</v>
          </cell>
          <cell r="B635" t="str">
            <v>cargador frontal</v>
          </cell>
          <cell r="P635" t="str">
            <v>A0205</v>
          </cell>
          <cell r="S635">
            <v>0</v>
          </cell>
        </row>
        <row r="636">
          <cell r="A636">
            <v>333111</v>
          </cell>
          <cell r="B636" t="str">
            <v>Perforadoras</v>
          </cell>
          <cell r="P636" t="str">
            <v>A0205</v>
          </cell>
          <cell r="S636">
            <v>0</v>
          </cell>
        </row>
        <row r="637">
          <cell r="A637">
            <v>33312</v>
          </cell>
          <cell r="B637" t="str">
            <v>Revaluación</v>
          </cell>
          <cell r="P637" t="str">
            <v>A0205</v>
          </cell>
          <cell r="S637">
            <v>0</v>
          </cell>
        </row>
        <row r="638">
          <cell r="A638">
            <v>33313</v>
          </cell>
          <cell r="B638" t="str">
            <v>Costo de financiación – maquinarias y equipos de explotación</v>
          </cell>
          <cell r="P638" t="str">
            <v>A0205</v>
          </cell>
          <cell r="S638">
            <v>0</v>
          </cell>
        </row>
        <row r="639">
          <cell r="A639">
            <v>334</v>
          </cell>
          <cell r="B639" t="str">
            <v>Equipo de Transporte</v>
          </cell>
          <cell r="P639" t="str">
            <v>A0205</v>
          </cell>
          <cell r="S639">
            <v>0</v>
          </cell>
        </row>
        <row r="640">
          <cell r="A640">
            <v>3341</v>
          </cell>
          <cell r="B640" t="str">
            <v>Vehículos motorizados</v>
          </cell>
          <cell r="P640" t="str">
            <v>A0205</v>
          </cell>
          <cell r="S640">
            <v>0</v>
          </cell>
        </row>
        <row r="641">
          <cell r="A641">
            <v>33411</v>
          </cell>
          <cell r="B641" t="str">
            <v>Costo de vehículos motorizados</v>
          </cell>
          <cell r="P641" t="str">
            <v>A0205</v>
          </cell>
          <cell r="S641">
            <v>0</v>
          </cell>
        </row>
        <row r="642">
          <cell r="A642">
            <v>334111</v>
          </cell>
          <cell r="B642" t="str">
            <v>vehiculos ligeros</v>
          </cell>
          <cell r="P642" t="str">
            <v>A0205</v>
          </cell>
          <cell r="S642">
            <v>0</v>
          </cell>
        </row>
        <row r="643">
          <cell r="A643">
            <v>33412</v>
          </cell>
          <cell r="B643" t="str">
            <v>Revaluación</v>
          </cell>
          <cell r="P643" t="str">
            <v>A0205</v>
          </cell>
          <cell r="S643">
            <v>0</v>
          </cell>
        </row>
        <row r="644">
          <cell r="A644">
            <v>3342</v>
          </cell>
          <cell r="B644" t="str">
            <v>Vehículos no motorizados</v>
          </cell>
          <cell r="P644" t="str">
            <v>A0205</v>
          </cell>
          <cell r="S644">
            <v>0</v>
          </cell>
        </row>
        <row r="645">
          <cell r="A645">
            <v>33421</v>
          </cell>
          <cell r="B645" t="str">
            <v>Costo</v>
          </cell>
          <cell r="P645" t="str">
            <v>A0205</v>
          </cell>
          <cell r="S645">
            <v>0</v>
          </cell>
        </row>
        <row r="646">
          <cell r="A646">
            <v>33422</v>
          </cell>
          <cell r="B646" t="str">
            <v>Revaluación</v>
          </cell>
          <cell r="P646" t="str">
            <v>A0205</v>
          </cell>
          <cell r="S646">
            <v>0</v>
          </cell>
        </row>
        <row r="647">
          <cell r="A647">
            <v>335</v>
          </cell>
          <cell r="B647" t="str">
            <v>Muebles y Enseres</v>
          </cell>
          <cell r="P647" t="str">
            <v>A0205</v>
          </cell>
          <cell r="S647">
            <v>0</v>
          </cell>
        </row>
        <row r="648">
          <cell r="A648">
            <v>3351</v>
          </cell>
          <cell r="B648" t="str">
            <v>Muebles</v>
          </cell>
          <cell r="P648" t="str">
            <v>A0205</v>
          </cell>
          <cell r="S648">
            <v>0</v>
          </cell>
        </row>
        <row r="649">
          <cell r="A649">
            <v>33511</v>
          </cell>
          <cell r="B649" t="str">
            <v>Costo de muebles</v>
          </cell>
          <cell r="P649" t="str">
            <v>A0205</v>
          </cell>
          <cell r="S649">
            <v>0</v>
          </cell>
        </row>
        <row r="650">
          <cell r="A650">
            <v>33512</v>
          </cell>
          <cell r="B650" t="str">
            <v>Revaluación</v>
          </cell>
          <cell r="P650" t="str">
            <v>A0205</v>
          </cell>
          <cell r="S650">
            <v>0</v>
          </cell>
        </row>
        <row r="651">
          <cell r="A651">
            <v>3352</v>
          </cell>
          <cell r="B651" t="str">
            <v>Enseres</v>
          </cell>
          <cell r="P651" t="str">
            <v>A0205</v>
          </cell>
          <cell r="S651">
            <v>0</v>
          </cell>
        </row>
        <row r="652">
          <cell r="A652">
            <v>33521</v>
          </cell>
          <cell r="B652" t="str">
            <v>Costo</v>
          </cell>
          <cell r="P652" t="str">
            <v>A0205</v>
          </cell>
          <cell r="S652">
            <v>0</v>
          </cell>
        </row>
        <row r="653">
          <cell r="A653">
            <v>33522</v>
          </cell>
          <cell r="B653" t="str">
            <v>Revaluación</v>
          </cell>
          <cell r="P653" t="str">
            <v>A0205</v>
          </cell>
          <cell r="S653">
            <v>0</v>
          </cell>
        </row>
        <row r="654">
          <cell r="A654">
            <v>336</v>
          </cell>
          <cell r="B654" t="str">
            <v>Equipos Diversos</v>
          </cell>
          <cell r="P654" t="str">
            <v>A0205</v>
          </cell>
          <cell r="S654">
            <v>0</v>
          </cell>
        </row>
        <row r="655">
          <cell r="A655">
            <v>3361</v>
          </cell>
          <cell r="B655" t="str">
            <v>Equipo para procesamiento de información (de cómputo)</v>
          </cell>
          <cell r="P655" t="str">
            <v>A0205</v>
          </cell>
          <cell r="S655">
            <v>0</v>
          </cell>
        </row>
        <row r="656">
          <cell r="A656">
            <v>33611</v>
          </cell>
          <cell r="B656" t="str">
            <v>Costo de equipo para procesamiento de información</v>
          </cell>
          <cell r="P656" t="str">
            <v>A0205</v>
          </cell>
          <cell r="S656">
            <v>0</v>
          </cell>
        </row>
        <row r="657">
          <cell r="A657">
            <v>33612</v>
          </cell>
          <cell r="B657" t="str">
            <v>Revaluación</v>
          </cell>
          <cell r="P657" t="str">
            <v>A0205</v>
          </cell>
          <cell r="S657">
            <v>0</v>
          </cell>
        </row>
        <row r="658">
          <cell r="A658">
            <v>3362</v>
          </cell>
          <cell r="B658" t="str">
            <v>Equipo de comunicación</v>
          </cell>
          <cell r="P658" t="str">
            <v>A0205</v>
          </cell>
          <cell r="S658">
            <v>0</v>
          </cell>
        </row>
        <row r="659">
          <cell r="A659">
            <v>33621</v>
          </cell>
          <cell r="B659" t="str">
            <v>Costo equipo de comunicación</v>
          </cell>
          <cell r="P659" t="str">
            <v>A0205</v>
          </cell>
          <cell r="S659">
            <v>0</v>
          </cell>
        </row>
        <row r="660">
          <cell r="A660">
            <v>33622</v>
          </cell>
          <cell r="B660" t="str">
            <v>Revaluación</v>
          </cell>
          <cell r="P660" t="str">
            <v>A0205</v>
          </cell>
          <cell r="S660">
            <v>0</v>
          </cell>
        </row>
        <row r="661">
          <cell r="A661">
            <v>3363</v>
          </cell>
          <cell r="B661" t="str">
            <v>Equipo de seguridad</v>
          </cell>
          <cell r="P661" t="str">
            <v>A0205</v>
          </cell>
          <cell r="S661">
            <v>0</v>
          </cell>
        </row>
        <row r="662">
          <cell r="A662">
            <v>33631</v>
          </cell>
          <cell r="B662" t="str">
            <v>Costo</v>
          </cell>
          <cell r="P662" t="str">
            <v>A0205</v>
          </cell>
          <cell r="S662">
            <v>0</v>
          </cell>
        </row>
        <row r="663">
          <cell r="A663">
            <v>33632</v>
          </cell>
          <cell r="B663" t="str">
            <v>Revaluación</v>
          </cell>
          <cell r="P663" t="str">
            <v>A0205</v>
          </cell>
          <cell r="S663">
            <v>0</v>
          </cell>
        </row>
        <row r="664">
          <cell r="A664">
            <v>3369</v>
          </cell>
          <cell r="B664" t="str">
            <v>Otros equipos</v>
          </cell>
          <cell r="P664" t="str">
            <v>A0205</v>
          </cell>
          <cell r="S664">
            <v>0</v>
          </cell>
        </row>
        <row r="665">
          <cell r="A665">
            <v>33691</v>
          </cell>
          <cell r="B665" t="str">
            <v>Costo de otros equipos</v>
          </cell>
          <cell r="P665" t="str">
            <v>A0205</v>
          </cell>
          <cell r="S665">
            <v>0</v>
          </cell>
        </row>
        <row r="666">
          <cell r="A666">
            <v>33692</v>
          </cell>
          <cell r="B666" t="str">
            <v>Revaluación</v>
          </cell>
          <cell r="P666" t="str">
            <v>A0205</v>
          </cell>
          <cell r="S666">
            <v>0</v>
          </cell>
        </row>
        <row r="667">
          <cell r="A667">
            <v>337</v>
          </cell>
          <cell r="B667" t="str">
            <v>Herramientas y Unidades de Reemplazo</v>
          </cell>
          <cell r="P667" t="str">
            <v>A0205</v>
          </cell>
          <cell r="S667">
            <v>0</v>
          </cell>
        </row>
        <row r="668">
          <cell r="A668">
            <v>3371</v>
          </cell>
          <cell r="B668" t="str">
            <v>Herramientas</v>
          </cell>
          <cell r="P668" t="str">
            <v>A0205</v>
          </cell>
          <cell r="S668">
            <v>0</v>
          </cell>
        </row>
        <row r="669">
          <cell r="A669">
            <v>33711</v>
          </cell>
          <cell r="B669" t="str">
            <v>Costo</v>
          </cell>
          <cell r="P669" t="str">
            <v>A0205</v>
          </cell>
          <cell r="S669">
            <v>0</v>
          </cell>
        </row>
        <row r="670">
          <cell r="A670">
            <v>33712</v>
          </cell>
          <cell r="B670" t="str">
            <v>Revaluación</v>
          </cell>
          <cell r="P670" t="str">
            <v>A0205</v>
          </cell>
          <cell r="S670">
            <v>0</v>
          </cell>
        </row>
        <row r="671">
          <cell r="A671">
            <v>3372</v>
          </cell>
          <cell r="B671" t="str">
            <v>Unidades de reemplazo</v>
          </cell>
          <cell r="P671" t="str">
            <v>A0205</v>
          </cell>
          <cell r="S671">
            <v>0</v>
          </cell>
        </row>
        <row r="672">
          <cell r="A672">
            <v>33721</v>
          </cell>
          <cell r="B672" t="str">
            <v>Costo</v>
          </cell>
          <cell r="P672" t="str">
            <v>A0205</v>
          </cell>
          <cell r="S672">
            <v>0</v>
          </cell>
        </row>
        <row r="673">
          <cell r="A673">
            <v>33722</v>
          </cell>
          <cell r="B673" t="str">
            <v>Revaluación</v>
          </cell>
          <cell r="P673" t="str">
            <v>A0205</v>
          </cell>
          <cell r="S673">
            <v>0</v>
          </cell>
        </row>
        <row r="674">
          <cell r="A674">
            <v>338</v>
          </cell>
          <cell r="B674" t="str">
            <v>Unidades por Recibir</v>
          </cell>
          <cell r="P674" t="str">
            <v>A0205</v>
          </cell>
          <cell r="S674">
            <v>0</v>
          </cell>
        </row>
        <row r="675">
          <cell r="A675">
            <v>3381</v>
          </cell>
          <cell r="B675" t="str">
            <v>Maquinarias y equipos de explotación</v>
          </cell>
          <cell r="P675" t="str">
            <v>A0205</v>
          </cell>
          <cell r="S675">
            <v>0</v>
          </cell>
        </row>
        <row r="676">
          <cell r="A676">
            <v>3382</v>
          </cell>
          <cell r="B676" t="str">
            <v>Equipo de transporte</v>
          </cell>
          <cell r="P676" t="str">
            <v>A0205</v>
          </cell>
          <cell r="S676">
            <v>0</v>
          </cell>
        </row>
        <row r="677">
          <cell r="A677">
            <v>3383</v>
          </cell>
          <cell r="B677" t="str">
            <v>Muebles y enseres</v>
          </cell>
          <cell r="P677" t="str">
            <v>A0205</v>
          </cell>
          <cell r="S677">
            <v>0</v>
          </cell>
        </row>
        <row r="678">
          <cell r="A678">
            <v>3386</v>
          </cell>
          <cell r="B678" t="str">
            <v>Equipos diversos</v>
          </cell>
          <cell r="P678" t="str">
            <v>A0205</v>
          </cell>
          <cell r="S678">
            <v>0</v>
          </cell>
        </row>
        <row r="679">
          <cell r="A679">
            <v>3387</v>
          </cell>
          <cell r="B679" t="str">
            <v>Herramientas y unidades de reemplazo</v>
          </cell>
          <cell r="P679" t="str">
            <v>A0205</v>
          </cell>
          <cell r="S679">
            <v>0</v>
          </cell>
        </row>
        <row r="680">
          <cell r="A680">
            <v>339</v>
          </cell>
          <cell r="B680" t="str">
            <v>Construcciones y Obras en Curso</v>
          </cell>
          <cell r="P680" t="str">
            <v>A0205</v>
          </cell>
          <cell r="S680">
            <v>0</v>
          </cell>
        </row>
        <row r="681">
          <cell r="A681">
            <v>3391</v>
          </cell>
          <cell r="B681" t="str">
            <v>Adaptación de terrenos</v>
          </cell>
          <cell r="P681" t="str">
            <v>A0205</v>
          </cell>
          <cell r="S681">
            <v>0</v>
          </cell>
        </row>
        <row r="682">
          <cell r="A682">
            <v>3392</v>
          </cell>
          <cell r="B682" t="str">
            <v>Construcciones en curso</v>
          </cell>
          <cell r="P682" t="str">
            <v>A0205</v>
          </cell>
          <cell r="S682">
            <v>0</v>
          </cell>
        </row>
        <row r="683">
          <cell r="A683">
            <v>3393</v>
          </cell>
          <cell r="B683" t="str">
            <v>Maquinaria en montaje</v>
          </cell>
          <cell r="P683" t="str">
            <v>A0205</v>
          </cell>
          <cell r="S683">
            <v>0</v>
          </cell>
        </row>
        <row r="684">
          <cell r="A684">
            <v>3394</v>
          </cell>
          <cell r="B684" t="str">
            <v>Inversión inmobiliaria en curso</v>
          </cell>
          <cell r="P684" t="str">
            <v>A0205</v>
          </cell>
          <cell r="S684">
            <v>0</v>
          </cell>
        </row>
        <row r="685">
          <cell r="A685">
            <v>3397</v>
          </cell>
          <cell r="B685" t="str">
            <v>Costo de financiación – inversiones inmobiliarias</v>
          </cell>
          <cell r="P685" t="str">
            <v>A0205</v>
          </cell>
          <cell r="S685">
            <v>0</v>
          </cell>
        </row>
        <row r="686">
          <cell r="A686">
            <v>33971</v>
          </cell>
          <cell r="B686" t="str">
            <v>Costo de financiación - edificaciones</v>
          </cell>
          <cell r="P686" t="str">
            <v>A0205</v>
          </cell>
          <cell r="S686">
            <v>0</v>
          </cell>
        </row>
        <row r="687">
          <cell r="A687">
            <v>3398</v>
          </cell>
          <cell r="B687" t="str">
            <v>Costo de financiación – inmuebles, maquinaria y equipo</v>
          </cell>
          <cell r="P687" t="str">
            <v>A0205</v>
          </cell>
          <cell r="S687">
            <v>0</v>
          </cell>
        </row>
        <row r="688">
          <cell r="A688">
            <v>33981</v>
          </cell>
          <cell r="B688" t="str">
            <v>Costo de financiación – edificaciones</v>
          </cell>
          <cell r="P688" t="str">
            <v>A0205</v>
          </cell>
          <cell r="S688">
            <v>0</v>
          </cell>
        </row>
        <row r="689">
          <cell r="A689">
            <v>33982</v>
          </cell>
          <cell r="B689" t="str">
            <v>Costo de financiación – maquinarias y equipos de explotación</v>
          </cell>
          <cell r="P689" t="str">
            <v>A0205</v>
          </cell>
          <cell r="S689">
            <v>0</v>
          </cell>
        </row>
        <row r="690">
          <cell r="A690">
            <v>3399</v>
          </cell>
          <cell r="B690" t="str">
            <v>Otros activos en curso</v>
          </cell>
          <cell r="P690" t="str">
            <v>A0205</v>
          </cell>
          <cell r="S690">
            <v>0</v>
          </cell>
        </row>
        <row r="691">
          <cell r="A691">
            <v>34</v>
          </cell>
          <cell r="B691" t="str">
            <v>INTANGIBLES</v>
          </cell>
          <cell r="P691" t="str">
            <v>A0206</v>
          </cell>
          <cell r="S691">
            <v>0</v>
          </cell>
        </row>
        <row r="692">
          <cell r="A692">
            <v>341</v>
          </cell>
          <cell r="B692" t="str">
            <v>Concesiones, Licencias y Otros Derechos</v>
          </cell>
          <cell r="P692" t="str">
            <v>A0206</v>
          </cell>
          <cell r="S692">
            <v>0</v>
          </cell>
        </row>
        <row r="693">
          <cell r="A693">
            <v>3411</v>
          </cell>
          <cell r="B693" t="str">
            <v>Concesiones</v>
          </cell>
          <cell r="P693" t="str">
            <v>A0206</v>
          </cell>
          <cell r="S693">
            <v>0</v>
          </cell>
        </row>
        <row r="694">
          <cell r="A694">
            <v>34111</v>
          </cell>
          <cell r="B694" t="str">
            <v>Costo</v>
          </cell>
          <cell r="P694" t="str">
            <v>A0206</v>
          </cell>
          <cell r="S694">
            <v>0</v>
          </cell>
        </row>
        <row r="695">
          <cell r="A695">
            <v>34112</v>
          </cell>
          <cell r="B695" t="str">
            <v>Revaluación</v>
          </cell>
          <cell r="P695" t="str">
            <v>A0206</v>
          </cell>
          <cell r="S695">
            <v>0</v>
          </cell>
        </row>
        <row r="696">
          <cell r="A696">
            <v>3412</v>
          </cell>
          <cell r="B696" t="str">
            <v>Licencias</v>
          </cell>
          <cell r="P696" t="str">
            <v>A0206</v>
          </cell>
          <cell r="S696">
            <v>0</v>
          </cell>
        </row>
        <row r="697">
          <cell r="A697">
            <v>34121</v>
          </cell>
          <cell r="B697" t="str">
            <v>Costo</v>
          </cell>
          <cell r="P697" t="str">
            <v>A0206</v>
          </cell>
          <cell r="S697">
            <v>0</v>
          </cell>
        </row>
        <row r="698">
          <cell r="A698">
            <v>34122</v>
          </cell>
          <cell r="B698" t="str">
            <v>Revaluación</v>
          </cell>
          <cell r="P698" t="str">
            <v>A0206</v>
          </cell>
          <cell r="S698">
            <v>0</v>
          </cell>
        </row>
        <row r="699">
          <cell r="A699">
            <v>3419</v>
          </cell>
          <cell r="B699" t="str">
            <v>Otros derechos</v>
          </cell>
          <cell r="P699" t="str">
            <v>A0206</v>
          </cell>
          <cell r="S699">
            <v>0</v>
          </cell>
        </row>
        <row r="700">
          <cell r="A700">
            <v>34191</v>
          </cell>
          <cell r="B700" t="str">
            <v>Costo</v>
          </cell>
          <cell r="P700" t="str">
            <v>A0206</v>
          </cell>
          <cell r="S700">
            <v>0</v>
          </cell>
        </row>
        <row r="701">
          <cell r="A701">
            <v>34192</v>
          </cell>
          <cell r="B701" t="str">
            <v>Revaluación</v>
          </cell>
          <cell r="P701" t="str">
            <v>A0206</v>
          </cell>
          <cell r="S701">
            <v>0</v>
          </cell>
        </row>
        <row r="702">
          <cell r="A702">
            <v>342</v>
          </cell>
          <cell r="B702" t="str">
            <v>Patentes y Propiedad Industrial</v>
          </cell>
          <cell r="P702" t="str">
            <v>A0206</v>
          </cell>
          <cell r="S702">
            <v>0</v>
          </cell>
        </row>
        <row r="703">
          <cell r="A703">
            <v>3421</v>
          </cell>
          <cell r="B703" t="str">
            <v>Patentes</v>
          </cell>
          <cell r="P703" t="str">
            <v>A0206</v>
          </cell>
          <cell r="S703">
            <v>0</v>
          </cell>
        </row>
        <row r="704">
          <cell r="A704">
            <v>34211</v>
          </cell>
          <cell r="B704" t="str">
            <v>Costo</v>
          </cell>
          <cell r="P704" t="str">
            <v>A0206</v>
          </cell>
          <cell r="S704">
            <v>0</v>
          </cell>
        </row>
        <row r="705">
          <cell r="A705">
            <v>34212</v>
          </cell>
          <cell r="B705" t="str">
            <v>Revaluación</v>
          </cell>
          <cell r="P705" t="str">
            <v>A0206</v>
          </cell>
          <cell r="S705">
            <v>0</v>
          </cell>
        </row>
        <row r="706">
          <cell r="A706">
            <v>3422</v>
          </cell>
          <cell r="B706" t="str">
            <v>Marcas</v>
          </cell>
          <cell r="P706" t="str">
            <v>A0206</v>
          </cell>
          <cell r="S706">
            <v>0</v>
          </cell>
        </row>
        <row r="707">
          <cell r="A707">
            <v>34221</v>
          </cell>
          <cell r="B707" t="str">
            <v>Costo</v>
          </cell>
          <cell r="P707" t="str">
            <v>A0206</v>
          </cell>
          <cell r="S707">
            <v>0</v>
          </cell>
        </row>
        <row r="708">
          <cell r="A708">
            <v>34222</v>
          </cell>
          <cell r="B708" t="str">
            <v>Revaluación</v>
          </cell>
          <cell r="P708" t="str">
            <v>A0206</v>
          </cell>
          <cell r="S708">
            <v>0</v>
          </cell>
        </row>
        <row r="709">
          <cell r="A709">
            <v>343</v>
          </cell>
          <cell r="B709" t="str">
            <v>Programas de Computadora (Software)</v>
          </cell>
          <cell r="P709" t="str">
            <v>A0206</v>
          </cell>
          <cell r="S709">
            <v>0</v>
          </cell>
        </row>
        <row r="710">
          <cell r="A710">
            <v>3431</v>
          </cell>
          <cell r="B710" t="str">
            <v>Aplicaciones informáticas</v>
          </cell>
          <cell r="P710" t="str">
            <v>A0206</v>
          </cell>
          <cell r="S710">
            <v>0</v>
          </cell>
        </row>
        <row r="711">
          <cell r="A711">
            <v>34311</v>
          </cell>
          <cell r="B711" t="str">
            <v>Costo</v>
          </cell>
          <cell r="P711" t="str">
            <v>A0206</v>
          </cell>
          <cell r="S711">
            <v>0</v>
          </cell>
        </row>
        <row r="712">
          <cell r="A712">
            <v>34312</v>
          </cell>
          <cell r="B712" t="str">
            <v>Revaluación</v>
          </cell>
          <cell r="P712" t="str">
            <v>A0206</v>
          </cell>
          <cell r="S712">
            <v>0</v>
          </cell>
        </row>
        <row r="713">
          <cell r="A713">
            <v>344</v>
          </cell>
          <cell r="B713" t="str">
            <v>Costos de Exploración y Desarrollo</v>
          </cell>
          <cell r="P713" t="str">
            <v>A0206</v>
          </cell>
          <cell r="S713">
            <v>0</v>
          </cell>
        </row>
        <row r="714">
          <cell r="A714">
            <v>3441</v>
          </cell>
          <cell r="B714" t="str">
            <v>Costos de exploración</v>
          </cell>
          <cell r="P714" t="str">
            <v>A0206</v>
          </cell>
          <cell r="S714">
            <v>0</v>
          </cell>
        </row>
        <row r="715">
          <cell r="A715">
            <v>34411</v>
          </cell>
          <cell r="B715" t="str">
            <v>Costo</v>
          </cell>
          <cell r="P715" t="str">
            <v>A0206</v>
          </cell>
          <cell r="S715">
            <v>0</v>
          </cell>
        </row>
        <row r="716">
          <cell r="A716">
            <v>34412</v>
          </cell>
          <cell r="B716" t="str">
            <v>Revaluacion</v>
          </cell>
          <cell r="P716" t="str">
            <v>A0206</v>
          </cell>
          <cell r="S716">
            <v>0</v>
          </cell>
        </row>
        <row r="717">
          <cell r="A717">
            <v>34413</v>
          </cell>
          <cell r="B717" t="str">
            <v>Costo de financiacion</v>
          </cell>
          <cell r="P717" t="str">
            <v>A0206</v>
          </cell>
          <cell r="S717">
            <v>0</v>
          </cell>
        </row>
        <row r="718">
          <cell r="A718">
            <v>3442</v>
          </cell>
          <cell r="B718" t="str">
            <v>Costos de desarrollo</v>
          </cell>
          <cell r="P718" t="str">
            <v>A0206</v>
          </cell>
          <cell r="S718">
            <v>0</v>
          </cell>
        </row>
        <row r="719">
          <cell r="A719">
            <v>34421</v>
          </cell>
          <cell r="B719" t="str">
            <v>Costo</v>
          </cell>
          <cell r="P719" t="str">
            <v>A0206</v>
          </cell>
          <cell r="S719">
            <v>0</v>
          </cell>
        </row>
        <row r="720">
          <cell r="A720">
            <v>34422</v>
          </cell>
          <cell r="B720" t="str">
            <v>Revaluación</v>
          </cell>
          <cell r="P720" t="str">
            <v>A0206</v>
          </cell>
          <cell r="S720">
            <v>0</v>
          </cell>
        </row>
        <row r="721">
          <cell r="A721">
            <v>34423</v>
          </cell>
          <cell r="B721" t="str">
            <v>Costo de financiación</v>
          </cell>
          <cell r="P721" t="str">
            <v>A0206</v>
          </cell>
          <cell r="S721">
            <v>0</v>
          </cell>
        </row>
        <row r="722">
          <cell r="A722">
            <v>345</v>
          </cell>
          <cell r="B722" t="str">
            <v>Fórmulas, Diseños y Prototipos</v>
          </cell>
          <cell r="P722" t="str">
            <v>A0206</v>
          </cell>
          <cell r="S722">
            <v>0</v>
          </cell>
        </row>
        <row r="723">
          <cell r="A723">
            <v>3451</v>
          </cell>
          <cell r="B723" t="str">
            <v>Fórmulas</v>
          </cell>
          <cell r="P723" t="str">
            <v>A0206</v>
          </cell>
          <cell r="S723">
            <v>0</v>
          </cell>
        </row>
        <row r="724">
          <cell r="A724">
            <v>34511</v>
          </cell>
          <cell r="B724" t="str">
            <v>Costo</v>
          </cell>
          <cell r="P724" t="str">
            <v>A0206</v>
          </cell>
          <cell r="S724">
            <v>0</v>
          </cell>
        </row>
        <row r="725">
          <cell r="A725">
            <v>34512</v>
          </cell>
          <cell r="B725" t="str">
            <v>Revaluación</v>
          </cell>
          <cell r="P725" t="str">
            <v>A0206</v>
          </cell>
          <cell r="S725">
            <v>0</v>
          </cell>
        </row>
        <row r="726">
          <cell r="A726">
            <v>3452</v>
          </cell>
          <cell r="B726" t="str">
            <v>Diseños y prototipos</v>
          </cell>
          <cell r="P726" t="str">
            <v>A0206</v>
          </cell>
          <cell r="S726">
            <v>0</v>
          </cell>
        </row>
        <row r="727">
          <cell r="A727">
            <v>34521</v>
          </cell>
          <cell r="B727" t="str">
            <v>Costo</v>
          </cell>
          <cell r="P727" t="str">
            <v>A0206</v>
          </cell>
          <cell r="S727">
            <v>0</v>
          </cell>
        </row>
        <row r="728">
          <cell r="A728">
            <v>34522</v>
          </cell>
          <cell r="B728" t="str">
            <v>Revaluación</v>
          </cell>
          <cell r="P728" t="str">
            <v>A0206</v>
          </cell>
          <cell r="S728">
            <v>0</v>
          </cell>
        </row>
        <row r="729">
          <cell r="A729">
            <v>346</v>
          </cell>
          <cell r="B729" t="str">
            <v>Reservas de Recursos Extraíbles</v>
          </cell>
          <cell r="P729" t="str">
            <v>A0206</v>
          </cell>
          <cell r="S729">
            <v>0</v>
          </cell>
        </row>
        <row r="730">
          <cell r="A730">
            <v>3461</v>
          </cell>
          <cell r="B730" t="str">
            <v>Minerales</v>
          </cell>
          <cell r="P730" t="str">
            <v>A0206</v>
          </cell>
          <cell r="S730">
            <v>0</v>
          </cell>
        </row>
        <row r="731">
          <cell r="A731">
            <v>34611</v>
          </cell>
          <cell r="B731" t="str">
            <v xml:space="preserve">Costo </v>
          </cell>
          <cell r="P731" t="str">
            <v>A0206</v>
          </cell>
          <cell r="S731">
            <v>0</v>
          </cell>
        </row>
        <row r="732">
          <cell r="A732">
            <v>34612</v>
          </cell>
          <cell r="B732" t="str">
            <v>Revaluación</v>
          </cell>
          <cell r="P732" t="str">
            <v>A0206</v>
          </cell>
          <cell r="S732">
            <v>0</v>
          </cell>
        </row>
        <row r="733">
          <cell r="A733">
            <v>3462</v>
          </cell>
          <cell r="B733" t="str">
            <v>Petróleo y gas</v>
          </cell>
          <cell r="P733" t="str">
            <v>A0206</v>
          </cell>
          <cell r="S733">
            <v>0</v>
          </cell>
        </row>
        <row r="734">
          <cell r="A734">
            <v>34621</v>
          </cell>
          <cell r="B734" t="str">
            <v xml:space="preserve">Costo </v>
          </cell>
          <cell r="P734" t="str">
            <v>A0206</v>
          </cell>
          <cell r="S734">
            <v>0</v>
          </cell>
        </row>
        <row r="735">
          <cell r="A735">
            <v>34622</v>
          </cell>
          <cell r="B735" t="str">
            <v>Revaluación</v>
          </cell>
          <cell r="P735" t="str">
            <v>A0206</v>
          </cell>
          <cell r="S735">
            <v>0</v>
          </cell>
        </row>
        <row r="736">
          <cell r="A736">
            <v>3463</v>
          </cell>
          <cell r="B736" t="str">
            <v>Madera</v>
          </cell>
          <cell r="P736" t="str">
            <v>A0206</v>
          </cell>
          <cell r="S736">
            <v>0</v>
          </cell>
        </row>
        <row r="737">
          <cell r="A737">
            <v>34631</v>
          </cell>
          <cell r="B737" t="str">
            <v>Costo</v>
          </cell>
          <cell r="P737" t="str">
            <v>A0206</v>
          </cell>
          <cell r="S737">
            <v>0</v>
          </cell>
        </row>
        <row r="738">
          <cell r="A738">
            <v>34632</v>
          </cell>
          <cell r="B738" t="str">
            <v>Revaluación</v>
          </cell>
          <cell r="P738" t="str">
            <v>A0206</v>
          </cell>
          <cell r="S738">
            <v>0</v>
          </cell>
        </row>
        <row r="739">
          <cell r="A739">
            <v>3469</v>
          </cell>
          <cell r="B739" t="str">
            <v>Otros recursos extraíbles</v>
          </cell>
          <cell r="P739" t="str">
            <v>A0206</v>
          </cell>
          <cell r="S739">
            <v>0</v>
          </cell>
        </row>
        <row r="740">
          <cell r="A740">
            <v>34691</v>
          </cell>
          <cell r="B740" t="str">
            <v>Costo</v>
          </cell>
          <cell r="P740" t="str">
            <v>A0206</v>
          </cell>
          <cell r="S740">
            <v>0</v>
          </cell>
        </row>
        <row r="741">
          <cell r="A741">
            <v>34692</v>
          </cell>
          <cell r="B741" t="str">
            <v>Revaluación</v>
          </cell>
          <cell r="P741" t="str">
            <v>A0206</v>
          </cell>
          <cell r="S741">
            <v>0</v>
          </cell>
        </row>
        <row r="742">
          <cell r="A742">
            <v>347</v>
          </cell>
          <cell r="B742" t="str">
            <v>Plusvalía Mercantil</v>
          </cell>
          <cell r="P742" t="str">
            <v>A0206</v>
          </cell>
          <cell r="S742">
            <v>0</v>
          </cell>
        </row>
        <row r="743">
          <cell r="A743">
            <v>3471</v>
          </cell>
          <cell r="B743" t="str">
            <v>Plusvalía mercantil</v>
          </cell>
          <cell r="P743" t="str">
            <v>A0206</v>
          </cell>
          <cell r="S743">
            <v>0</v>
          </cell>
        </row>
        <row r="744">
          <cell r="A744">
            <v>349</v>
          </cell>
          <cell r="B744" t="str">
            <v>Otros Activos Intangibles</v>
          </cell>
          <cell r="P744" t="str">
            <v>A0206</v>
          </cell>
          <cell r="S744">
            <v>0</v>
          </cell>
        </row>
        <row r="745">
          <cell r="A745">
            <v>3491</v>
          </cell>
          <cell r="B745" t="str">
            <v>Otros activos intangibles</v>
          </cell>
          <cell r="P745" t="str">
            <v>A0206</v>
          </cell>
          <cell r="S745">
            <v>0</v>
          </cell>
        </row>
        <row r="746">
          <cell r="A746">
            <v>34911</v>
          </cell>
          <cell r="B746" t="str">
            <v>Costo</v>
          </cell>
          <cell r="P746" t="str">
            <v>A0206</v>
          </cell>
          <cell r="S746">
            <v>0</v>
          </cell>
        </row>
        <row r="747">
          <cell r="A747">
            <v>34912</v>
          </cell>
          <cell r="B747" t="str">
            <v>Revaluación</v>
          </cell>
          <cell r="P747" t="str">
            <v>A0206</v>
          </cell>
          <cell r="S747">
            <v>0</v>
          </cell>
        </row>
        <row r="748">
          <cell r="A748">
            <v>35</v>
          </cell>
          <cell r="B748" t="str">
            <v>ACTIVOS BIOLÓGICOS</v>
          </cell>
          <cell r="P748" t="str">
            <v>A0216</v>
          </cell>
          <cell r="S748">
            <v>0</v>
          </cell>
        </row>
        <row r="749">
          <cell r="A749">
            <v>351</v>
          </cell>
          <cell r="B749" t="str">
            <v>Activos Biológicos en Producción</v>
          </cell>
          <cell r="P749" t="str">
            <v>A0216</v>
          </cell>
          <cell r="S749">
            <v>0</v>
          </cell>
        </row>
        <row r="750">
          <cell r="A750">
            <v>3511</v>
          </cell>
          <cell r="B750" t="str">
            <v>De origen animal</v>
          </cell>
          <cell r="P750" t="str">
            <v>A0216</v>
          </cell>
          <cell r="S750">
            <v>0</v>
          </cell>
        </row>
        <row r="751">
          <cell r="A751">
            <v>35111</v>
          </cell>
          <cell r="B751" t="str">
            <v>Valor razonable</v>
          </cell>
          <cell r="P751" t="str">
            <v>A0216</v>
          </cell>
          <cell r="S751">
            <v>0</v>
          </cell>
        </row>
        <row r="752">
          <cell r="A752">
            <v>35112</v>
          </cell>
          <cell r="B752" t="str">
            <v>Costo</v>
          </cell>
          <cell r="P752" t="str">
            <v>A0216</v>
          </cell>
          <cell r="S752">
            <v>0</v>
          </cell>
        </row>
        <row r="753">
          <cell r="A753">
            <v>35113</v>
          </cell>
          <cell r="B753" t="str">
            <v>Costo de financiación</v>
          </cell>
          <cell r="P753" t="str">
            <v>A0216</v>
          </cell>
          <cell r="S753">
            <v>0</v>
          </cell>
        </row>
        <row r="754">
          <cell r="A754">
            <v>3512</v>
          </cell>
          <cell r="B754" t="str">
            <v>De origen vegetal</v>
          </cell>
          <cell r="P754" t="str">
            <v>A0216</v>
          </cell>
          <cell r="S754">
            <v>0</v>
          </cell>
        </row>
        <row r="755">
          <cell r="A755">
            <v>35121</v>
          </cell>
          <cell r="B755" t="str">
            <v>Valor razonable</v>
          </cell>
          <cell r="P755" t="str">
            <v>A0216</v>
          </cell>
          <cell r="S755">
            <v>0</v>
          </cell>
        </row>
        <row r="756">
          <cell r="A756">
            <v>35122</v>
          </cell>
          <cell r="B756" t="str">
            <v>Costo</v>
          </cell>
          <cell r="P756" t="str">
            <v>A0216</v>
          </cell>
          <cell r="S756">
            <v>0</v>
          </cell>
        </row>
        <row r="757">
          <cell r="A757">
            <v>35123</v>
          </cell>
          <cell r="B757" t="str">
            <v>Costo de financiación</v>
          </cell>
          <cell r="P757" t="str">
            <v>A0216</v>
          </cell>
          <cell r="S757">
            <v>0</v>
          </cell>
        </row>
        <row r="758">
          <cell r="A758">
            <v>352</v>
          </cell>
          <cell r="B758" t="str">
            <v>Activos Biológicos en Desarrollo</v>
          </cell>
          <cell r="P758" t="str">
            <v>A0216</v>
          </cell>
          <cell r="S758">
            <v>0</v>
          </cell>
        </row>
        <row r="759">
          <cell r="A759">
            <v>3521</v>
          </cell>
          <cell r="B759" t="str">
            <v>De origen animal</v>
          </cell>
          <cell r="P759" t="str">
            <v>A0216</v>
          </cell>
          <cell r="S759">
            <v>0</v>
          </cell>
        </row>
        <row r="760">
          <cell r="A760">
            <v>35211</v>
          </cell>
          <cell r="B760" t="str">
            <v>Valor razonable</v>
          </cell>
          <cell r="P760" t="str">
            <v>A0216</v>
          </cell>
          <cell r="S760">
            <v>0</v>
          </cell>
        </row>
        <row r="761">
          <cell r="A761">
            <v>35212</v>
          </cell>
          <cell r="B761" t="str">
            <v>Costo</v>
          </cell>
          <cell r="P761" t="str">
            <v>A0216</v>
          </cell>
          <cell r="S761">
            <v>0</v>
          </cell>
        </row>
        <row r="762">
          <cell r="A762">
            <v>35213</v>
          </cell>
          <cell r="B762" t="str">
            <v>Costo de financiación</v>
          </cell>
          <cell r="P762" t="str">
            <v>A0216</v>
          </cell>
          <cell r="S762">
            <v>0</v>
          </cell>
        </row>
        <row r="763">
          <cell r="A763">
            <v>3522</v>
          </cell>
          <cell r="B763" t="str">
            <v>De origen vegetal</v>
          </cell>
          <cell r="P763" t="str">
            <v>A0216</v>
          </cell>
          <cell r="S763">
            <v>0</v>
          </cell>
        </row>
        <row r="764">
          <cell r="A764">
            <v>35221</v>
          </cell>
          <cell r="B764" t="str">
            <v>Valor razonable</v>
          </cell>
          <cell r="P764" t="str">
            <v>A0216</v>
          </cell>
          <cell r="S764">
            <v>0</v>
          </cell>
        </row>
        <row r="765">
          <cell r="A765">
            <v>35222</v>
          </cell>
          <cell r="B765" t="str">
            <v>Costo</v>
          </cell>
          <cell r="P765" t="str">
            <v>A0216</v>
          </cell>
          <cell r="S765">
            <v>0</v>
          </cell>
        </row>
        <row r="766">
          <cell r="A766">
            <v>35223</v>
          </cell>
          <cell r="B766" t="str">
            <v>Costo de financiación</v>
          </cell>
          <cell r="P766" t="str">
            <v>A0216</v>
          </cell>
          <cell r="S766">
            <v>0</v>
          </cell>
        </row>
        <row r="767">
          <cell r="A767">
            <v>36</v>
          </cell>
          <cell r="B767" t="str">
            <v>DESVALORIZACIÓN DE ACTIVO INMOVILIZADO</v>
          </cell>
          <cell r="P767">
            <v>0</v>
          </cell>
          <cell r="S767">
            <v>0</v>
          </cell>
        </row>
        <row r="768">
          <cell r="A768">
            <v>361</v>
          </cell>
          <cell r="B768" t="str">
            <v>Desvalorización de Inversiones Inmobiliarias</v>
          </cell>
          <cell r="P768" t="str">
            <v>A0211</v>
          </cell>
          <cell r="S768">
            <v>0</v>
          </cell>
        </row>
        <row r="769">
          <cell r="A769">
            <v>3611</v>
          </cell>
          <cell r="B769" t="str">
            <v>Terrenos</v>
          </cell>
          <cell r="P769" t="str">
            <v>A0211</v>
          </cell>
          <cell r="S769">
            <v>0</v>
          </cell>
        </row>
        <row r="770">
          <cell r="A770">
            <v>3612</v>
          </cell>
          <cell r="B770" t="str">
            <v>Edificaciones</v>
          </cell>
          <cell r="P770" t="str">
            <v>A0211</v>
          </cell>
          <cell r="S770">
            <v>0</v>
          </cell>
        </row>
        <row r="771">
          <cell r="A771">
            <v>36121</v>
          </cell>
          <cell r="B771" t="str">
            <v>Edificaciones - costo de de adquisición o construcción</v>
          </cell>
          <cell r="P771" t="str">
            <v>A0211</v>
          </cell>
          <cell r="S771">
            <v>0</v>
          </cell>
        </row>
        <row r="772">
          <cell r="A772">
            <v>36122</v>
          </cell>
          <cell r="B772" t="str">
            <v>Edificaciones - costo de financiación</v>
          </cell>
          <cell r="P772" t="str">
            <v>A0211</v>
          </cell>
          <cell r="S772">
            <v>0</v>
          </cell>
        </row>
        <row r="773">
          <cell r="A773">
            <v>363</v>
          </cell>
          <cell r="B773" t="str">
            <v>Desvalorizacion de Inmuebles, Maquinaria y Equipo</v>
          </cell>
          <cell r="P773" t="str">
            <v>A0205</v>
          </cell>
          <cell r="S773">
            <v>0</v>
          </cell>
        </row>
        <row r="774">
          <cell r="A774">
            <v>3631</v>
          </cell>
          <cell r="B774" t="str">
            <v>Terrenos</v>
          </cell>
          <cell r="P774" t="str">
            <v>A0205</v>
          </cell>
          <cell r="S774">
            <v>0</v>
          </cell>
        </row>
        <row r="775">
          <cell r="A775">
            <v>3632</v>
          </cell>
          <cell r="B775" t="str">
            <v>Edificaciones</v>
          </cell>
          <cell r="P775" t="str">
            <v>A0205</v>
          </cell>
          <cell r="S775">
            <v>0</v>
          </cell>
        </row>
        <row r="776">
          <cell r="A776">
            <v>36321</v>
          </cell>
          <cell r="B776" t="str">
            <v>Edificaciones - costo de adquisición o construcción</v>
          </cell>
          <cell r="P776" t="str">
            <v>A0205</v>
          </cell>
          <cell r="S776">
            <v>0</v>
          </cell>
        </row>
        <row r="777">
          <cell r="A777">
            <v>36322</v>
          </cell>
          <cell r="B777" t="str">
            <v>Edificaciones - costo de financiación</v>
          </cell>
          <cell r="P777" t="str">
            <v>A0205</v>
          </cell>
          <cell r="S777">
            <v>0</v>
          </cell>
        </row>
        <row r="778">
          <cell r="A778">
            <v>3633</v>
          </cell>
          <cell r="B778" t="str">
            <v>Maquinarias y equipos de explotación</v>
          </cell>
          <cell r="P778" t="str">
            <v>A0205</v>
          </cell>
          <cell r="S778">
            <v>0</v>
          </cell>
        </row>
        <row r="779">
          <cell r="A779">
            <v>36331</v>
          </cell>
          <cell r="B779" t="str">
            <v>Maquinarias y equipos de explotación - costo de adquisición o construcción</v>
          </cell>
          <cell r="P779" t="str">
            <v>A0205</v>
          </cell>
          <cell r="S779">
            <v>0</v>
          </cell>
        </row>
        <row r="780">
          <cell r="A780">
            <v>36332</v>
          </cell>
          <cell r="B780" t="str">
            <v>Maquinarias y equipos de explotación - costo de financiación</v>
          </cell>
          <cell r="P780" t="str">
            <v>A0205</v>
          </cell>
          <cell r="S780">
            <v>0</v>
          </cell>
        </row>
        <row r="781">
          <cell r="A781">
            <v>3634</v>
          </cell>
          <cell r="B781" t="str">
            <v>Equipo de transporte</v>
          </cell>
          <cell r="P781" t="str">
            <v>A0205</v>
          </cell>
          <cell r="S781">
            <v>0</v>
          </cell>
        </row>
        <row r="782">
          <cell r="A782">
            <v>3635</v>
          </cell>
          <cell r="B782" t="str">
            <v>Muebles y enseres</v>
          </cell>
          <cell r="P782" t="str">
            <v>A0205</v>
          </cell>
          <cell r="S782">
            <v>0</v>
          </cell>
        </row>
        <row r="783">
          <cell r="A783">
            <v>3636</v>
          </cell>
          <cell r="B783" t="str">
            <v>Equipos diversos</v>
          </cell>
          <cell r="P783" t="str">
            <v>A0205</v>
          </cell>
          <cell r="S783">
            <v>0</v>
          </cell>
        </row>
        <row r="784">
          <cell r="A784">
            <v>3637</v>
          </cell>
          <cell r="B784" t="str">
            <v>Herramientas y unidades de reemplazo</v>
          </cell>
          <cell r="P784" t="str">
            <v>A0205</v>
          </cell>
          <cell r="S784">
            <v>0</v>
          </cell>
        </row>
        <row r="785">
          <cell r="A785">
            <v>364</v>
          </cell>
          <cell r="B785" t="str">
            <v>Desvalorizaacion de Intangibles</v>
          </cell>
          <cell r="P785" t="str">
            <v>A0206</v>
          </cell>
          <cell r="S785">
            <v>0</v>
          </cell>
        </row>
        <row r="786">
          <cell r="A786">
            <v>3641</v>
          </cell>
          <cell r="B786" t="str">
            <v>Concesiones, licencias y otros derechos</v>
          </cell>
          <cell r="P786" t="str">
            <v>A0206</v>
          </cell>
          <cell r="S786">
            <v>0</v>
          </cell>
        </row>
        <row r="787">
          <cell r="A787">
            <v>3642</v>
          </cell>
          <cell r="B787" t="str">
            <v>Patentes y propiedad industrial</v>
          </cell>
          <cell r="P787" t="str">
            <v>A0206</v>
          </cell>
          <cell r="S787">
            <v>0</v>
          </cell>
        </row>
        <row r="788">
          <cell r="A788">
            <v>3643</v>
          </cell>
          <cell r="B788" t="str">
            <v>Programas de computadora (software)</v>
          </cell>
          <cell r="P788" t="str">
            <v>A0206</v>
          </cell>
          <cell r="S788">
            <v>0</v>
          </cell>
        </row>
        <row r="789">
          <cell r="A789">
            <v>3644</v>
          </cell>
          <cell r="B789" t="str">
            <v>Costos de exploración y desarrollo</v>
          </cell>
          <cell r="P789" t="str">
            <v>A0206</v>
          </cell>
          <cell r="S789">
            <v>0</v>
          </cell>
        </row>
        <row r="790">
          <cell r="A790">
            <v>36441</v>
          </cell>
          <cell r="B790" t="str">
            <v>Costo</v>
          </cell>
          <cell r="P790" t="str">
            <v>A0206</v>
          </cell>
          <cell r="S790">
            <v>0</v>
          </cell>
        </row>
        <row r="791">
          <cell r="A791">
            <v>36442</v>
          </cell>
          <cell r="B791" t="str">
            <v>Costo de financiación</v>
          </cell>
          <cell r="P791" t="str">
            <v>A0206</v>
          </cell>
          <cell r="S791">
            <v>0</v>
          </cell>
        </row>
        <row r="792">
          <cell r="A792">
            <v>3645</v>
          </cell>
          <cell r="B792" t="str">
            <v>Fórmulas, diseños y prototipos</v>
          </cell>
          <cell r="P792" t="str">
            <v>A0206</v>
          </cell>
          <cell r="S792">
            <v>0</v>
          </cell>
        </row>
        <row r="793">
          <cell r="A793">
            <v>3647</v>
          </cell>
          <cell r="B793" t="str">
            <v>Plusvalía mercantil</v>
          </cell>
          <cell r="P793" t="str">
            <v>A0206</v>
          </cell>
          <cell r="S793">
            <v>0</v>
          </cell>
        </row>
        <row r="794">
          <cell r="A794">
            <v>3649</v>
          </cell>
          <cell r="B794" t="str">
            <v>Otros activos intangibles</v>
          </cell>
          <cell r="P794" t="str">
            <v>A0206</v>
          </cell>
          <cell r="S794">
            <v>0</v>
          </cell>
        </row>
        <row r="795">
          <cell r="A795">
            <v>365</v>
          </cell>
          <cell r="B795" t="str">
            <v>Desvalorización de Activos Biológicos</v>
          </cell>
          <cell r="P795" t="str">
            <v>A0216</v>
          </cell>
          <cell r="S795">
            <v>0</v>
          </cell>
        </row>
        <row r="796">
          <cell r="A796">
            <v>3651</v>
          </cell>
          <cell r="B796" t="str">
            <v>Activos biológicos en producción</v>
          </cell>
          <cell r="P796" t="str">
            <v>A0216</v>
          </cell>
          <cell r="S796">
            <v>0</v>
          </cell>
        </row>
        <row r="797">
          <cell r="A797">
            <v>3652</v>
          </cell>
          <cell r="B797" t="str">
            <v>Activos biológicos en desarrollo</v>
          </cell>
          <cell r="P797" t="str">
            <v>A0216</v>
          </cell>
          <cell r="S797">
            <v>0</v>
          </cell>
        </row>
        <row r="798">
          <cell r="A798">
            <v>36521</v>
          </cell>
          <cell r="B798" t="str">
            <v>Costo</v>
          </cell>
          <cell r="P798" t="str">
            <v>A0216</v>
          </cell>
          <cell r="S798">
            <v>0</v>
          </cell>
        </row>
        <row r="799">
          <cell r="A799">
            <v>36522</v>
          </cell>
          <cell r="B799" t="str">
            <v>Costo de financiación</v>
          </cell>
          <cell r="P799" t="str">
            <v>A0216</v>
          </cell>
          <cell r="S799">
            <v>0</v>
          </cell>
        </row>
        <row r="800">
          <cell r="A800">
            <v>366</v>
          </cell>
          <cell r="B800" t="str">
            <v>Desvalorización de Inversiones Inmoboliarias</v>
          </cell>
          <cell r="P800" t="str">
            <v>A0215</v>
          </cell>
          <cell r="S800">
            <v>0</v>
          </cell>
        </row>
        <row r="801">
          <cell r="A801">
            <v>3661</v>
          </cell>
          <cell r="B801" t="str">
            <v>Inversiones a ser mantenidas hasta el vencimiento</v>
          </cell>
          <cell r="P801" t="str">
            <v>A0215</v>
          </cell>
          <cell r="S801">
            <v>0</v>
          </cell>
        </row>
        <row r="802">
          <cell r="A802">
            <v>3662</v>
          </cell>
          <cell r="B802" t="str">
            <v>Inversiones financeras representativas de derecho patrimonial</v>
          </cell>
          <cell r="P802" t="str">
            <v>A0210</v>
          </cell>
          <cell r="S802">
            <v>0</v>
          </cell>
        </row>
        <row r="803">
          <cell r="A803">
            <v>37</v>
          </cell>
          <cell r="B803" t="str">
            <v>ACTIVO DIFERIDO</v>
          </cell>
          <cell r="P803" t="str">
            <v>A0207</v>
          </cell>
          <cell r="S803">
            <v>0</v>
          </cell>
        </row>
        <row r="804">
          <cell r="A804">
            <v>371</v>
          </cell>
          <cell r="B804" t="str">
            <v>Impuesto a la Renta Diferido</v>
          </cell>
          <cell r="P804" t="str">
            <v>A0207</v>
          </cell>
          <cell r="S804">
            <v>0</v>
          </cell>
        </row>
        <row r="805">
          <cell r="A805">
            <v>3711</v>
          </cell>
          <cell r="B805" t="str">
            <v>Impuesto a la renta diferido - patrimonio</v>
          </cell>
          <cell r="P805" t="str">
            <v>A0207</v>
          </cell>
          <cell r="S805">
            <v>0</v>
          </cell>
        </row>
        <row r="806">
          <cell r="A806">
            <v>3712</v>
          </cell>
          <cell r="B806" t="str">
            <v>Impuesto a la renta diferido - resusltados</v>
          </cell>
          <cell r="P806" t="str">
            <v>A0207</v>
          </cell>
          <cell r="S806">
            <v>0</v>
          </cell>
        </row>
        <row r="807">
          <cell r="A807">
            <v>372</v>
          </cell>
          <cell r="B807" t="str">
            <v>Participaciones de los Trabajadores Diferidas</v>
          </cell>
          <cell r="P807" t="str">
            <v>A0207</v>
          </cell>
          <cell r="S807">
            <v>0</v>
          </cell>
        </row>
        <row r="808">
          <cell r="A808">
            <v>3721</v>
          </cell>
          <cell r="B808" t="str">
            <v>Participaciones de los trabajadores diferidas - patrimonio</v>
          </cell>
          <cell r="P808" t="str">
            <v>A0207</v>
          </cell>
          <cell r="S808">
            <v>0</v>
          </cell>
        </row>
        <row r="809">
          <cell r="A809">
            <v>3722</v>
          </cell>
          <cell r="B809" t="str">
            <v>Participaciones de los trabajadores diferidas - resultados</v>
          </cell>
          <cell r="P809" t="str">
            <v>A0207</v>
          </cell>
          <cell r="S809">
            <v>0</v>
          </cell>
        </row>
        <row r="810">
          <cell r="A810">
            <v>373</v>
          </cell>
          <cell r="B810" t="str">
            <v>Intereses Diferidos</v>
          </cell>
          <cell r="P810" t="str">
            <v>P0302</v>
          </cell>
          <cell r="S810">
            <v>0</v>
          </cell>
        </row>
        <row r="811">
          <cell r="A811">
            <v>3731</v>
          </cell>
          <cell r="B811" t="str">
            <v>Intereses no devengados en transacciones con terceros</v>
          </cell>
          <cell r="P811" t="str">
            <v>P0302</v>
          </cell>
          <cell r="S811">
            <v>0</v>
          </cell>
        </row>
        <row r="812">
          <cell r="A812">
            <v>3732</v>
          </cell>
          <cell r="B812" t="str">
            <v>Intereses no devengados en medición a valor descontado</v>
          </cell>
          <cell r="P812" t="str">
            <v>P0302</v>
          </cell>
          <cell r="S812">
            <v>0</v>
          </cell>
        </row>
        <row r="813">
          <cell r="A813">
            <v>38</v>
          </cell>
          <cell r="B813" t="str">
            <v>OTROS ACTIVOS</v>
          </cell>
          <cell r="P813" t="str">
            <v>A0208</v>
          </cell>
          <cell r="S813">
            <v>0</v>
          </cell>
        </row>
        <row r="814">
          <cell r="A814">
            <v>381</v>
          </cell>
          <cell r="B814" t="str">
            <v>Bienes de Arte y Cultura</v>
          </cell>
          <cell r="P814" t="str">
            <v>A0208</v>
          </cell>
          <cell r="S814">
            <v>0</v>
          </cell>
        </row>
        <row r="815">
          <cell r="A815">
            <v>3811</v>
          </cell>
          <cell r="B815" t="str">
            <v>Obras de arte</v>
          </cell>
          <cell r="P815" t="str">
            <v>A0208</v>
          </cell>
          <cell r="S815">
            <v>0</v>
          </cell>
        </row>
        <row r="816">
          <cell r="A816">
            <v>3812</v>
          </cell>
          <cell r="B816" t="str">
            <v>Biblioteca</v>
          </cell>
          <cell r="P816" t="str">
            <v>A0208</v>
          </cell>
          <cell r="S816">
            <v>0</v>
          </cell>
        </row>
        <row r="817">
          <cell r="A817">
            <v>3813</v>
          </cell>
          <cell r="B817" t="str">
            <v>Otros</v>
          </cell>
          <cell r="P817" t="str">
            <v>A0208</v>
          </cell>
          <cell r="S817">
            <v>0</v>
          </cell>
        </row>
        <row r="818">
          <cell r="A818">
            <v>382</v>
          </cell>
          <cell r="B818" t="str">
            <v>Diversos</v>
          </cell>
          <cell r="P818" t="str">
            <v>A0208</v>
          </cell>
          <cell r="S818">
            <v>0</v>
          </cell>
        </row>
        <row r="819">
          <cell r="A819">
            <v>3821</v>
          </cell>
          <cell r="B819" t="str">
            <v>Monedas y joyas</v>
          </cell>
          <cell r="P819" t="str">
            <v>A0208</v>
          </cell>
          <cell r="S819">
            <v>0</v>
          </cell>
        </row>
        <row r="820">
          <cell r="A820">
            <v>3822</v>
          </cell>
          <cell r="B820" t="str">
            <v>Bienes entregados en comodato</v>
          </cell>
          <cell r="P820" t="str">
            <v>A0208</v>
          </cell>
          <cell r="S820">
            <v>0</v>
          </cell>
        </row>
        <row r="821">
          <cell r="A821">
            <v>3823</v>
          </cell>
          <cell r="B821" t="str">
            <v>Bienes recibidos en pago (adjudicados y realizables)</v>
          </cell>
          <cell r="P821" t="str">
            <v>A0208</v>
          </cell>
          <cell r="S821">
            <v>0</v>
          </cell>
        </row>
        <row r="822">
          <cell r="A822">
            <v>3829</v>
          </cell>
          <cell r="B822" t="str">
            <v>Otros</v>
          </cell>
          <cell r="P822" t="str">
            <v>A0208</v>
          </cell>
          <cell r="S822">
            <v>0</v>
          </cell>
        </row>
        <row r="823">
          <cell r="A823">
            <v>39</v>
          </cell>
          <cell r="B823" t="str">
            <v>DEPRECIACIÓN, AMORTIZACIÓN Y AGOTAMIENTO ACUMULADOS</v>
          </cell>
          <cell r="P823" t="str">
            <v>A0205</v>
          </cell>
          <cell r="S823">
            <v>0</v>
          </cell>
        </row>
        <row r="824">
          <cell r="A824">
            <v>391</v>
          </cell>
          <cell r="B824" t="str">
            <v>Depreciación Acumulada</v>
          </cell>
          <cell r="P824" t="str">
            <v>A0205</v>
          </cell>
          <cell r="S824">
            <v>0</v>
          </cell>
        </row>
        <row r="825">
          <cell r="A825">
            <v>3911</v>
          </cell>
          <cell r="B825" t="str">
            <v>Inversiones inmobiliarias</v>
          </cell>
          <cell r="P825" t="str">
            <v>A0211</v>
          </cell>
          <cell r="S825">
            <v>0</v>
          </cell>
        </row>
        <row r="826">
          <cell r="A826">
            <v>39111</v>
          </cell>
          <cell r="B826" t="str">
            <v>Edificaciones - costo de adquisición o construcción</v>
          </cell>
          <cell r="P826" t="str">
            <v>A0211</v>
          </cell>
          <cell r="S826">
            <v>0</v>
          </cell>
        </row>
        <row r="827">
          <cell r="A827">
            <v>39112</v>
          </cell>
          <cell r="B827" t="str">
            <v>Edificaciones - revaluación</v>
          </cell>
          <cell r="P827" t="str">
            <v>A0211</v>
          </cell>
          <cell r="S827">
            <v>0</v>
          </cell>
        </row>
        <row r="828">
          <cell r="A828">
            <v>39113</v>
          </cell>
          <cell r="B828" t="str">
            <v>Edificaciones - costo de financiación</v>
          </cell>
          <cell r="P828" t="str">
            <v>A0211</v>
          </cell>
          <cell r="S828">
            <v>0</v>
          </cell>
        </row>
        <row r="829">
          <cell r="A829">
            <v>3912</v>
          </cell>
          <cell r="B829" t="str">
            <v>Activos adquiridos en arrendamiento financiero</v>
          </cell>
          <cell r="P829" t="str">
            <v>A0205</v>
          </cell>
          <cell r="S829">
            <v>0</v>
          </cell>
        </row>
        <row r="830">
          <cell r="A830">
            <v>39121</v>
          </cell>
          <cell r="B830" t="str">
            <v>Inversiones inmobiliarias - edificaciones</v>
          </cell>
          <cell r="P830" t="str">
            <v>A0205</v>
          </cell>
          <cell r="S830">
            <v>0</v>
          </cell>
        </row>
        <row r="831">
          <cell r="A831">
            <v>39122</v>
          </cell>
          <cell r="B831" t="str">
            <v>Inmuebles, maquinaria y equipo - edificaciones</v>
          </cell>
          <cell r="P831" t="str">
            <v>A0205</v>
          </cell>
          <cell r="S831">
            <v>0</v>
          </cell>
        </row>
        <row r="832">
          <cell r="A832">
            <v>39123</v>
          </cell>
          <cell r="B832" t="str">
            <v>Inmuebles, maquinaria y equipo - maquinarias y equipos de explotación</v>
          </cell>
          <cell r="P832" t="str">
            <v>A0205</v>
          </cell>
          <cell r="S832">
            <v>0</v>
          </cell>
        </row>
        <row r="833">
          <cell r="A833">
            <v>39124</v>
          </cell>
          <cell r="B833" t="str">
            <v>Inmuebles, maquinaria y equipo - equipos de transporte</v>
          </cell>
          <cell r="P833" t="str">
            <v>A0205</v>
          </cell>
          <cell r="S833">
            <v>0</v>
          </cell>
        </row>
        <row r="834">
          <cell r="A834">
            <v>39126</v>
          </cell>
          <cell r="B834" t="str">
            <v>Inmuebles, maquinaria y equipo - equipos diversos</v>
          </cell>
          <cell r="P834" t="str">
            <v>A0205</v>
          </cell>
          <cell r="S834">
            <v>0</v>
          </cell>
        </row>
        <row r="835">
          <cell r="A835">
            <v>3913</v>
          </cell>
          <cell r="B835" t="str">
            <v>Inmuebles, maquinaria y equipo - costo</v>
          </cell>
          <cell r="P835" t="str">
            <v>A0205</v>
          </cell>
          <cell r="S835">
            <v>0</v>
          </cell>
        </row>
        <row r="836">
          <cell r="A836">
            <v>39131</v>
          </cell>
          <cell r="B836" t="str">
            <v>Edificaciones</v>
          </cell>
          <cell r="P836" t="str">
            <v>A0205</v>
          </cell>
          <cell r="S836">
            <v>0</v>
          </cell>
        </row>
        <row r="837">
          <cell r="A837">
            <v>391312</v>
          </cell>
          <cell r="B837" t="str">
            <v>escuelas</v>
          </cell>
          <cell r="P837" t="str">
            <v>A0205</v>
          </cell>
          <cell r="S837">
            <v>0</v>
          </cell>
        </row>
        <row r="838">
          <cell r="A838">
            <v>391311</v>
          </cell>
          <cell r="B838" t="str">
            <v>campamentos</v>
          </cell>
          <cell r="P838" t="str">
            <v>A0205</v>
          </cell>
          <cell r="S838">
            <v>0</v>
          </cell>
        </row>
        <row r="839">
          <cell r="A839">
            <v>39132</v>
          </cell>
          <cell r="B839" t="str">
            <v>Maquinarias y equipos de explotación</v>
          </cell>
          <cell r="P839" t="str">
            <v>A0205</v>
          </cell>
          <cell r="S839">
            <v>0</v>
          </cell>
        </row>
        <row r="840">
          <cell r="A840">
            <v>391329</v>
          </cell>
          <cell r="B840" t="str">
            <v>ruedas pelton</v>
          </cell>
          <cell r="P840" t="str">
            <v>A0205</v>
          </cell>
          <cell r="S840">
            <v>0</v>
          </cell>
        </row>
        <row r="841">
          <cell r="A841">
            <v>391328</v>
          </cell>
          <cell r="B841" t="str">
            <v>transformadoras</v>
          </cell>
          <cell r="P841" t="str">
            <v>A0205</v>
          </cell>
          <cell r="S841">
            <v>0</v>
          </cell>
        </row>
        <row r="842">
          <cell r="A842">
            <v>391327</v>
          </cell>
          <cell r="B842" t="str">
            <v>turbinas</v>
          </cell>
          <cell r="P842" t="str">
            <v>A0205</v>
          </cell>
          <cell r="S842">
            <v>0</v>
          </cell>
        </row>
        <row r="843">
          <cell r="A843">
            <v>391326</v>
          </cell>
          <cell r="B843" t="str">
            <v>celdas de flotacion</v>
          </cell>
          <cell r="P843" t="str">
            <v>A0205</v>
          </cell>
          <cell r="S843">
            <v>0</v>
          </cell>
        </row>
        <row r="844">
          <cell r="A844">
            <v>391325</v>
          </cell>
          <cell r="B844" t="str">
            <v>molinos</v>
          </cell>
          <cell r="P844" t="str">
            <v>A0205</v>
          </cell>
          <cell r="S844">
            <v>0</v>
          </cell>
        </row>
        <row r="845">
          <cell r="A845">
            <v>391324</v>
          </cell>
          <cell r="B845" t="str">
            <v>fajas transportadoras</v>
          </cell>
          <cell r="P845" t="str">
            <v>A0205</v>
          </cell>
          <cell r="S845">
            <v>0</v>
          </cell>
        </row>
        <row r="846">
          <cell r="A846">
            <v>391323</v>
          </cell>
          <cell r="B846" t="str">
            <v>camion bajo perfil y carros mineros</v>
          </cell>
          <cell r="P846" t="str">
            <v>A0205</v>
          </cell>
          <cell r="S846">
            <v>0</v>
          </cell>
        </row>
        <row r="847">
          <cell r="A847">
            <v>391322</v>
          </cell>
          <cell r="B847" t="str">
            <v>cargador frontal</v>
          </cell>
          <cell r="P847" t="str">
            <v>A0205</v>
          </cell>
          <cell r="S847">
            <v>0</v>
          </cell>
        </row>
        <row r="848">
          <cell r="A848">
            <v>391321</v>
          </cell>
          <cell r="B848" t="str">
            <v>perforadoras</v>
          </cell>
          <cell r="P848" t="str">
            <v>A0205</v>
          </cell>
          <cell r="S848">
            <v>0</v>
          </cell>
        </row>
        <row r="849">
          <cell r="A849">
            <v>39133</v>
          </cell>
          <cell r="B849" t="str">
            <v>Equipo de transporte</v>
          </cell>
          <cell r="P849" t="str">
            <v>A0205</v>
          </cell>
          <cell r="S849">
            <v>0</v>
          </cell>
        </row>
        <row r="850">
          <cell r="A850">
            <v>391331</v>
          </cell>
          <cell r="B850" t="str">
            <v>vehiculos ligeros</v>
          </cell>
          <cell r="P850" t="str">
            <v>A0205</v>
          </cell>
          <cell r="S850">
            <v>0</v>
          </cell>
        </row>
        <row r="851">
          <cell r="A851">
            <v>39134</v>
          </cell>
          <cell r="B851" t="str">
            <v>Depreciación acumulada muebles y enseres</v>
          </cell>
          <cell r="P851" t="str">
            <v>A0205</v>
          </cell>
          <cell r="S851">
            <v>0</v>
          </cell>
        </row>
        <row r="852">
          <cell r="A852">
            <v>391341</v>
          </cell>
          <cell r="B852" t="str">
            <v>muebles</v>
          </cell>
          <cell r="P852" t="str">
            <v>A0205</v>
          </cell>
          <cell r="S852">
            <v>0</v>
          </cell>
        </row>
        <row r="853">
          <cell r="A853">
            <v>39135</v>
          </cell>
          <cell r="B853" t="str">
            <v>Depreciación acumulada equipos diversos</v>
          </cell>
          <cell r="P853" t="str">
            <v>A0205</v>
          </cell>
          <cell r="S853">
            <v>0</v>
          </cell>
        </row>
        <row r="854">
          <cell r="A854">
            <v>391351</v>
          </cell>
          <cell r="B854" t="str">
            <v>computador</v>
          </cell>
          <cell r="P854" t="str">
            <v>A0205</v>
          </cell>
          <cell r="S854">
            <v>0</v>
          </cell>
        </row>
        <row r="855">
          <cell r="A855">
            <v>39136</v>
          </cell>
          <cell r="B855" t="str">
            <v>Herramientas y unidades de reemplazo</v>
          </cell>
          <cell r="P855" t="str">
            <v>A0205</v>
          </cell>
          <cell r="S855">
            <v>0</v>
          </cell>
        </row>
        <row r="856">
          <cell r="A856">
            <v>3914</v>
          </cell>
          <cell r="B856" t="str">
            <v>Inmuebles, maquinaria y equipo - revaluación</v>
          </cell>
          <cell r="P856" t="str">
            <v>A0205</v>
          </cell>
          <cell r="S856">
            <v>0</v>
          </cell>
        </row>
        <row r="857">
          <cell r="A857">
            <v>39141</v>
          </cell>
          <cell r="B857" t="str">
            <v>Edificaciones</v>
          </cell>
          <cell r="P857" t="str">
            <v>A0205</v>
          </cell>
          <cell r="S857">
            <v>0</v>
          </cell>
        </row>
        <row r="858">
          <cell r="A858">
            <v>39142</v>
          </cell>
          <cell r="B858" t="str">
            <v>Maquinarias y equipos de explotación</v>
          </cell>
          <cell r="P858" t="str">
            <v>A0205</v>
          </cell>
          <cell r="S858">
            <v>0</v>
          </cell>
        </row>
        <row r="859">
          <cell r="A859">
            <v>39143</v>
          </cell>
          <cell r="B859" t="str">
            <v>Equipo de transporte</v>
          </cell>
          <cell r="P859" t="str">
            <v>A0205</v>
          </cell>
          <cell r="S859">
            <v>0</v>
          </cell>
        </row>
        <row r="860">
          <cell r="A860">
            <v>39144</v>
          </cell>
          <cell r="B860" t="str">
            <v>Muebles y enseres</v>
          </cell>
          <cell r="P860" t="str">
            <v>A0205</v>
          </cell>
          <cell r="S860">
            <v>0</v>
          </cell>
        </row>
        <row r="861">
          <cell r="A861">
            <v>39145</v>
          </cell>
          <cell r="B861" t="str">
            <v>Equipos diversos</v>
          </cell>
          <cell r="P861" t="str">
            <v>A0205</v>
          </cell>
          <cell r="S861">
            <v>0</v>
          </cell>
        </row>
        <row r="862">
          <cell r="A862">
            <v>39146</v>
          </cell>
          <cell r="B862" t="str">
            <v>Herramientas y unidades de reemplazo</v>
          </cell>
          <cell r="P862" t="str">
            <v>A0205</v>
          </cell>
          <cell r="S862">
            <v>0</v>
          </cell>
        </row>
        <row r="863">
          <cell r="A863">
            <v>3915</v>
          </cell>
          <cell r="B863" t="str">
            <v>Inmuebles, maquinaria y equipo – costo de financiación</v>
          </cell>
          <cell r="P863" t="str">
            <v>A0205</v>
          </cell>
          <cell r="S863">
            <v>0</v>
          </cell>
        </row>
        <row r="864">
          <cell r="A864">
            <v>39151</v>
          </cell>
          <cell r="B864" t="str">
            <v>Edificaciones</v>
          </cell>
          <cell r="P864" t="str">
            <v>A0205</v>
          </cell>
          <cell r="S864">
            <v>0</v>
          </cell>
        </row>
        <row r="865">
          <cell r="A865">
            <v>39152</v>
          </cell>
          <cell r="B865" t="str">
            <v>Maquinarias y equipos de explotación</v>
          </cell>
          <cell r="P865" t="str">
            <v>A0205</v>
          </cell>
          <cell r="S865">
            <v>0</v>
          </cell>
        </row>
        <row r="866">
          <cell r="A866">
            <v>3916</v>
          </cell>
          <cell r="B866" t="str">
            <v>Activos biológicos en producción – costo</v>
          </cell>
          <cell r="P866" t="str">
            <v>A0216</v>
          </cell>
          <cell r="S866">
            <v>0</v>
          </cell>
        </row>
        <row r="867">
          <cell r="A867">
            <v>39161</v>
          </cell>
          <cell r="B867" t="str">
            <v>Activos biológicos de origen animal</v>
          </cell>
          <cell r="P867" t="str">
            <v>A0216</v>
          </cell>
          <cell r="S867">
            <v>0</v>
          </cell>
        </row>
        <row r="868">
          <cell r="A868">
            <v>39162</v>
          </cell>
          <cell r="B868" t="str">
            <v>Activos biológicos de origen vegetal</v>
          </cell>
          <cell r="P868" t="str">
            <v>A0216</v>
          </cell>
          <cell r="S868">
            <v>0</v>
          </cell>
        </row>
        <row r="869">
          <cell r="A869">
            <v>3917</v>
          </cell>
          <cell r="B869" t="str">
            <v>Activos biológicos en producción – costo de financiación</v>
          </cell>
          <cell r="P869" t="str">
            <v>A0216</v>
          </cell>
          <cell r="S869">
            <v>0</v>
          </cell>
        </row>
        <row r="870">
          <cell r="A870">
            <v>39171</v>
          </cell>
          <cell r="B870" t="str">
            <v>Activos biológicos de origen animal</v>
          </cell>
          <cell r="P870" t="str">
            <v>A0216</v>
          </cell>
          <cell r="S870">
            <v>0</v>
          </cell>
        </row>
        <row r="871">
          <cell r="A871">
            <v>39172</v>
          </cell>
          <cell r="B871" t="str">
            <v>Activos biológicos de origen vegetal</v>
          </cell>
          <cell r="P871" t="str">
            <v>A0216</v>
          </cell>
          <cell r="S871">
            <v>0</v>
          </cell>
        </row>
        <row r="872">
          <cell r="A872">
            <v>392</v>
          </cell>
          <cell r="B872" t="str">
            <v>Amortización Acumulada</v>
          </cell>
          <cell r="P872">
            <v>0</v>
          </cell>
          <cell r="S872">
            <v>0</v>
          </cell>
        </row>
        <row r="873">
          <cell r="A873">
            <v>3921</v>
          </cell>
          <cell r="B873" t="str">
            <v>Intangibles - costo</v>
          </cell>
          <cell r="P873" t="str">
            <v>A0206</v>
          </cell>
          <cell r="S873">
            <v>0</v>
          </cell>
        </row>
        <row r="874">
          <cell r="A874">
            <v>39211</v>
          </cell>
          <cell r="B874" t="str">
            <v>Concesiones, licencias y otros derechos</v>
          </cell>
          <cell r="P874" t="str">
            <v>A0206</v>
          </cell>
          <cell r="S874">
            <v>0</v>
          </cell>
        </row>
        <row r="875">
          <cell r="A875">
            <v>39212</v>
          </cell>
          <cell r="B875" t="str">
            <v>Patentes y propiedad industrial</v>
          </cell>
          <cell r="P875" t="str">
            <v>A0206</v>
          </cell>
          <cell r="S875">
            <v>0</v>
          </cell>
        </row>
        <row r="876">
          <cell r="A876">
            <v>39213</v>
          </cell>
          <cell r="B876" t="str">
            <v>Programas de computadora (software)</v>
          </cell>
          <cell r="P876" t="str">
            <v>A0206</v>
          </cell>
          <cell r="S876">
            <v>0</v>
          </cell>
        </row>
        <row r="877">
          <cell r="A877">
            <v>39214</v>
          </cell>
          <cell r="B877" t="str">
            <v>Costos de exploración y desarrollo</v>
          </cell>
          <cell r="P877" t="str">
            <v>A0206</v>
          </cell>
          <cell r="S877">
            <v>0</v>
          </cell>
        </row>
        <row r="878">
          <cell r="A878">
            <v>39215</v>
          </cell>
          <cell r="B878" t="str">
            <v>Fórmulas, diseños y prototipos</v>
          </cell>
          <cell r="P878" t="str">
            <v>A0206</v>
          </cell>
          <cell r="S878">
            <v>0</v>
          </cell>
        </row>
        <row r="879">
          <cell r="A879">
            <v>39219</v>
          </cell>
          <cell r="B879" t="str">
            <v>Otros activos intangibles</v>
          </cell>
          <cell r="P879" t="str">
            <v>A0206</v>
          </cell>
          <cell r="S879">
            <v>0</v>
          </cell>
        </row>
        <row r="880">
          <cell r="A880">
            <v>3922</v>
          </cell>
          <cell r="B880" t="str">
            <v>Intangibles - revaluación</v>
          </cell>
          <cell r="P880" t="str">
            <v>A0206</v>
          </cell>
          <cell r="S880">
            <v>0</v>
          </cell>
        </row>
        <row r="881">
          <cell r="A881">
            <v>39221</v>
          </cell>
          <cell r="B881" t="str">
            <v>Concesiones, licencias y otros derechos</v>
          </cell>
          <cell r="P881" t="str">
            <v>A0206</v>
          </cell>
          <cell r="S881">
            <v>0</v>
          </cell>
        </row>
        <row r="882">
          <cell r="A882">
            <v>39222</v>
          </cell>
          <cell r="B882" t="str">
            <v>Patentes y propiedad industrial</v>
          </cell>
          <cell r="P882" t="str">
            <v>A0206</v>
          </cell>
          <cell r="S882">
            <v>0</v>
          </cell>
        </row>
        <row r="883">
          <cell r="A883">
            <v>39223</v>
          </cell>
          <cell r="B883" t="str">
            <v>Programas de computadora (software)</v>
          </cell>
          <cell r="P883" t="str">
            <v>A0206</v>
          </cell>
          <cell r="S883">
            <v>0</v>
          </cell>
        </row>
        <row r="884">
          <cell r="A884">
            <v>39224</v>
          </cell>
          <cell r="B884" t="str">
            <v>Costo de exploracion y desarrollo</v>
          </cell>
          <cell r="P884" t="str">
            <v>A0206</v>
          </cell>
          <cell r="S884">
            <v>0</v>
          </cell>
        </row>
        <row r="885">
          <cell r="A885">
            <v>39225</v>
          </cell>
          <cell r="B885" t="str">
            <v>Fórmulas, diseños y prototipos</v>
          </cell>
          <cell r="P885" t="str">
            <v>A0206</v>
          </cell>
          <cell r="S885">
            <v>0</v>
          </cell>
        </row>
        <row r="886">
          <cell r="A886">
            <v>39229</v>
          </cell>
          <cell r="B886" t="str">
            <v>Otros activos intangibles</v>
          </cell>
          <cell r="P886" t="str">
            <v>A0206</v>
          </cell>
          <cell r="S886">
            <v>0</v>
          </cell>
        </row>
        <row r="887">
          <cell r="A887">
            <v>3923</v>
          </cell>
          <cell r="B887" t="str">
            <v>Intagibles - costo de financiacion</v>
          </cell>
          <cell r="P887" t="str">
            <v>A0206</v>
          </cell>
          <cell r="S887">
            <v>0</v>
          </cell>
        </row>
        <row r="888">
          <cell r="A888">
            <v>39234</v>
          </cell>
          <cell r="B888" t="str">
            <v>Costo de exploracion y desarrollo</v>
          </cell>
          <cell r="P888" t="str">
            <v>A0206</v>
          </cell>
          <cell r="S888">
            <v>0</v>
          </cell>
        </row>
        <row r="889">
          <cell r="A889">
            <v>393</v>
          </cell>
          <cell r="B889" t="str">
            <v>Agotamiento acumulado</v>
          </cell>
          <cell r="P889">
            <v>0</v>
          </cell>
          <cell r="S889">
            <v>0</v>
          </cell>
        </row>
        <row r="890">
          <cell r="A890">
            <v>3931</v>
          </cell>
          <cell r="B890" t="str">
            <v>Agotamiento de reservas de recursos extraíbles</v>
          </cell>
          <cell r="P890">
            <v>0</v>
          </cell>
          <cell r="S890">
            <v>0</v>
          </cell>
        </row>
        <row r="891">
          <cell r="A891">
            <v>40</v>
          </cell>
          <cell r="B891" t="str">
            <v>TRIBUTOS Y APORTES AL SISTEMA DE PENSIONES Y DE SALUD POR PAGAR</v>
          </cell>
          <cell r="P891" t="str">
            <v>P0304</v>
          </cell>
          <cell r="S891">
            <v>0</v>
          </cell>
        </row>
        <row r="892">
          <cell r="A892">
            <v>401</v>
          </cell>
          <cell r="B892" t="str">
            <v>Gobierno Central</v>
          </cell>
          <cell r="P892" t="str">
            <v>P0304</v>
          </cell>
          <cell r="S892">
            <v>0</v>
          </cell>
        </row>
        <row r="893">
          <cell r="A893">
            <v>4011</v>
          </cell>
          <cell r="B893" t="str">
            <v>Impuesto general a las ventas</v>
          </cell>
          <cell r="P893" t="str">
            <v>P0304</v>
          </cell>
          <cell r="S893">
            <v>0</v>
          </cell>
        </row>
        <row r="894">
          <cell r="A894">
            <v>40111</v>
          </cell>
          <cell r="B894" t="str">
            <v>IGV - cuenta propia</v>
          </cell>
          <cell r="P894" t="str">
            <v>A0105</v>
          </cell>
          <cell r="S894">
            <v>5220</v>
          </cell>
        </row>
        <row r="895">
          <cell r="A895">
            <v>40112</v>
          </cell>
          <cell r="B895" t="str">
            <v>IGV - servicios prestados por no domiciliados</v>
          </cell>
          <cell r="P895" t="str">
            <v>P0304</v>
          </cell>
          <cell r="S895">
            <v>0</v>
          </cell>
        </row>
        <row r="896">
          <cell r="A896">
            <v>40113</v>
          </cell>
          <cell r="B896" t="str">
            <v>IGV - régimen de percepciones</v>
          </cell>
          <cell r="P896" t="str">
            <v>P0304</v>
          </cell>
          <cell r="S896">
            <v>0</v>
          </cell>
        </row>
        <row r="897">
          <cell r="A897">
            <v>40114</v>
          </cell>
          <cell r="B897" t="str">
            <v>IGV - régimen de retenciones</v>
          </cell>
          <cell r="P897" t="str">
            <v>P0304</v>
          </cell>
          <cell r="S897">
            <v>0</v>
          </cell>
        </row>
        <row r="898">
          <cell r="A898">
            <v>40115</v>
          </cell>
          <cell r="B898" t="str">
            <v>IGV - por aplicar</v>
          </cell>
          <cell r="P898" t="str">
            <v>P0304</v>
          </cell>
          <cell r="S898">
            <v>0</v>
          </cell>
        </row>
        <row r="899">
          <cell r="A899">
            <v>4012</v>
          </cell>
          <cell r="B899" t="str">
            <v>Impuesto selectivo al consumo</v>
          </cell>
          <cell r="P899" t="str">
            <v>P0304</v>
          </cell>
          <cell r="S899">
            <v>0</v>
          </cell>
        </row>
        <row r="900">
          <cell r="A900">
            <v>4015</v>
          </cell>
          <cell r="B900" t="str">
            <v>Derechos aduaneros</v>
          </cell>
          <cell r="P900" t="str">
            <v>P0304</v>
          </cell>
          <cell r="S900">
            <v>0</v>
          </cell>
        </row>
        <row r="901">
          <cell r="A901">
            <v>40151</v>
          </cell>
          <cell r="B901" t="str">
            <v>Derechos arancelarios</v>
          </cell>
          <cell r="P901" t="str">
            <v>P0304</v>
          </cell>
          <cell r="S901">
            <v>0</v>
          </cell>
        </row>
        <row r="902">
          <cell r="A902">
            <v>40152</v>
          </cell>
          <cell r="B902" t="str">
            <v>Derechos aduaneros por ventas</v>
          </cell>
          <cell r="P902" t="str">
            <v>P0304</v>
          </cell>
          <cell r="S902">
            <v>0</v>
          </cell>
        </row>
        <row r="903">
          <cell r="A903">
            <v>4017</v>
          </cell>
          <cell r="B903" t="str">
            <v>Impuesto a la renta</v>
          </cell>
          <cell r="P903" t="str">
            <v>P0311</v>
          </cell>
          <cell r="S903">
            <v>0</v>
          </cell>
        </row>
        <row r="904">
          <cell r="A904">
            <v>40171</v>
          </cell>
          <cell r="B904" t="str">
            <v>Renta de tercera categoría</v>
          </cell>
          <cell r="P904" t="str">
            <v>P0311</v>
          </cell>
          <cell r="S904">
            <v>0</v>
          </cell>
        </row>
        <row r="905">
          <cell r="A905">
            <v>40172</v>
          </cell>
          <cell r="B905" t="str">
            <v>Renta de cuarta categoría</v>
          </cell>
          <cell r="P905" t="str">
            <v>P0311</v>
          </cell>
          <cell r="S905">
            <v>0</v>
          </cell>
        </row>
        <row r="906">
          <cell r="A906">
            <v>40173</v>
          </cell>
          <cell r="B906" t="str">
            <v>Renta de quinta categoría</v>
          </cell>
          <cell r="P906" t="str">
            <v>P0311</v>
          </cell>
          <cell r="S906">
            <v>0</v>
          </cell>
        </row>
        <row r="907">
          <cell r="A907">
            <v>40174</v>
          </cell>
          <cell r="B907" t="str">
            <v>Renta de no domiciliados</v>
          </cell>
          <cell r="P907" t="str">
            <v>P0311</v>
          </cell>
          <cell r="S907">
            <v>0</v>
          </cell>
        </row>
        <row r="908">
          <cell r="A908">
            <v>40175</v>
          </cell>
          <cell r="B908" t="str">
            <v>Otras retenciones</v>
          </cell>
          <cell r="P908" t="str">
            <v>P0311</v>
          </cell>
          <cell r="S908">
            <v>0</v>
          </cell>
        </row>
        <row r="909">
          <cell r="A909">
            <v>4018</v>
          </cell>
          <cell r="B909" t="str">
            <v>Otros impuestos y contraprestaciones</v>
          </cell>
          <cell r="P909" t="str">
            <v>P0304</v>
          </cell>
          <cell r="S909">
            <v>0</v>
          </cell>
        </row>
        <row r="910">
          <cell r="A910">
            <v>40181</v>
          </cell>
          <cell r="B910" t="str">
            <v>Impuesto a las transacciones financieras</v>
          </cell>
          <cell r="P910" t="str">
            <v>P0304</v>
          </cell>
          <cell r="S910">
            <v>0</v>
          </cell>
        </row>
        <row r="911">
          <cell r="A911">
            <v>40182</v>
          </cell>
          <cell r="B911" t="str">
            <v>Impuesto a los juegos de casino y tragamonedas</v>
          </cell>
          <cell r="P911" t="str">
            <v>P0304</v>
          </cell>
          <cell r="S911">
            <v>0</v>
          </cell>
        </row>
        <row r="912">
          <cell r="A912">
            <v>40183</v>
          </cell>
          <cell r="B912" t="str">
            <v>Tasas por la prestación de servicios públicos</v>
          </cell>
          <cell r="P912" t="str">
            <v>P0304</v>
          </cell>
          <cell r="S912">
            <v>0</v>
          </cell>
        </row>
        <row r="913">
          <cell r="A913">
            <v>40184</v>
          </cell>
          <cell r="B913" t="str">
            <v>Regalías</v>
          </cell>
          <cell r="P913" t="str">
            <v>P0304</v>
          </cell>
          <cell r="S913">
            <v>0</v>
          </cell>
        </row>
        <row r="914">
          <cell r="A914">
            <v>40185</v>
          </cell>
          <cell r="B914" t="str">
            <v>Impuesto a los dividendos</v>
          </cell>
          <cell r="P914" t="str">
            <v>P0304</v>
          </cell>
          <cell r="S914">
            <v>0</v>
          </cell>
        </row>
        <row r="915">
          <cell r="A915">
            <v>40186</v>
          </cell>
          <cell r="B915" t="str">
            <v>Impuesto temporal a los activos netos</v>
          </cell>
          <cell r="P915" t="str">
            <v>P0304</v>
          </cell>
          <cell r="S915">
            <v>0</v>
          </cell>
        </row>
        <row r="916">
          <cell r="A916">
            <v>40189</v>
          </cell>
          <cell r="B916" t="str">
            <v>Otros impuestos</v>
          </cell>
          <cell r="P916" t="str">
            <v>P0304</v>
          </cell>
          <cell r="S916">
            <v>0</v>
          </cell>
        </row>
        <row r="917">
          <cell r="A917">
            <v>402</v>
          </cell>
          <cell r="B917" t="str">
            <v>Certificados Tributarios</v>
          </cell>
          <cell r="P917" t="str">
            <v>P0304</v>
          </cell>
          <cell r="S917">
            <v>0</v>
          </cell>
        </row>
        <row r="918">
          <cell r="A918">
            <v>403</v>
          </cell>
          <cell r="B918" t="str">
            <v>Instituciones Públicas</v>
          </cell>
          <cell r="P918" t="str">
            <v>P0304</v>
          </cell>
          <cell r="S918">
            <v>0</v>
          </cell>
        </row>
        <row r="919">
          <cell r="A919">
            <v>4031</v>
          </cell>
          <cell r="B919" t="str">
            <v>Essalud</v>
          </cell>
          <cell r="P919" t="str">
            <v>P0304</v>
          </cell>
          <cell r="S919">
            <v>0</v>
          </cell>
        </row>
        <row r="920">
          <cell r="A920">
            <v>40311</v>
          </cell>
          <cell r="B920" t="str">
            <v>Essalud por pagar</v>
          </cell>
          <cell r="P920" t="str">
            <v>P0304</v>
          </cell>
          <cell r="S920">
            <v>0</v>
          </cell>
        </row>
        <row r="921">
          <cell r="A921">
            <v>4032</v>
          </cell>
          <cell r="B921" t="str">
            <v>ONP</v>
          </cell>
          <cell r="P921" t="str">
            <v>P0304</v>
          </cell>
          <cell r="S921">
            <v>0</v>
          </cell>
        </row>
        <row r="922">
          <cell r="A922">
            <v>40321</v>
          </cell>
          <cell r="B922" t="str">
            <v>ONP por pagar</v>
          </cell>
          <cell r="P922" t="str">
            <v>P0304</v>
          </cell>
          <cell r="S922">
            <v>0</v>
          </cell>
        </row>
        <row r="923">
          <cell r="A923">
            <v>4033</v>
          </cell>
          <cell r="B923" t="str">
            <v>Contribución al SENATI</v>
          </cell>
          <cell r="P923" t="str">
            <v>P0304</v>
          </cell>
          <cell r="S923">
            <v>0</v>
          </cell>
        </row>
        <row r="924">
          <cell r="A924">
            <v>4034</v>
          </cell>
          <cell r="B924" t="str">
            <v>Contribución al SENCICO</v>
          </cell>
          <cell r="P924" t="str">
            <v>P0304</v>
          </cell>
          <cell r="S924">
            <v>0</v>
          </cell>
        </row>
        <row r="925">
          <cell r="A925">
            <v>4039</v>
          </cell>
          <cell r="B925" t="str">
            <v>Otras instituciones</v>
          </cell>
          <cell r="P925" t="str">
            <v>P0304</v>
          </cell>
          <cell r="S925">
            <v>0</v>
          </cell>
        </row>
        <row r="926">
          <cell r="A926">
            <v>405</v>
          </cell>
          <cell r="B926" t="str">
            <v>Gobiernos Regionales</v>
          </cell>
          <cell r="P926" t="str">
            <v>P0304</v>
          </cell>
          <cell r="S926">
            <v>0</v>
          </cell>
        </row>
        <row r="927">
          <cell r="A927">
            <v>406</v>
          </cell>
          <cell r="B927" t="str">
            <v>Gobiernos Locales</v>
          </cell>
          <cell r="P927" t="str">
            <v>P0304</v>
          </cell>
          <cell r="S927">
            <v>0</v>
          </cell>
        </row>
        <row r="928">
          <cell r="A928">
            <v>4061</v>
          </cell>
          <cell r="B928" t="str">
            <v>Impuestos</v>
          </cell>
          <cell r="P928" t="str">
            <v>P0304</v>
          </cell>
          <cell r="S928">
            <v>0</v>
          </cell>
        </row>
        <row r="929">
          <cell r="A929">
            <v>40611</v>
          </cell>
          <cell r="B929" t="str">
            <v>Impuesto al patrimonio vehicular</v>
          </cell>
          <cell r="P929" t="str">
            <v>P0304</v>
          </cell>
          <cell r="S929">
            <v>0</v>
          </cell>
        </row>
        <row r="930">
          <cell r="A930">
            <v>40612</v>
          </cell>
          <cell r="B930" t="str">
            <v>Impuesto a las apuestas</v>
          </cell>
          <cell r="P930" t="str">
            <v>P0304</v>
          </cell>
          <cell r="S930">
            <v>0</v>
          </cell>
        </row>
        <row r="931">
          <cell r="A931">
            <v>40613</v>
          </cell>
          <cell r="B931" t="str">
            <v>Impuesto a los juegos</v>
          </cell>
          <cell r="P931" t="str">
            <v>P0304</v>
          </cell>
          <cell r="S931">
            <v>0</v>
          </cell>
        </row>
        <row r="932">
          <cell r="A932">
            <v>40614</v>
          </cell>
          <cell r="B932" t="str">
            <v>Impuesto de alcabala</v>
          </cell>
          <cell r="P932" t="str">
            <v>P0304</v>
          </cell>
          <cell r="S932">
            <v>0</v>
          </cell>
        </row>
        <row r="933">
          <cell r="A933">
            <v>40615</v>
          </cell>
          <cell r="B933" t="str">
            <v>Impuesto predial</v>
          </cell>
          <cell r="P933" t="str">
            <v>P0304</v>
          </cell>
          <cell r="S933">
            <v>0</v>
          </cell>
        </row>
        <row r="934">
          <cell r="A934">
            <v>40616</v>
          </cell>
          <cell r="B934" t="str">
            <v>Impuesto a los espectáculos públicos no deportivos</v>
          </cell>
          <cell r="P934" t="str">
            <v>P0304</v>
          </cell>
          <cell r="S934">
            <v>0</v>
          </cell>
        </row>
        <row r="935">
          <cell r="A935">
            <v>4062</v>
          </cell>
          <cell r="B935" t="str">
            <v>Contribuciones</v>
          </cell>
          <cell r="P935" t="str">
            <v>P0304</v>
          </cell>
          <cell r="S935">
            <v>0</v>
          </cell>
        </row>
        <row r="936">
          <cell r="A936">
            <v>4063</v>
          </cell>
          <cell r="B936" t="str">
            <v>Tasas</v>
          </cell>
          <cell r="P936" t="str">
            <v>P0304</v>
          </cell>
          <cell r="S936">
            <v>0</v>
          </cell>
        </row>
        <row r="937">
          <cell r="A937">
            <v>40631</v>
          </cell>
          <cell r="B937" t="str">
            <v>Licencia de apertura de establecimientos</v>
          </cell>
          <cell r="P937" t="str">
            <v>P0304</v>
          </cell>
          <cell r="S937">
            <v>0</v>
          </cell>
        </row>
        <row r="938">
          <cell r="A938">
            <v>40632</v>
          </cell>
          <cell r="B938" t="str">
            <v>Transporte público</v>
          </cell>
          <cell r="P938" t="str">
            <v>P0304</v>
          </cell>
          <cell r="S938">
            <v>0</v>
          </cell>
        </row>
        <row r="939">
          <cell r="A939">
            <v>40633</v>
          </cell>
          <cell r="B939" t="str">
            <v>Estacionamiento de vehículos</v>
          </cell>
          <cell r="P939" t="str">
            <v>P0304</v>
          </cell>
          <cell r="S939">
            <v>0</v>
          </cell>
        </row>
        <row r="940">
          <cell r="A940">
            <v>40634</v>
          </cell>
          <cell r="B940" t="str">
            <v>Servicios públicos o arbitrios</v>
          </cell>
          <cell r="P940" t="str">
            <v>P0304</v>
          </cell>
          <cell r="S940">
            <v>0</v>
          </cell>
        </row>
        <row r="941">
          <cell r="A941">
            <v>40635</v>
          </cell>
          <cell r="B941" t="str">
            <v>Servicios administrativos o derechos</v>
          </cell>
          <cell r="P941" t="str">
            <v>P0304</v>
          </cell>
          <cell r="S941">
            <v>0</v>
          </cell>
        </row>
        <row r="942">
          <cell r="A942">
            <v>407</v>
          </cell>
          <cell r="B942" t="str">
            <v>Administradoras de Fondos de Pensiones</v>
          </cell>
          <cell r="P942" t="str">
            <v>P0304</v>
          </cell>
          <cell r="S942">
            <v>0</v>
          </cell>
        </row>
        <row r="943">
          <cell r="A943">
            <v>4071</v>
          </cell>
          <cell r="B943" t="str">
            <v>AFPs por pagar</v>
          </cell>
          <cell r="P943" t="str">
            <v>P0304</v>
          </cell>
          <cell r="S943">
            <v>0</v>
          </cell>
        </row>
        <row r="944">
          <cell r="A944">
            <v>40711</v>
          </cell>
          <cell r="B944" t="str">
            <v>AFP horizonte por pagar</v>
          </cell>
          <cell r="P944" t="str">
            <v>P0304</v>
          </cell>
          <cell r="S944">
            <v>0</v>
          </cell>
        </row>
        <row r="945">
          <cell r="A945">
            <v>408</v>
          </cell>
          <cell r="B945" t="str">
            <v>Empresas Prestadoras de Servicios de Salud</v>
          </cell>
          <cell r="P945" t="str">
            <v>P0304</v>
          </cell>
          <cell r="S945">
            <v>0</v>
          </cell>
        </row>
        <row r="946">
          <cell r="A946">
            <v>4081</v>
          </cell>
          <cell r="B946" t="str">
            <v>Cuenta propia</v>
          </cell>
          <cell r="P946" t="str">
            <v>P0304</v>
          </cell>
          <cell r="S946">
            <v>0</v>
          </cell>
        </row>
        <row r="947">
          <cell r="A947">
            <v>4082</v>
          </cell>
          <cell r="B947" t="str">
            <v>Cuenta de terceros</v>
          </cell>
          <cell r="P947" t="str">
            <v>P0304</v>
          </cell>
          <cell r="S947">
            <v>0</v>
          </cell>
        </row>
        <row r="948">
          <cell r="A948">
            <v>409</v>
          </cell>
          <cell r="B948" t="str">
            <v>Otros Costos Administrativos e Intereses</v>
          </cell>
          <cell r="P948" t="str">
            <v>P0304</v>
          </cell>
          <cell r="S948">
            <v>0</v>
          </cell>
        </row>
        <row r="949">
          <cell r="A949">
            <v>41</v>
          </cell>
          <cell r="B949" t="str">
            <v>REMUNERACIONES Y PARTICIPACIONES POR PAGAR</v>
          </cell>
          <cell r="P949" t="str">
            <v>P0304</v>
          </cell>
          <cell r="S949">
            <v>0</v>
          </cell>
        </row>
        <row r="950">
          <cell r="A950">
            <v>411</v>
          </cell>
          <cell r="B950" t="str">
            <v>Remuneraciones por Pagar</v>
          </cell>
          <cell r="P950" t="str">
            <v>P0304</v>
          </cell>
          <cell r="S950">
            <v>0</v>
          </cell>
        </row>
        <row r="951">
          <cell r="A951">
            <v>4111</v>
          </cell>
          <cell r="B951" t="str">
            <v>Sueldos y salarios por pagar</v>
          </cell>
          <cell r="P951" t="str">
            <v>P0304</v>
          </cell>
          <cell r="S951">
            <v>0</v>
          </cell>
        </row>
        <row r="952">
          <cell r="A952">
            <v>41111</v>
          </cell>
          <cell r="B952" t="str">
            <v>Sueldos por pagar</v>
          </cell>
          <cell r="P952" t="str">
            <v>P0304</v>
          </cell>
          <cell r="S952">
            <v>0</v>
          </cell>
        </row>
        <row r="953">
          <cell r="A953">
            <v>4112</v>
          </cell>
          <cell r="B953" t="str">
            <v>Comisiones por pagar</v>
          </cell>
          <cell r="P953" t="str">
            <v>P0304</v>
          </cell>
          <cell r="S953">
            <v>0</v>
          </cell>
        </row>
        <row r="954">
          <cell r="A954">
            <v>4113</v>
          </cell>
          <cell r="B954" t="str">
            <v>Remuneraciones en especie por pagar</v>
          </cell>
          <cell r="P954" t="str">
            <v>P0304</v>
          </cell>
          <cell r="S954">
            <v>0</v>
          </cell>
        </row>
        <row r="955">
          <cell r="A955">
            <v>4114</v>
          </cell>
          <cell r="B955" t="str">
            <v>Gratificaciones por pagar</v>
          </cell>
          <cell r="P955" t="str">
            <v>P0304</v>
          </cell>
          <cell r="S955">
            <v>0</v>
          </cell>
        </row>
        <row r="956">
          <cell r="A956">
            <v>4115</v>
          </cell>
          <cell r="B956" t="str">
            <v>Vacaciones por pagar</v>
          </cell>
          <cell r="P956" t="str">
            <v>P0304</v>
          </cell>
          <cell r="S956">
            <v>0</v>
          </cell>
        </row>
        <row r="957">
          <cell r="A957">
            <v>413</v>
          </cell>
          <cell r="B957" t="str">
            <v>Participación de los Trabajadores por Pagar</v>
          </cell>
          <cell r="P957" t="str">
            <v>P0311</v>
          </cell>
          <cell r="S957">
            <v>0</v>
          </cell>
        </row>
        <row r="958">
          <cell r="A958">
            <v>415</v>
          </cell>
          <cell r="B958" t="str">
            <v>Beneficios Sociales de los Trabajadores por Pagar</v>
          </cell>
          <cell r="P958" t="str">
            <v>P0304</v>
          </cell>
          <cell r="S958">
            <v>0</v>
          </cell>
        </row>
        <row r="959">
          <cell r="A959">
            <v>4151</v>
          </cell>
          <cell r="B959" t="str">
            <v>Compensación por tiempo de servicios</v>
          </cell>
          <cell r="P959" t="str">
            <v>P0304</v>
          </cell>
          <cell r="S959">
            <v>0</v>
          </cell>
        </row>
        <row r="960">
          <cell r="A960">
            <v>41512</v>
          </cell>
          <cell r="B960" t="str">
            <v>CTS obreros</v>
          </cell>
          <cell r="P960" t="str">
            <v>P0304</v>
          </cell>
          <cell r="S960">
            <v>0</v>
          </cell>
        </row>
        <row r="961">
          <cell r="A961">
            <v>41511</v>
          </cell>
          <cell r="B961" t="str">
            <v>CTS empleados</v>
          </cell>
          <cell r="P961" t="str">
            <v>P0304</v>
          </cell>
          <cell r="S961">
            <v>0</v>
          </cell>
        </row>
        <row r="962">
          <cell r="A962">
            <v>4152</v>
          </cell>
          <cell r="B962" t="str">
            <v>Adelanto de compensación por tiempo de servicios</v>
          </cell>
          <cell r="P962" t="str">
            <v>P0304</v>
          </cell>
          <cell r="S962">
            <v>0</v>
          </cell>
        </row>
        <row r="963">
          <cell r="A963">
            <v>4153</v>
          </cell>
          <cell r="B963" t="str">
            <v>Pensiones y jubilaciones</v>
          </cell>
          <cell r="P963" t="str">
            <v>P0304</v>
          </cell>
          <cell r="S963">
            <v>0</v>
          </cell>
        </row>
        <row r="964">
          <cell r="A964">
            <v>419</v>
          </cell>
          <cell r="B964" t="str">
            <v>Otras Remuneraciones y Participaciones por Pagar</v>
          </cell>
          <cell r="P964" t="str">
            <v>P0304</v>
          </cell>
          <cell r="S964">
            <v>0</v>
          </cell>
        </row>
        <row r="965">
          <cell r="A965">
            <v>42</v>
          </cell>
          <cell r="B965" t="str">
            <v>CUENTAS POR PAGAR COMERCIALES – TERCEROS</v>
          </cell>
          <cell r="P965" t="str">
            <v>P0302</v>
          </cell>
          <cell r="S965">
            <v>0</v>
          </cell>
        </row>
        <row r="966">
          <cell r="A966">
            <v>421</v>
          </cell>
          <cell r="B966" t="str">
            <v>Facturas, Boletas y Otros Comprobantes por Pagar</v>
          </cell>
          <cell r="P966" t="str">
            <v>P0302</v>
          </cell>
          <cell r="S966">
            <v>0</v>
          </cell>
        </row>
        <row r="967">
          <cell r="A967">
            <v>4211</v>
          </cell>
          <cell r="B967" t="str">
            <v>No emitidas</v>
          </cell>
          <cell r="P967" t="str">
            <v>P0302</v>
          </cell>
          <cell r="S967">
            <v>0</v>
          </cell>
        </row>
        <row r="968">
          <cell r="A968">
            <v>4212</v>
          </cell>
          <cell r="B968" t="str">
            <v>Emitidas</v>
          </cell>
          <cell r="P968" t="str">
            <v>P0302</v>
          </cell>
          <cell r="S968">
            <v>140420</v>
          </cell>
        </row>
        <row r="969">
          <cell r="A969">
            <v>42121</v>
          </cell>
          <cell r="B969" t="str">
            <v>Facturas emitidas por pagar</v>
          </cell>
          <cell r="P969" t="str">
            <v>P0302</v>
          </cell>
          <cell r="S969">
            <v>0</v>
          </cell>
        </row>
        <row r="970">
          <cell r="A970">
            <v>42122</v>
          </cell>
          <cell r="B970" t="str">
            <v>Recibos emitidos por pagar</v>
          </cell>
          <cell r="P970" t="str">
            <v>P0302</v>
          </cell>
          <cell r="S970">
            <v>0</v>
          </cell>
        </row>
        <row r="971">
          <cell r="A971">
            <v>422</v>
          </cell>
          <cell r="B971" t="str">
            <v>Anticipos a Proveedores</v>
          </cell>
          <cell r="P971" t="str">
            <v>A0106</v>
          </cell>
          <cell r="S971">
            <v>0</v>
          </cell>
        </row>
        <row r="972">
          <cell r="A972">
            <v>423</v>
          </cell>
          <cell r="B972" t="str">
            <v>Letras por Pagar</v>
          </cell>
          <cell r="P972" t="str">
            <v>P0302</v>
          </cell>
          <cell r="S972">
            <v>0</v>
          </cell>
        </row>
        <row r="973">
          <cell r="A973">
            <v>42311</v>
          </cell>
          <cell r="B973" t="str">
            <v>Letras por pagar</v>
          </cell>
          <cell r="P973" t="str">
            <v>P0302</v>
          </cell>
          <cell r="S973">
            <v>0</v>
          </cell>
        </row>
        <row r="974">
          <cell r="A974">
            <v>424</v>
          </cell>
          <cell r="B974" t="str">
            <v>Honorarios por Pagar</v>
          </cell>
          <cell r="P974" t="str">
            <v>P0302</v>
          </cell>
          <cell r="S974">
            <v>0</v>
          </cell>
        </row>
        <row r="975">
          <cell r="A975">
            <v>4241</v>
          </cell>
          <cell r="B975" t="str">
            <v>Honorarios por pagar</v>
          </cell>
          <cell r="P975" t="str">
            <v>P0302</v>
          </cell>
          <cell r="S975">
            <v>0</v>
          </cell>
        </row>
        <row r="976">
          <cell r="A976">
            <v>43</v>
          </cell>
          <cell r="B976" t="str">
            <v>CUENTAS POR PAGAR COMERCIALES – RELACIONADAS</v>
          </cell>
          <cell r="P976" t="str">
            <v>P0302</v>
          </cell>
          <cell r="S976">
            <v>0</v>
          </cell>
        </row>
        <row r="977">
          <cell r="A977">
            <v>431</v>
          </cell>
          <cell r="B977" t="str">
            <v>Facturas, Boletas y Otros Comprobantes por Pagar</v>
          </cell>
          <cell r="P977" t="str">
            <v>P0302</v>
          </cell>
          <cell r="S977">
            <v>0</v>
          </cell>
        </row>
        <row r="978">
          <cell r="A978">
            <v>4311</v>
          </cell>
          <cell r="B978" t="str">
            <v>No emitidas</v>
          </cell>
          <cell r="P978" t="str">
            <v>P0302</v>
          </cell>
          <cell r="S978">
            <v>0</v>
          </cell>
        </row>
        <row r="979">
          <cell r="A979">
            <v>43111</v>
          </cell>
          <cell r="B979" t="str">
            <v>Matriz</v>
          </cell>
          <cell r="P979" t="str">
            <v>P0302</v>
          </cell>
          <cell r="S979">
            <v>0</v>
          </cell>
        </row>
        <row r="980">
          <cell r="A980">
            <v>43112</v>
          </cell>
          <cell r="B980" t="str">
            <v>Subsidiarias</v>
          </cell>
          <cell r="P980" t="str">
            <v>P0302</v>
          </cell>
          <cell r="S980">
            <v>0</v>
          </cell>
        </row>
        <row r="981">
          <cell r="A981">
            <v>43113</v>
          </cell>
          <cell r="B981" t="str">
            <v>Asociadas</v>
          </cell>
          <cell r="P981" t="str">
            <v>P0302</v>
          </cell>
          <cell r="S981">
            <v>0</v>
          </cell>
        </row>
        <row r="982">
          <cell r="A982">
            <v>43114</v>
          </cell>
          <cell r="B982" t="str">
            <v>Sucursales</v>
          </cell>
          <cell r="P982" t="str">
            <v>P0302</v>
          </cell>
          <cell r="S982">
            <v>0</v>
          </cell>
        </row>
        <row r="983">
          <cell r="A983">
            <v>43115</v>
          </cell>
          <cell r="B983" t="str">
            <v>Otros</v>
          </cell>
          <cell r="P983" t="str">
            <v>P0302</v>
          </cell>
          <cell r="S983">
            <v>0</v>
          </cell>
        </row>
        <row r="984">
          <cell r="A984">
            <v>4312</v>
          </cell>
          <cell r="B984" t="str">
            <v>Emitidas</v>
          </cell>
          <cell r="P984" t="str">
            <v>P0302</v>
          </cell>
          <cell r="S984">
            <v>0</v>
          </cell>
        </row>
        <row r="985">
          <cell r="A985">
            <v>43121</v>
          </cell>
          <cell r="B985" t="str">
            <v>Matriz</v>
          </cell>
          <cell r="P985" t="str">
            <v>P0302</v>
          </cell>
          <cell r="S985">
            <v>0</v>
          </cell>
        </row>
        <row r="986">
          <cell r="A986">
            <v>43122</v>
          </cell>
          <cell r="B986" t="str">
            <v>Subsidiarias</v>
          </cell>
          <cell r="P986" t="str">
            <v>P0302</v>
          </cell>
          <cell r="S986">
            <v>0</v>
          </cell>
        </row>
        <row r="987">
          <cell r="A987">
            <v>43123</v>
          </cell>
          <cell r="B987" t="str">
            <v>Asociadas</v>
          </cell>
          <cell r="P987" t="str">
            <v>P0302</v>
          </cell>
          <cell r="S987">
            <v>0</v>
          </cell>
        </row>
        <row r="988">
          <cell r="A988">
            <v>43124</v>
          </cell>
          <cell r="B988" t="str">
            <v>Sucursales</v>
          </cell>
          <cell r="P988" t="str">
            <v>P0302</v>
          </cell>
          <cell r="S988">
            <v>0</v>
          </cell>
        </row>
        <row r="989">
          <cell r="A989">
            <v>43125</v>
          </cell>
          <cell r="B989" t="str">
            <v>Otros</v>
          </cell>
          <cell r="P989" t="str">
            <v>P0302</v>
          </cell>
          <cell r="S989">
            <v>0</v>
          </cell>
        </row>
        <row r="990">
          <cell r="A990">
            <v>432</v>
          </cell>
          <cell r="B990" t="str">
            <v>Anticipos Otorgados</v>
          </cell>
          <cell r="P990" t="str">
            <v>A0106</v>
          </cell>
          <cell r="S990">
            <v>0</v>
          </cell>
        </row>
        <row r="991">
          <cell r="A991">
            <v>4321</v>
          </cell>
          <cell r="B991" t="str">
            <v>Antcipos otorgados</v>
          </cell>
          <cell r="P991" t="str">
            <v>A0106</v>
          </cell>
          <cell r="S991">
            <v>0</v>
          </cell>
        </row>
        <row r="992">
          <cell r="A992">
            <v>43211</v>
          </cell>
          <cell r="B992" t="str">
            <v>Matriz</v>
          </cell>
          <cell r="P992" t="str">
            <v>A0106</v>
          </cell>
          <cell r="S992">
            <v>0</v>
          </cell>
        </row>
        <row r="993">
          <cell r="A993">
            <v>43212</v>
          </cell>
          <cell r="B993" t="str">
            <v>Subsidiarias</v>
          </cell>
          <cell r="P993" t="str">
            <v>A0106</v>
          </cell>
          <cell r="S993">
            <v>0</v>
          </cell>
        </row>
        <row r="994">
          <cell r="A994">
            <v>43213</v>
          </cell>
          <cell r="B994" t="str">
            <v>Asociadas</v>
          </cell>
          <cell r="P994" t="str">
            <v>A0106</v>
          </cell>
          <cell r="S994">
            <v>0</v>
          </cell>
        </row>
        <row r="995">
          <cell r="A995">
            <v>43214</v>
          </cell>
          <cell r="B995" t="str">
            <v>Sucursales</v>
          </cell>
          <cell r="P995" t="str">
            <v>A0106</v>
          </cell>
          <cell r="S995">
            <v>0</v>
          </cell>
        </row>
        <row r="996">
          <cell r="A996">
            <v>43215</v>
          </cell>
          <cell r="B996" t="str">
            <v>Otros</v>
          </cell>
          <cell r="P996" t="str">
            <v>A0106</v>
          </cell>
          <cell r="S996">
            <v>0</v>
          </cell>
        </row>
        <row r="997">
          <cell r="A997">
            <v>433</v>
          </cell>
          <cell r="B997" t="str">
            <v>Letras por Pagar</v>
          </cell>
          <cell r="P997" t="str">
            <v>P0302</v>
          </cell>
          <cell r="S997">
            <v>0</v>
          </cell>
        </row>
        <row r="998">
          <cell r="A998">
            <v>4331</v>
          </cell>
          <cell r="B998" t="str">
            <v>Letras por pagar</v>
          </cell>
          <cell r="P998" t="str">
            <v>P0302</v>
          </cell>
          <cell r="S998">
            <v>0</v>
          </cell>
        </row>
        <row r="999">
          <cell r="A999">
            <v>43311</v>
          </cell>
          <cell r="B999" t="str">
            <v>Matriz</v>
          </cell>
          <cell r="P999" t="str">
            <v>P0302</v>
          </cell>
          <cell r="S999">
            <v>0</v>
          </cell>
        </row>
        <row r="1000">
          <cell r="A1000">
            <v>43312</v>
          </cell>
          <cell r="B1000" t="str">
            <v>Subsidiarias</v>
          </cell>
          <cell r="P1000" t="str">
            <v>P0302</v>
          </cell>
          <cell r="S1000">
            <v>0</v>
          </cell>
        </row>
        <row r="1001">
          <cell r="A1001">
            <v>43313</v>
          </cell>
          <cell r="B1001" t="str">
            <v>Asociadas</v>
          </cell>
          <cell r="P1001" t="str">
            <v>P0302</v>
          </cell>
          <cell r="S1001">
            <v>0</v>
          </cell>
        </row>
        <row r="1002">
          <cell r="A1002">
            <v>43314</v>
          </cell>
          <cell r="B1002" t="str">
            <v>Sucursales</v>
          </cell>
          <cell r="P1002" t="str">
            <v>P0302</v>
          </cell>
          <cell r="S1002">
            <v>0</v>
          </cell>
        </row>
        <row r="1003">
          <cell r="A1003">
            <v>43315</v>
          </cell>
          <cell r="B1003" t="str">
            <v>Otros</v>
          </cell>
          <cell r="P1003" t="str">
            <v>P0302</v>
          </cell>
          <cell r="S1003">
            <v>0</v>
          </cell>
        </row>
        <row r="1004">
          <cell r="A1004">
            <v>434</v>
          </cell>
          <cell r="B1004" t="str">
            <v>Honorarios por Pagar</v>
          </cell>
          <cell r="P1004" t="str">
            <v>P0302</v>
          </cell>
          <cell r="S1004">
            <v>0</v>
          </cell>
        </row>
        <row r="1005">
          <cell r="A1005">
            <v>4341</v>
          </cell>
          <cell r="B1005" t="str">
            <v>Honorarios por pagar</v>
          </cell>
          <cell r="P1005" t="str">
            <v>P0302</v>
          </cell>
          <cell r="S1005">
            <v>0</v>
          </cell>
        </row>
        <row r="1006">
          <cell r="A1006">
            <v>43411</v>
          </cell>
          <cell r="B1006" t="str">
            <v>Matriz</v>
          </cell>
          <cell r="P1006" t="str">
            <v>P0302</v>
          </cell>
          <cell r="S1006">
            <v>0</v>
          </cell>
        </row>
        <row r="1007">
          <cell r="A1007">
            <v>43412</v>
          </cell>
          <cell r="B1007" t="str">
            <v>Subsidiarias</v>
          </cell>
          <cell r="P1007" t="str">
            <v>P0302</v>
          </cell>
          <cell r="S1007">
            <v>0</v>
          </cell>
        </row>
        <row r="1008">
          <cell r="A1008">
            <v>43413</v>
          </cell>
          <cell r="B1008" t="str">
            <v>Asociadas</v>
          </cell>
          <cell r="P1008" t="str">
            <v>P0302</v>
          </cell>
          <cell r="S1008">
            <v>0</v>
          </cell>
        </row>
        <row r="1009">
          <cell r="A1009">
            <v>43414</v>
          </cell>
          <cell r="B1009" t="str">
            <v>Sucursales</v>
          </cell>
          <cell r="P1009" t="str">
            <v>P0302</v>
          </cell>
          <cell r="S1009">
            <v>0</v>
          </cell>
        </row>
        <row r="1010">
          <cell r="A1010">
            <v>43415</v>
          </cell>
          <cell r="B1010" t="str">
            <v>Otros</v>
          </cell>
          <cell r="P1010" t="str">
            <v>P0302</v>
          </cell>
          <cell r="S1010">
            <v>0</v>
          </cell>
        </row>
        <row r="1011">
          <cell r="A1011">
            <v>44</v>
          </cell>
          <cell r="B1011" t="str">
            <v>CUENTAS POR PAGAR A LOS SOCIOS, DIRECTORES Y GERENTES</v>
          </cell>
          <cell r="P1011">
            <v>0</v>
          </cell>
          <cell r="S1011">
            <v>0</v>
          </cell>
        </row>
        <row r="1012">
          <cell r="A1012">
            <v>441</v>
          </cell>
          <cell r="B1012" t="str">
            <v>Socios</v>
          </cell>
          <cell r="P1012" t="str">
            <v>P0304</v>
          </cell>
          <cell r="S1012">
            <v>0</v>
          </cell>
        </row>
        <row r="1013">
          <cell r="A1013">
            <v>4411</v>
          </cell>
          <cell r="B1013" t="str">
            <v>Préstamos</v>
          </cell>
          <cell r="P1013" t="str">
            <v>P0304</v>
          </cell>
          <cell r="S1013">
            <v>0</v>
          </cell>
        </row>
        <row r="1014">
          <cell r="A1014">
            <v>4412</v>
          </cell>
          <cell r="B1014" t="str">
            <v>Dividendos</v>
          </cell>
          <cell r="P1014" t="str">
            <v>P0304</v>
          </cell>
          <cell r="S1014">
            <v>0</v>
          </cell>
        </row>
        <row r="1015">
          <cell r="A1015">
            <v>44121</v>
          </cell>
          <cell r="B1015" t="str">
            <v>Dividendos por pagar</v>
          </cell>
          <cell r="P1015" t="str">
            <v>P0304</v>
          </cell>
          <cell r="S1015">
            <v>0</v>
          </cell>
        </row>
        <row r="1016">
          <cell r="A1016">
            <v>4419</v>
          </cell>
          <cell r="B1016" t="str">
            <v>Otras cuentas por pagar</v>
          </cell>
          <cell r="P1016" t="str">
            <v>P0304</v>
          </cell>
          <cell r="S1016">
            <v>0</v>
          </cell>
        </row>
        <row r="1017">
          <cell r="A1017">
            <v>442</v>
          </cell>
          <cell r="B1017" t="str">
            <v>Directores</v>
          </cell>
          <cell r="P1017" t="str">
            <v>P0303</v>
          </cell>
          <cell r="S1017">
            <v>0</v>
          </cell>
        </row>
        <row r="1018">
          <cell r="A1018">
            <v>4421</v>
          </cell>
          <cell r="B1018" t="str">
            <v>Dietas</v>
          </cell>
          <cell r="P1018" t="str">
            <v>P0303</v>
          </cell>
          <cell r="S1018">
            <v>0</v>
          </cell>
        </row>
        <row r="1019">
          <cell r="A1019">
            <v>4429</v>
          </cell>
          <cell r="B1019" t="str">
            <v>Otras cuentas por pagar</v>
          </cell>
          <cell r="P1019" t="str">
            <v>P0303</v>
          </cell>
          <cell r="S1019">
            <v>0</v>
          </cell>
        </row>
        <row r="1020">
          <cell r="A1020">
            <v>443</v>
          </cell>
          <cell r="B1020" t="str">
            <v>Gerentes</v>
          </cell>
          <cell r="P1020" t="str">
            <v>P0303</v>
          </cell>
          <cell r="S1020">
            <v>0</v>
          </cell>
        </row>
        <row r="1021">
          <cell r="A1021">
            <v>45</v>
          </cell>
          <cell r="B1021" t="str">
            <v>OBLIGACIONES FINANCIERAS</v>
          </cell>
          <cell r="P1021" t="str">
            <v>P0309</v>
          </cell>
          <cell r="S1021">
            <v>0</v>
          </cell>
        </row>
        <row r="1022">
          <cell r="A1022">
            <v>451</v>
          </cell>
          <cell r="B1022" t="str">
            <v>Préstamos de Instituciones Financieras y Otras Entidades</v>
          </cell>
          <cell r="P1022" t="str">
            <v>P0309</v>
          </cell>
          <cell r="S1022">
            <v>0</v>
          </cell>
        </row>
        <row r="1023">
          <cell r="A1023">
            <v>4511</v>
          </cell>
          <cell r="B1023" t="str">
            <v>Instituciones financieras</v>
          </cell>
          <cell r="P1023" t="str">
            <v>P0309</v>
          </cell>
          <cell r="S1023">
            <v>0</v>
          </cell>
        </row>
        <row r="1024">
          <cell r="A1024">
            <v>45111</v>
          </cell>
          <cell r="B1024" t="str">
            <v>Préstamos por pagar al BCP</v>
          </cell>
          <cell r="P1024" t="str">
            <v>P0309</v>
          </cell>
          <cell r="S1024">
            <v>0</v>
          </cell>
        </row>
        <row r="1025">
          <cell r="A1025">
            <v>4512</v>
          </cell>
          <cell r="B1025" t="str">
            <v>Otras entidades</v>
          </cell>
          <cell r="P1025" t="str">
            <v>P0309</v>
          </cell>
          <cell r="S1025">
            <v>0</v>
          </cell>
        </row>
        <row r="1026">
          <cell r="A1026">
            <v>452</v>
          </cell>
          <cell r="B1026" t="str">
            <v>Contratos de Arrendamiento Financiero</v>
          </cell>
          <cell r="P1026" t="str">
            <v>P0309</v>
          </cell>
          <cell r="S1026">
            <v>0</v>
          </cell>
        </row>
        <row r="1027">
          <cell r="A1027">
            <v>4521</v>
          </cell>
          <cell r="B1027" t="str">
            <v>Leasing Banco Continental</v>
          </cell>
          <cell r="P1027" t="str">
            <v>P0309</v>
          </cell>
          <cell r="S1027">
            <v>0</v>
          </cell>
        </row>
        <row r="1028">
          <cell r="A1028">
            <v>4522</v>
          </cell>
          <cell r="B1028" t="str">
            <v>Leasing Banco Scotiabank</v>
          </cell>
          <cell r="P1028" t="str">
            <v>P0309</v>
          </cell>
          <cell r="S1028">
            <v>0</v>
          </cell>
        </row>
        <row r="1029">
          <cell r="A1029">
            <v>453</v>
          </cell>
          <cell r="B1029" t="str">
            <v>Obligaciones Emitidas</v>
          </cell>
          <cell r="P1029" t="str">
            <v>P0309</v>
          </cell>
          <cell r="S1029">
            <v>0</v>
          </cell>
        </row>
        <row r="1030">
          <cell r="A1030">
            <v>4531</v>
          </cell>
          <cell r="B1030" t="str">
            <v>Bonos emitidos</v>
          </cell>
          <cell r="P1030" t="str">
            <v>P0309</v>
          </cell>
          <cell r="S1030">
            <v>0</v>
          </cell>
        </row>
        <row r="1031">
          <cell r="A1031">
            <v>4532</v>
          </cell>
          <cell r="B1031" t="str">
            <v>Bonos titulizados</v>
          </cell>
          <cell r="P1031" t="str">
            <v>P0309</v>
          </cell>
          <cell r="S1031">
            <v>0</v>
          </cell>
        </row>
        <row r="1032">
          <cell r="A1032">
            <v>4533</v>
          </cell>
          <cell r="B1032" t="str">
            <v>Papeles comerciales</v>
          </cell>
          <cell r="P1032" t="str">
            <v>P0309</v>
          </cell>
          <cell r="S1032">
            <v>0</v>
          </cell>
        </row>
        <row r="1033">
          <cell r="A1033">
            <v>4539</v>
          </cell>
          <cell r="B1033" t="str">
            <v>Otras obligaciones</v>
          </cell>
          <cell r="P1033" t="str">
            <v>P0309</v>
          </cell>
          <cell r="S1033">
            <v>0</v>
          </cell>
        </row>
        <row r="1034">
          <cell r="A1034">
            <v>454</v>
          </cell>
          <cell r="B1034" t="str">
            <v>Otros Instrumentos Financieros por Pagar</v>
          </cell>
          <cell r="P1034" t="str">
            <v>P0309</v>
          </cell>
          <cell r="S1034">
            <v>0</v>
          </cell>
        </row>
        <row r="1035">
          <cell r="A1035">
            <v>4541</v>
          </cell>
          <cell r="B1035" t="str">
            <v>Letras</v>
          </cell>
          <cell r="P1035" t="str">
            <v>P0309</v>
          </cell>
          <cell r="S1035">
            <v>0</v>
          </cell>
        </row>
        <row r="1036">
          <cell r="A1036">
            <v>4542</v>
          </cell>
          <cell r="B1036" t="str">
            <v>Papeles comerciales</v>
          </cell>
          <cell r="P1036" t="str">
            <v>P0309</v>
          </cell>
          <cell r="S1036">
            <v>0</v>
          </cell>
        </row>
        <row r="1037">
          <cell r="A1037">
            <v>4543</v>
          </cell>
          <cell r="B1037" t="str">
            <v>Bonos</v>
          </cell>
          <cell r="P1037" t="str">
            <v>P0309</v>
          </cell>
          <cell r="S1037">
            <v>0</v>
          </cell>
        </row>
        <row r="1038">
          <cell r="A1038">
            <v>4544</v>
          </cell>
          <cell r="B1038" t="str">
            <v>Pagarés</v>
          </cell>
          <cell r="P1038" t="str">
            <v>P0309</v>
          </cell>
          <cell r="S1038">
            <v>0</v>
          </cell>
        </row>
        <row r="1039">
          <cell r="A1039">
            <v>4545</v>
          </cell>
          <cell r="B1039" t="str">
            <v>Facturas conformadas</v>
          </cell>
          <cell r="P1039" t="str">
            <v>P0309</v>
          </cell>
          <cell r="S1039">
            <v>0</v>
          </cell>
        </row>
        <row r="1040">
          <cell r="A1040">
            <v>4549</v>
          </cell>
          <cell r="B1040" t="str">
            <v>Otras obligaciones financieras</v>
          </cell>
          <cell r="P1040" t="str">
            <v>P0309</v>
          </cell>
          <cell r="S1040">
            <v>0</v>
          </cell>
        </row>
        <row r="1041">
          <cell r="A1041">
            <v>455</v>
          </cell>
          <cell r="B1041" t="str">
            <v>Costos de Financiación por Pagar</v>
          </cell>
          <cell r="P1041" t="str">
            <v>P0309</v>
          </cell>
          <cell r="S1041">
            <v>0</v>
          </cell>
        </row>
        <row r="1042">
          <cell r="A1042">
            <v>4551</v>
          </cell>
          <cell r="B1042" t="str">
            <v>Préstamos de instituciones financieras y otras entidades</v>
          </cell>
          <cell r="P1042" t="str">
            <v>P0309</v>
          </cell>
          <cell r="S1042">
            <v>0</v>
          </cell>
        </row>
        <row r="1043">
          <cell r="A1043">
            <v>45511</v>
          </cell>
          <cell r="B1043" t="str">
            <v>Intereses por pagar a instituciones financieras</v>
          </cell>
          <cell r="P1043" t="str">
            <v>P0309</v>
          </cell>
          <cell r="S1043">
            <v>0</v>
          </cell>
        </row>
        <row r="1044">
          <cell r="A1044">
            <v>45512</v>
          </cell>
          <cell r="B1044" t="str">
            <v>Otras entidades</v>
          </cell>
          <cell r="P1044" t="str">
            <v>P0309</v>
          </cell>
          <cell r="S1044">
            <v>0</v>
          </cell>
        </row>
        <row r="1045">
          <cell r="A1045">
            <v>4552</v>
          </cell>
          <cell r="B1045" t="str">
            <v>Contratos de arrendamiento financiero</v>
          </cell>
          <cell r="P1045" t="str">
            <v>P0309</v>
          </cell>
          <cell r="S1045">
            <v>0</v>
          </cell>
        </row>
        <row r="1046">
          <cell r="A1046">
            <v>4553</v>
          </cell>
          <cell r="B1046" t="str">
            <v>Obligaciones emitidas</v>
          </cell>
          <cell r="P1046" t="str">
            <v>P0309</v>
          </cell>
          <cell r="S1046">
            <v>0</v>
          </cell>
        </row>
        <row r="1047">
          <cell r="A1047">
            <v>45531</v>
          </cell>
          <cell r="B1047" t="str">
            <v>Bonos emitidos</v>
          </cell>
          <cell r="P1047" t="str">
            <v>P0309</v>
          </cell>
          <cell r="S1047">
            <v>0</v>
          </cell>
        </row>
        <row r="1048">
          <cell r="A1048">
            <v>45532</v>
          </cell>
          <cell r="B1048" t="str">
            <v>Bonos titulizados</v>
          </cell>
          <cell r="P1048" t="str">
            <v>P0309</v>
          </cell>
          <cell r="S1048">
            <v>0</v>
          </cell>
        </row>
        <row r="1049">
          <cell r="A1049">
            <v>45533</v>
          </cell>
          <cell r="B1049" t="str">
            <v>Papeles comerciales</v>
          </cell>
          <cell r="P1049" t="str">
            <v>P0309</v>
          </cell>
          <cell r="S1049">
            <v>0</v>
          </cell>
        </row>
        <row r="1050">
          <cell r="A1050">
            <v>45539</v>
          </cell>
          <cell r="B1050" t="str">
            <v>Otras obligaciones</v>
          </cell>
          <cell r="P1050" t="str">
            <v>P0309</v>
          </cell>
          <cell r="S1050">
            <v>0</v>
          </cell>
        </row>
        <row r="1051">
          <cell r="A1051">
            <v>4554</v>
          </cell>
          <cell r="B1051" t="str">
            <v>Otros instrumentos financieros por pagar</v>
          </cell>
          <cell r="P1051" t="str">
            <v>P0309</v>
          </cell>
          <cell r="S1051">
            <v>0</v>
          </cell>
        </row>
        <row r="1052">
          <cell r="A1052">
            <v>45541</v>
          </cell>
          <cell r="B1052" t="str">
            <v>Letras</v>
          </cell>
          <cell r="P1052" t="str">
            <v>P0309</v>
          </cell>
          <cell r="S1052">
            <v>0</v>
          </cell>
        </row>
        <row r="1053">
          <cell r="A1053">
            <v>45542</v>
          </cell>
          <cell r="B1053" t="str">
            <v>Papeles comerciales</v>
          </cell>
          <cell r="P1053" t="str">
            <v>P0309</v>
          </cell>
          <cell r="S1053">
            <v>0</v>
          </cell>
        </row>
        <row r="1054">
          <cell r="A1054">
            <v>45543</v>
          </cell>
          <cell r="B1054" t="str">
            <v>Bonos</v>
          </cell>
          <cell r="P1054" t="str">
            <v>P0309</v>
          </cell>
          <cell r="S1054">
            <v>0</v>
          </cell>
        </row>
        <row r="1055">
          <cell r="A1055">
            <v>45544</v>
          </cell>
          <cell r="B1055" t="str">
            <v>Pagarés</v>
          </cell>
          <cell r="P1055" t="str">
            <v>P0309</v>
          </cell>
          <cell r="S1055">
            <v>0</v>
          </cell>
        </row>
        <row r="1056">
          <cell r="A1056">
            <v>45545</v>
          </cell>
          <cell r="B1056" t="str">
            <v>Facturas conformadas</v>
          </cell>
          <cell r="P1056" t="str">
            <v>P0309</v>
          </cell>
          <cell r="S1056">
            <v>0</v>
          </cell>
        </row>
        <row r="1057">
          <cell r="A1057">
            <v>45549</v>
          </cell>
          <cell r="B1057" t="str">
            <v>Otras obligaciones financieras</v>
          </cell>
          <cell r="P1057" t="str">
            <v>P0309</v>
          </cell>
          <cell r="S1057">
            <v>0</v>
          </cell>
        </row>
        <row r="1058">
          <cell r="A1058">
            <v>456</v>
          </cell>
          <cell r="B1058" t="str">
            <v>Préstamos con Compromisos de Recompra</v>
          </cell>
          <cell r="P1058" t="str">
            <v>P0309</v>
          </cell>
          <cell r="S1058">
            <v>0</v>
          </cell>
        </row>
        <row r="1059">
          <cell r="A1059">
            <v>46</v>
          </cell>
          <cell r="B1059" t="str">
            <v>CUENTAS POR PAGAR DIVERSAS – TERCEROS</v>
          </cell>
          <cell r="P1059" t="str">
            <v>P0304</v>
          </cell>
          <cell r="S1059">
            <v>0</v>
          </cell>
        </row>
        <row r="1060">
          <cell r="A1060">
            <v>461</v>
          </cell>
          <cell r="B1060" t="str">
            <v>Reclamaciones de Terceros</v>
          </cell>
          <cell r="P1060" t="str">
            <v>P0304</v>
          </cell>
          <cell r="S1060">
            <v>0</v>
          </cell>
        </row>
        <row r="1061">
          <cell r="A1061">
            <v>464</v>
          </cell>
          <cell r="B1061" t="str">
            <v>Pasivos por Instrumentos Financieros Derivados</v>
          </cell>
          <cell r="P1061" t="str">
            <v>P0304</v>
          </cell>
          <cell r="S1061">
            <v>0</v>
          </cell>
        </row>
        <row r="1062">
          <cell r="A1062">
            <v>4641</v>
          </cell>
          <cell r="B1062" t="str">
            <v>Instrumentos financeros primarios</v>
          </cell>
          <cell r="P1062" t="str">
            <v>P0304</v>
          </cell>
          <cell r="S1062">
            <v>0</v>
          </cell>
        </row>
        <row r="1063">
          <cell r="A1063">
            <v>4642</v>
          </cell>
          <cell r="B1063" t="str">
            <v>Instrumentos fianncieros derivados</v>
          </cell>
          <cell r="P1063" t="str">
            <v>P0304</v>
          </cell>
          <cell r="S1063">
            <v>0</v>
          </cell>
        </row>
        <row r="1064">
          <cell r="A1064">
            <v>46421</v>
          </cell>
          <cell r="B1064" t="str">
            <v>Cartera de negociación</v>
          </cell>
          <cell r="P1064" t="str">
            <v>P0304</v>
          </cell>
          <cell r="S1064">
            <v>0</v>
          </cell>
        </row>
        <row r="1065">
          <cell r="A1065">
            <v>46422</v>
          </cell>
          <cell r="B1065" t="str">
            <v>Instrumentos de cobertura</v>
          </cell>
          <cell r="P1065" t="str">
            <v>P0304</v>
          </cell>
          <cell r="S1065">
            <v>0</v>
          </cell>
        </row>
        <row r="1066">
          <cell r="A1066">
            <v>465</v>
          </cell>
          <cell r="B1066" t="str">
            <v>Pasivos por Compra de Activo Inmovilizado</v>
          </cell>
          <cell r="P1066" t="str">
            <v>P0304</v>
          </cell>
          <cell r="S1066">
            <v>0</v>
          </cell>
        </row>
        <row r="1067">
          <cell r="A1067">
            <v>4651</v>
          </cell>
          <cell r="B1067" t="str">
            <v>Invesiones mobiliarias</v>
          </cell>
          <cell r="P1067" t="str">
            <v>P0304</v>
          </cell>
          <cell r="S1067">
            <v>0</v>
          </cell>
        </row>
        <row r="1068">
          <cell r="A1068">
            <v>4652</v>
          </cell>
          <cell r="B1068" t="str">
            <v>Inversiones inmobiliarias</v>
          </cell>
          <cell r="P1068" t="str">
            <v>P0304</v>
          </cell>
          <cell r="S1068">
            <v>0</v>
          </cell>
        </row>
        <row r="1069">
          <cell r="A1069">
            <v>4653</v>
          </cell>
          <cell r="B1069" t="str">
            <v>Activos adquiridos en arrendamiento financiero</v>
          </cell>
          <cell r="P1069" t="str">
            <v>P0304</v>
          </cell>
          <cell r="S1069">
            <v>0</v>
          </cell>
        </row>
        <row r="1070">
          <cell r="A1070">
            <v>4654</v>
          </cell>
          <cell r="B1070" t="str">
            <v>Inmueble maquinarias y equipos</v>
          </cell>
          <cell r="P1070" t="str">
            <v>P0304</v>
          </cell>
          <cell r="S1070">
            <v>0</v>
          </cell>
        </row>
        <row r="1071">
          <cell r="A1071">
            <v>4655</v>
          </cell>
          <cell r="B1071" t="str">
            <v>Intangibles</v>
          </cell>
          <cell r="P1071" t="str">
            <v>P0304</v>
          </cell>
          <cell r="S1071">
            <v>0</v>
          </cell>
        </row>
        <row r="1072">
          <cell r="A1072">
            <v>4656</v>
          </cell>
          <cell r="B1072" t="str">
            <v>Activos biológicos</v>
          </cell>
          <cell r="P1072" t="str">
            <v>P0304</v>
          </cell>
          <cell r="S1072">
            <v>0</v>
          </cell>
        </row>
        <row r="1073">
          <cell r="A1073">
            <v>467</v>
          </cell>
          <cell r="B1073" t="str">
            <v>Depósitos Recibidos en Garantía</v>
          </cell>
          <cell r="P1073" t="str">
            <v>P0304</v>
          </cell>
          <cell r="S1073">
            <v>0</v>
          </cell>
        </row>
        <row r="1074">
          <cell r="A1074">
            <v>469</v>
          </cell>
          <cell r="B1074" t="str">
            <v>Otras Cuentas por Pagar Diversas</v>
          </cell>
          <cell r="P1074" t="str">
            <v>P0304</v>
          </cell>
          <cell r="S1074">
            <v>0</v>
          </cell>
        </row>
        <row r="1075">
          <cell r="A1075">
            <v>4691</v>
          </cell>
          <cell r="B1075" t="str">
            <v>Subsidios gubernamentales</v>
          </cell>
          <cell r="P1075" t="str">
            <v>P0304</v>
          </cell>
          <cell r="S1075">
            <v>0</v>
          </cell>
        </row>
        <row r="1076">
          <cell r="A1076">
            <v>4692</v>
          </cell>
          <cell r="B1076" t="str">
            <v>Donaciones condicionadas</v>
          </cell>
          <cell r="P1076" t="str">
            <v>P0304</v>
          </cell>
          <cell r="S1076">
            <v>0</v>
          </cell>
        </row>
        <row r="1077">
          <cell r="A1077">
            <v>4699</v>
          </cell>
          <cell r="B1077" t="str">
            <v>Otras cuentas por pagar</v>
          </cell>
          <cell r="P1077" t="str">
            <v>P0304</v>
          </cell>
          <cell r="S1077">
            <v>0</v>
          </cell>
        </row>
        <row r="1078">
          <cell r="A1078">
            <v>46991</v>
          </cell>
          <cell r="B1078" t="str">
            <v>Contratos por pagar</v>
          </cell>
          <cell r="P1078" t="str">
            <v>P0304</v>
          </cell>
          <cell r="S1078">
            <v>0</v>
          </cell>
        </row>
        <row r="1079">
          <cell r="A1079">
            <v>47</v>
          </cell>
          <cell r="B1079" t="str">
            <v>CUENTAS POR PAGAR DIVERSAS – RELACIONADAS</v>
          </cell>
          <cell r="P1079" t="str">
            <v>P0303</v>
          </cell>
          <cell r="S1079">
            <v>0</v>
          </cell>
        </row>
        <row r="1080">
          <cell r="A1080">
            <v>471</v>
          </cell>
          <cell r="B1080" t="str">
            <v>Préstamos</v>
          </cell>
          <cell r="P1080" t="str">
            <v>P0303</v>
          </cell>
          <cell r="S1080">
            <v>0</v>
          </cell>
        </row>
        <row r="1081">
          <cell r="A1081">
            <v>4711</v>
          </cell>
          <cell r="B1081" t="str">
            <v>Matriz</v>
          </cell>
          <cell r="P1081" t="str">
            <v>P0303</v>
          </cell>
          <cell r="S1081">
            <v>0</v>
          </cell>
        </row>
        <row r="1082">
          <cell r="A1082">
            <v>4712</v>
          </cell>
          <cell r="B1082" t="str">
            <v>Subsidiarias</v>
          </cell>
          <cell r="P1082" t="str">
            <v>P0303</v>
          </cell>
          <cell r="S1082">
            <v>0</v>
          </cell>
        </row>
        <row r="1083">
          <cell r="A1083">
            <v>4713</v>
          </cell>
          <cell r="B1083" t="str">
            <v>Asociadas</v>
          </cell>
          <cell r="P1083" t="str">
            <v>P0303</v>
          </cell>
          <cell r="S1083">
            <v>0</v>
          </cell>
        </row>
        <row r="1084">
          <cell r="A1084">
            <v>4714</v>
          </cell>
          <cell r="B1084" t="str">
            <v>Sucursales</v>
          </cell>
          <cell r="P1084" t="str">
            <v>P0303</v>
          </cell>
          <cell r="S1084">
            <v>0</v>
          </cell>
        </row>
        <row r="1085">
          <cell r="A1085">
            <v>4715</v>
          </cell>
          <cell r="B1085" t="str">
            <v>Otras</v>
          </cell>
          <cell r="P1085" t="str">
            <v>P0303</v>
          </cell>
          <cell r="S1085">
            <v>0</v>
          </cell>
        </row>
        <row r="1086">
          <cell r="A1086">
            <v>472</v>
          </cell>
          <cell r="B1086" t="str">
            <v>Costos de Financiación</v>
          </cell>
          <cell r="P1086" t="str">
            <v>P0303</v>
          </cell>
          <cell r="S1086">
            <v>0</v>
          </cell>
        </row>
        <row r="1087">
          <cell r="A1087">
            <v>4721</v>
          </cell>
          <cell r="B1087" t="str">
            <v>Matriz</v>
          </cell>
          <cell r="P1087" t="str">
            <v>P0303</v>
          </cell>
          <cell r="S1087">
            <v>0</v>
          </cell>
        </row>
        <row r="1088">
          <cell r="A1088">
            <v>4722</v>
          </cell>
          <cell r="B1088" t="str">
            <v>Subsidiarias</v>
          </cell>
          <cell r="P1088" t="str">
            <v>P0303</v>
          </cell>
          <cell r="S1088">
            <v>0</v>
          </cell>
        </row>
        <row r="1089">
          <cell r="A1089">
            <v>4723</v>
          </cell>
          <cell r="B1089" t="str">
            <v>Asociadas</v>
          </cell>
          <cell r="P1089" t="str">
            <v>P0303</v>
          </cell>
          <cell r="S1089">
            <v>0</v>
          </cell>
        </row>
        <row r="1090">
          <cell r="A1090">
            <v>4724</v>
          </cell>
          <cell r="B1090" t="str">
            <v>Sucursales</v>
          </cell>
          <cell r="P1090" t="str">
            <v>P0303</v>
          </cell>
          <cell r="S1090">
            <v>0</v>
          </cell>
        </row>
        <row r="1091">
          <cell r="A1091">
            <v>4725</v>
          </cell>
          <cell r="B1091" t="str">
            <v>Otras</v>
          </cell>
          <cell r="P1091" t="str">
            <v>P0303</v>
          </cell>
          <cell r="S1091">
            <v>0</v>
          </cell>
        </row>
        <row r="1092">
          <cell r="A1092">
            <v>473</v>
          </cell>
          <cell r="B1092" t="str">
            <v>Anticipos Recibidos</v>
          </cell>
          <cell r="P1092" t="str">
            <v>P0303</v>
          </cell>
          <cell r="S1092">
            <v>0</v>
          </cell>
        </row>
        <row r="1093">
          <cell r="A1093">
            <v>4731</v>
          </cell>
          <cell r="B1093" t="str">
            <v>Matriz</v>
          </cell>
          <cell r="P1093" t="str">
            <v>P0303</v>
          </cell>
          <cell r="S1093">
            <v>0</v>
          </cell>
        </row>
        <row r="1094">
          <cell r="A1094">
            <v>4732</v>
          </cell>
          <cell r="B1094" t="str">
            <v>Subsidiarias</v>
          </cell>
          <cell r="P1094" t="str">
            <v>P0303</v>
          </cell>
          <cell r="S1094">
            <v>0</v>
          </cell>
        </row>
        <row r="1095">
          <cell r="A1095">
            <v>4733</v>
          </cell>
          <cell r="B1095" t="str">
            <v>Asociadas</v>
          </cell>
          <cell r="P1095" t="str">
            <v>P0303</v>
          </cell>
          <cell r="S1095">
            <v>0</v>
          </cell>
        </row>
        <row r="1096">
          <cell r="A1096">
            <v>4734</v>
          </cell>
          <cell r="B1096" t="str">
            <v>Sucursales</v>
          </cell>
          <cell r="P1096" t="str">
            <v>P0303</v>
          </cell>
          <cell r="S1096">
            <v>0</v>
          </cell>
        </row>
        <row r="1097">
          <cell r="A1097">
            <v>474</v>
          </cell>
          <cell r="B1097" t="str">
            <v>Regalías</v>
          </cell>
          <cell r="P1097" t="str">
            <v>P0303</v>
          </cell>
          <cell r="S1097">
            <v>0</v>
          </cell>
        </row>
        <row r="1098">
          <cell r="A1098">
            <v>4741</v>
          </cell>
          <cell r="B1098" t="str">
            <v>Matriz</v>
          </cell>
          <cell r="P1098" t="str">
            <v>P0303</v>
          </cell>
          <cell r="S1098">
            <v>0</v>
          </cell>
        </row>
        <row r="1099">
          <cell r="A1099">
            <v>4742</v>
          </cell>
          <cell r="B1099" t="str">
            <v>Subsidiarias</v>
          </cell>
          <cell r="P1099" t="str">
            <v>P0303</v>
          </cell>
          <cell r="S1099">
            <v>0</v>
          </cell>
        </row>
        <row r="1100">
          <cell r="A1100">
            <v>4743</v>
          </cell>
          <cell r="B1100" t="str">
            <v>Asociadas</v>
          </cell>
          <cell r="P1100" t="str">
            <v>P0303</v>
          </cell>
          <cell r="S1100">
            <v>0</v>
          </cell>
        </row>
        <row r="1101">
          <cell r="A1101">
            <v>4744</v>
          </cell>
          <cell r="B1101" t="str">
            <v>Sucursales</v>
          </cell>
          <cell r="P1101" t="str">
            <v>P0303</v>
          </cell>
          <cell r="S1101">
            <v>0</v>
          </cell>
        </row>
        <row r="1102">
          <cell r="A1102">
            <v>4745</v>
          </cell>
          <cell r="B1102" t="str">
            <v>Otras</v>
          </cell>
          <cell r="P1102" t="str">
            <v>P0303</v>
          </cell>
          <cell r="S1102">
            <v>0</v>
          </cell>
        </row>
        <row r="1103">
          <cell r="A1103">
            <v>475</v>
          </cell>
          <cell r="B1103" t="str">
            <v>Dividendos</v>
          </cell>
          <cell r="P1103" t="str">
            <v>P0303</v>
          </cell>
          <cell r="S1103">
            <v>0</v>
          </cell>
        </row>
        <row r="1104">
          <cell r="A1104">
            <v>4751</v>
          </cell>
          <cell r="B1104" t="str">
            <v>Matriz</v>
          </cell>
          <cell r="P1104" t="str">
            <v>P0303</v>
          </cell>
          <cell r="S1104">
            <v>0</v>
          </cell>
        </row>
        <row r="1105">
          <cell r="A1105">
            <v>4752</v>
          </cell>
          <cell r="B1105" t="str">
            <v>Subsidiarias</v>
          </cell>
          <cell r="P1105" t="str">
            <v>P0303</v>
          </cell>
          <cell r="S1105">
            <v>0</v>
          </cell>
        </row>
        <row r="1106">
          <cell r="A1106">
            <v>4753</v>
          </cell>
          <cell r="B1106" t="str">
            <v>Asociadas</v>
          </cell>
          <cell r="P1106" t="str">
            <v>P0303</v>
          </cell>
          <cell r="S1106">
            <v>0</v>
          </cell>
        </row>
        <row r="1107">
          <cell r="A1107">
            <v>4754</v>
          </cell>
          <cell r="B1107" t="str">
            <v>Sucursales</v>
          </cell>
          <cell r="P1107" t="str">
            <v>P0303</v>
          </cell>
          <cell r="S1107">
            <v>0</v>
          </cell>
        </row>
        <row r="1108">
          <cell r="A1108">
            <v>4755</v>
          </cell>
          <cell r="B1108" t="str">
            <v>Otras</v>
          </cell>
          <cell r="P1108" t="str">
            <v>P0303</v>
          </cell>
          <cell r="S1108">
            <v>0</v>
          </cell>
        </row>
        <row r="1109">
          <cell r="A1109">
            <v>477</v>
          </cell>
          <cell r="B1109" t="str">
            <v>Pasivo por Compra de Activo Inmovilizado</v>
          </cell>
          <cell r="P1109" t="str">
            <v>P0303</v>
          </cell>
          <cell r="S1109">
            <v>0</v>
          </cell>
        </row>
        <row r="1110">
          <cell r="A1110">
            <v>4771</v>
          </cell>
          <cell r="B1110" t="str">
            <v>Inversiones mobiliarias</v>
          </cell>
          <cell r="P1110" t="str">
            <v>P0303</v>
          </cell>
          <cell r="S1110">
            <v>0</v>
          </cell>
        </row>
        <row r="1111">
          <cell r="A1111">
            <v>47711</v>
          </cell>
          <cell r="B1111" t="str">
            <v>Matriz</v>
          </cell>
          <cell r="P1111" t="str">
            <v>P0303</v>
          </cell>
          <cell r="S1111">
            <v>0</v>
          </cell>
        </row>
        <row r="1112">
          <cell r="A1112">
            <v>47712</v>
          </cell>
          <cell r="B1112" t="str">
            <v>Subsidiarias</v>
          </cell>
          <cell r="P1112" t="str">
            <v>P0303</v>
          </cell>
          <cell r="S1112">
            <v>0</v>
          </cell>
        </row>
        <row r="1113">
          <cell r="A1113">
            <v>47713</v>
          </cell>
          <cell r="B1113" t="str">
            <v>Asociadas</v>
          </cell>
          <cell r="P1113" t="str">
            <v>P0303</v>
          </cell>
          <cell r="S1113">
            <v>0</v>
          </cell>
        </row>
        <row r="1114">
          <cell r="A1114">
            <v>47714</v>
          </cell>
          <cell r="B1114" t="str">
            <v>Sucursales</v>
          </cell>
          <cell r="P1114" t="str">
            <v>P0303</v>
          </cell>
          <cell r="S1114">
            <v>0</v>
          </cell>
        </row>
        <row r="1115">
          <cell r="A1115">
            <v>47715</v>
          </cell>
          <cell r="B1115" t="str">
            <v>Otras</v>
          </cell>
          <cell r="P1115" t="str">
            <v>P0303</v>
          </cell>
          <cell r="S1115">
            <v>0</v>
          </cell>
        </row>
        <row r="1116">
          <cell r="A1116">
            <v>4772</v>
          </cell>
          <cell r="B1116" t="str">
            <v>Inversiones inmobiliarias</v>
          </cell>
          <cell r="P1116" t="str">
            <v>P0303</v>
          </cell>
          <cell r="S1116">
            <v>0</v>
          </cell>
        </row>
        <row r="1117">
          <cell r="A1117">
            <v>47721</v>
          </cell>
          <cell r="B1117" t="str">
            <v>Matriz</v>
          </cell>
          <cell r="P1117" t="str">
            <v>P0303</v>
          </cell>
          <cell r="S1117">
            <v>0</v>
          </cell>
        </row>
        <row r="1118">
          <cell r="A1118">
            <v>47722</v>
          </cell>
          <cell r="B1118" t="str">
            <v>Subsidiarias</v>
          </cell>
          <cell r="P1118" t="str">
            <v>P0303</v>
          </cell>
          <cell r="S1118">
            <v>0</v>
          </cell>
        </row>
        <row r="1119">
          <cell r="A1119">
            <v>47723</v>
          </cell>
          <cell r="B1119" t="str">
            <v>Asociadas</v>
          </cell>
          <cell r="P1119" t="str">
            <v>P0303</v>
          </cell>
          <cell r="S1119">
            <v>0</v>
          </cell>
        </row>
        <row r="1120">
          <cell r="A1120">
            <v>47724</v>
          </cell>
          <cell r="B1120" t="str">
            <v>Sucursales</v>
          </cell>
          <cell r="P1120" t="str">
            <v>P0303</v>
          </cell>
          <cell r="S1120">
            <v>0</v>
          </cell>
        </row>
        <row r="1121">
          <cell r="A1121">
            <v>47725</v>
          </cell>
          <cell r="B1121" t="str">
            <v>Otras</v>
          </cell>
          <cell r="P1121" t="str">
            <v>P0303</v>
          </cell>
          <cell r="S1121">
            <v>0</v>
          </cell>
        </row>
        <row r="1122">
          <cell r="A1122">
            <v>4773</v>
          </cell>
          <cell r="B1122" t="str">
            <v>Activos adquiridos en arrendamiento financiero</v>
          </cell>
          <cell r="P1122" t="str">
            <v>P0303</v>
          </cell>
          <cell r="S1122">
            <v>0</v>
          </cell>
        </row>
        <row r="1123">
          <cell r="A1123">
            <v>47731</v>
          </cell>
          <cell r="B1123" t="str">
            <v>Matriz</v>
          </cell>
          <cell r="P1123" t="str">
            <v>P0303</v>
          </cell>
          <cell r="S1123">
            <v>0</v>
          </cell>
        </row>
        <row r="1124">
          <cell r="A1124">
            <v>47732</v>
          </cell>
          <cell r="B1124" t="str">
            <v>Subsidiarias</v>
          </cell>
          <cell r="P1124" t="str">
            <v>P0303</v>
          </cell>
          <cell r="S1124">
            <v>0</v>
          </cell>
        </row>
        <row r="1125">
          <cell r="A1125">
            <v>47733</v>
          </cell>
          <cell r="B1125" t="str">
            <v>Asociadas</v>
          </cell>
          <cell r="P1125" t="str">
            <v>P0303</v>
          </cell>
          <cell r="S1125">
            <v>0</v>
          </cell>
        </row>
        <row r="1126">
          <cell r="A1126">
            <v>47734</v>
          </cell>
          <cell r="B1126" t="str">
            <v>Sucursales</v>
          </cell>
          <cell r="P1126" t="str">
            <v>P0303</v>
          </cell>
          <cell r="S1126">
            <v>0</v>
          </cell>
        </row>
        <row r="1127">
          <cell r="A1127">
            <v>47735</v>
          </cell>
          <cell r="B1127" t="str">
            <v>Otras</v>
          </cell>
          <cell r="P1127" t="str">
            <v>P0303</v>
          </cell>
          <cell r="S1127">
            <v>0</v>
          </cell>
        </row>
        <row r="1128">
          <cell r="A1128">
            <v>4774</v>
          </cell>
          <cell r="B1128" t="str">
            <v>Inmueble maquinarias y equipos</v>
          </cell>
          <cell r="P1128" t="str">
            <v>P0303</v>
          </cell>
          <cell r="S1128">
            <v>0</v>
          </cell>
        </row>
        <row r="1129">
          <cell r="A1129">
            <v>47741</v>
          </cell>
          <cell r="B1129" t="str">
            <v>Matriz</v>
          </cell>
          <cell r="P1129" t="str">
            <v>P0303</v>
          </cell>
          <cell r="S1129">
            <v>0</v>
          </cell>
        </row>
        <row r="1130">
          <cell r="A1130">
            <v>47742</v>
          </cell>
          <cell r="B1130" t="str">
            <v>Subsidiarias</v>
          </cell>
          <cell r="P1130" t="str">
            <v>P0303</v>
          </cell>
          <cell r="S1130">
            <v>0</v>
          </cell>
        </row>
        <row r="1131">
          <cell r="A1131">
            <v>47743</v>
          </cell>
          <cell r="B1131" t="str">
            <v>Asociadas</v>
          </cell>
          <cell r="P1131" t="str">
            <v>P0303</v>
          </cell>
          <cell r="S1131">
            <v>0</v>
          </cell>
        </row>
        <row r="1132">
          <cell r="A1132">
            <v>47744</v>
          </cell>
          <cell r="B1132" t="str">
            <v>Sucursales</v>
          </cell>
          <cell r="P1132" t="str">
            <v>P0303</v>
          </cell>
          <cell r="S1132">
            <v>0</v>
          </cell>
        </row>
        <row r="1133">
          <cell r="A1133">
            <v>47745</v>
          </cell>
          <cell r="B1133" t="str">
            <v>Otras</v>
          </cell>
          <cell r="P1133" t="str">
            <v>P0303</v>
          </cell>
          <cell r="S1133">
            <v>0</v>
          </cell>
        </row>
        <row r="1134">
          <cell r="A1134">
            <v>4775</v>
          </cell>
          <cell r="B1134" t="str">
            <v>Intangibles</v>
          </cell>
          <cell r="P1134" t="str">
            <v>P0303</v>
          </cell>
          <cell r="S1134">
            <v>0</v>
          </cell>
        </row>
        <row r="1135">
          <cell r="A1135">
            <v>47751</v>
          </cell>
          <cell r="B1135" t="str">
            <v>Matriz</v>
          </cell>
          <cell r="P1135" t="str">
            <v>P0303</v>
          </cell>
          <cell r="S1135">
            <v>0</v>
          </cell>
        </row>
        <row r="1136">
          <cell r="A1136">
            <v>47752</v>
          </cell>
          <cell r="B1136" t="str">
            <v>Subsidiarias</v>
          </cell>
          <cell r="P1136" t="str">
            <v>P0303</v>
          </cell>
          <cell r="S1136">
            <v>0</v>
          </cell>
        </row>
        <row r="1137">
          <cell r="A1137">
            <v>47753</v>
          </cell>
          <cell r="B1137" t="str">
            <v>Asociadas</v>
          </cell>
          <cell r="P1137" t="str">
            <v>P0303</v>
          </cell>
          <cell r="S1137">
            <v>0</v>
          </cell>
        </row>
        <row r="1138">
          <cell r="A1138">
            <v>47754</v>
          </cell>
          <cell r="B1138" t="str">
            <v>Sucursales</v>
          </cell>
          <cell r="P1138" t="str">
            <v>P0303</v>
          </cell>
          <cell r="S1138">
            <v>0</v>
          </cell>
        </row>
        <row r="1139">
          <cell r="A1139">
            <v>47755</v>
          </cell>
          <cell r="B1139" t="str">
            <v>Otras</v>
          </cell>
          <cell r="P1139" t="str">
            <v>P0303</v>
          </cell>
          <cell r="S1139">
            <v>0</v>
          </cell>
        </row>
        <row r="1140">
          <cell r="A1140">
            <v>4776</v>
          </cell>
          <cell r="B1140" t="str">
            <v>Activos biológicos</v>
          </cell>
          <cell r="P1140" t="str">
            <v>P0303</v>
          </cell>
          <cell r="S1140">
            <v>0</v>
          </cell>
        </row>
        <row r="1141">
          <cell r="A1141">
            <v>47761</v>
          </cell>
          <cell r="B1141" t="str">
            <v>Matriz</v>
          </cell>
          <cell r="P1141" t="str">
            <v>P0303</v>
          </cell>
          <cell r="S1141">
            <v>0</v>
          </cell>
        </row>
        <row r="1142">
          <cell r="A1142">
            <v>47762</v>
          </cell>
          <cell r="B1142" t="str">
            <v>Subsidiarias</v>
          </cell>
          <cell r="P1142" t="str">
            <v>P0303</v>
          </cell>
          <cell r="S1142">
            <v>0</v>
          </cell>
        </row>
        <row r="1143">
          <cell r="A1143">
            <v>47763</v>
          </cell>
          <cell r="B1143" t="str">
            <v>Asociadas</v>
          </cell>
          <cell r="P1143" t="str">
            <v>P0303</v>
          </cell>
          <cell r="S1143">
            <v>0</v>
          </cell>
        </row>
        <row r="1144">
          <cell r="A1144">
            <v>47764</v>
          </cell>
          <cell r="B1144" t="str">
            <v>Sucursales</v>
          </cell>
          <cell r="P1144" t="str">
            <v>P0303</v>
          </cell>
          <cell r="S1144">
            <v>0</v>
          </cell>
        </row>
        <row r="1145">
          <cell r="A1145">
            <v>47765</v>
          </cell>
          <cell r="B1145" t="str">
            <v>Otras</v>
          </cell>
          <cell r="P1145" t="str">
            <v>P0303</v>
          </cell>
          <cell r="S1145">
            <v>0</v>
          </cell>
        </row>
        <row r="1146">
          <cell r="A1146">
            <v>479</v>
          </cell>
          <cell r="B1146" t="str">
            <v>Otras Cuentas por Pagar Diversas</v>
          </cell>
          <cell r="P1146" t="str">
            <v>P0303</v>
          </cell>
          <cell r="S1146">
            <v>0</v>
          </cell>
        </row>
        <row r="1147">
          <cell r="A1147">
            <v>4791</v>
          </cell>
          <cell r="B1147" t="str">
            <v>Otras cuentas por pagar diversas</v>
          </cell>
          <cell r="P1147" t="str">
            <v>P0303</v>
          </cell>
          <cell r="S1147">
            <v>0</v>
          </cell>
        </row>
        <row r="1148">
          <cell r="A1148">
            <v>47911</v>
          </cell>
          <cell r="B1148" t="str">
            <v>Matriz</v>
          </cell>
          <cell r="P1148" t="str">
            <v>P0303</v>
          </cell>
          <cell r="S1148">
            <v>0</v>
          </cell>
        </row>
        <row r="1149">
          <cell r="A1149">
            <v>47912</v>
          </cell>
          <cell r="B1149" t="str">
            <v>Subsidiarias</v>
          </cell>
          <cell r="P1149" t="str">
            <v>P0303</v>
          </cell>
          <cell r="S1149">
            <v>0</v>
          </cell>
        </row>
        <row r="1150">
          <cell r="A1150">
            <v>47913</v>
          </cell>
          <cell r="B1150" t="str">
            <v>Asociadas</v>
          </cell>
          <cell r="P1150" t="str">
            <v>P0303</v>
          </cell>
          <cell r="S1150">
            <v>0</v>
          </cell>
        </row>
        <row r="1151">
          <cell r="A1151">
            <v>47914</v>
          </cell>
          <cell r="B1151" t="str">
            <v>Sucursales</v>
          </cell>
          <cell r="P1151" t="str">
            <v>P0303</v>
          </cell>
          <cell r="S1151">
            <v>0</v>
          </cell>
        </row>
        <row r="1152">
          <cell r="A1152">
            <v>47915</v>
          </cell>
          <cell r="B1152" t="str">
            <v>Otras</v>
          </cell>
          <cell r="P1152" t="str">
            <v>P0303</v>
          </cell>
          <cell r="S1152">
            <v>0</v>
          </cell>
        </row>
        <row r="1153">
          <cell r="A1153">
            <v>48</v>
          </cell>
          <cell r="B1153" t="str">
            <v>PROVISIONES</v>
          </cell>
          <cell r="P1153" t="str">
            <v>P0310</v>
          </cell>
          <cell r="S1153">
            <v>0</v>
          </cell>
        </row>
        <row r="1154">
          <cell r="A1154">
            <v>481</v>
          </cell>
          <cell r="B1154" t="str">
            <v>Provisión para Litigios</v>
          </cell>
          <cell r="P1154" t="str">
            <v>P0310</v>
          </cell>
          <cell r="S1154">
            <v>0</v>
          </cell>
        </row>
        <row r="1155">
          <cell r="A1155">
            <v>482</v>
          </cell>
          <cell r="B1155" t="str">
            <v>Provisión por Desmantelamiento, Retiro o Rehabilitación del Inmovilizado</v>
          </cell>
          <cell r="P1155" t="str">
            <v>P0310</v>
          </cell>
          <cell r="S1155">
            <v>0</v>
          </cell>
        </row>
        <row r="1156">
          <cell r="A1156">
            <v>483</v>
          </cell>
          <cell r="B1156" t="str">
            <v>Provisión para Reestructuraciones</v>
          </cell>
          <cell r="P1156" t="str">
            <v>P0310</v>
          </cell>
          <cell r="S1156">
            <v>0</v>
          </cell>
        </row>
        <row r="1157">
          <cell r="A1157">
            <v>484</v>
          </cell>
          <cell r="B1157" t="str">
            <v>Provisión para Protección y Remediación del Medio Ambiente</v>
          </cell>
          <cell r="P1157" t="str">
            <v>P0310</v>
          </cell>
          <cell r="S1157">
            <v>0</v>
          </cell>
        </row>
        <row r="1158">
          <cell r="A1158">
            <v>485</v>
          </cell>
          <cell r="B1158" t="str">
            <v>Provisión para Gastos de Responsabilidad Social</v>
          </cell>
          <cell r="P1158" t="str">
            <v>P0310</v>
          </cell>
          <cell r="S1158">
            <v>0</v>
          </cell>
        </row>
        <row r="1159">
          <cell r="A1159">
            <v>486</v>
          </cell>
          <cell r="B1159" t="str">
            <v>Provisión para garantias</v>
          </cell>
          <cell r="P1159" t="str">
            <v>P0310</v>
          </cell>
          <cell r="S1159">
            <v>0</v>
          </cell>
        </row>
        <row r="1160">
          <cell r="A1160">
            <v>489</v>
          </cell>
          <cell r="B1160" t="str">
            <v>Otras Provisiones</v>
          </cell>
          <cell r="P1160" t="str">
            <v>P0310</v>
          </cell>
          <cell r="S1160">
            <v>0</v>
          </cell>
        </row>
        <row r="1161">
          <cell r="A1161">
            <v>49</v>
          </cell>
          <cell r="B1161" t="str">
            <v>PASIVO DIFERIDO</v>
          </cell>
          <cell r="P1161" t="str">
            <v>P0404</v>
          </cell>
          <cell r="S1161">
            <v>0</v>
          </cell>
        </row>
        <row r="1162">
          <cell r="A1162">
            <v>491</v>
          </cell>
          <cell r="B1162" t="str">
            <v>Impuesto a la Renta Diferido</v>
          </cell>
          <cell r="P1162" t="str">
            <v>P0404</v>
          </cell>
          <cell r="S1162">
            <v>0</v>
          </cell>
        </row>
        <row r="1163">
          <cell r="A1163">
            <v>4911</v>
          </cell>
          <cell r="B1163" t="str">
            <v>Impuesto a la renta diferido - patrimonio</v>
          </cell>
          <cell r="P1163" t="str">
            <v>P0404</v>
          </cell>
          <cell r="S1163">
            <v>0</v>
          </cell>
        </row>
        <row r="1164">
          <cell r="A1164">
            <v>4912</v>
          </cell>
          <cell r="B1164" t="str">
            <v>Impuesto a la renta diferido - resultados</v>
          </cell>
          <cell r="P1164" t="str">
            <v>P0404</v>
          </cell>
          <cell r="S1164">
            <v>0</v>
          </cell>
        </row>
        <row r="1165">
          <cell r="A1165">
            <v>492</v>
          </cell>
          <cell r="B1165" t="str">
            <v>Participaciones de los Trabajadores Diferidas</v>
          </cell>
          <cell r="P1165" t="str">
            <v>P0404</v>
          </cell>
          <cell r="S1165">
            <v>0</v>
          </cell>
        </row>
        <row r="1166">
          <cell r="A1166">
            <v>4921</v>
          </cell>
          <cell r="B1166" t="str">
            <v>Participaciones de los trabajadores diferidas - patrimonio</v>
          </cell>
          <cell r="P1166" t="str">
            <v>P0404</v>
          </cell>
          <cell r="S1166">
            <v>0</v>
          </cell>
        </row>
        <row r="1167">
          <cell r="A1167">
            <v>4922</v>
          </cell>
          <cell r="B1167" t="str">
            <v>Participaciones de los trabajadores diferidas - resultados</v>
          </cell>
          <cell r="P1167" t="str">
            <v>P0404</v>
          </cell>
          <cell r="S1167">
            <v>0</v>
          </cell>
        </row>
        <row r="1168">
          <cell r="A1168">
            <v>493</v>
          </cell>
          <cell r="B1168" t="str">
            <v>Intereses Diferidos</v>
          </cell>
          <cell r="P1168" t="str">
            <v>A0103</v>
          </cell>
          <cell r="S1168">
            <v>0</v>
          </cell>
        </row>
        <row r="1169">
          <cell r="A1169">
            <v>4931</v>
          </cell>
          <cell r="B1169" t="str">
            <v>Intereses no devengados en transacciones con terceros</v>
          </cell>
          <cell r="P1169" t="str">
            <v>A0103</v>
          </cell>
          <cell r="S1169">
            <v>0</v>
          </cell>
        </row>
        <row r="1170">
          <cell r="A1170">
            <v>49311</v>
          </cell>
          <cell r="B1170" t="str">
            <v>Intereses por devengar</v>
          </cell>
          <cell r="P1170" t="str">
            <v>A0103</v>
          </cell>
          <cell r="S1170">
            <v>0</v>
          </cell>
        </row>
        <row r="1171">
          <cell r="A1171">
            <v>4932</v>
          </cell>
          <cell r="B1171" t="str">
            <v>Intereses no devengados en medición a valor descontado</v>
          </cell>
          <cell r="P1171" t="str">
            <v>A0103</v>
          </cell>
          <cell r="S1171">
            <v>0</v>
          </cell>
        </row>
        <row r="1172">
          <cell r="A1172">
            <v>494</v>
          </cell>
          <cell r="B1172" t="str">
            <v>Ganancia en Venta con Arrendamiento Financiero Paralelo</v>
          </cell>
          <cell r="P1172" t="str">
            <v>P0403</v>
          </cell>
          <cell r="S1172">
            <v>0</v>
          </cell>
        </row>
        <row r="1173">
          <cell r="A1173">
            <v>495</v>
          </cell>
          <cell r="B1173" t="str">
            <v>Subsidios Recibidos Diferidos</v>
          </cell>
          <cell r="P1173" t="str">
            <v>P0403</v>
          </cell>
          <cell r="S1173">
            <v>0</v>
          </cell>
        </row>
        <row r="1174">
          <cell r="A1174">
            <v>496</v>
          </cell>
          <cell r="B1174" t="str">
            <v>Ingresos Diferidos</v>
          </cell>
          <cell r="P1174" t="str">
            <v>P0403</v>
          </cell>
          <cell r="S1174">
            <v>0</v>
          </cell>
        </row>
        <row r="1175">
          <cell r="A1175">
            <v>497</v>
          </cell>
          <cell r="B1175" t="str">
            <v>Costos Diferidos</v>
          </cell>
          <cell r="P1175" t="str">
            <v>P0403</v>
          </cell>
          <cell r="S1175">
            <v>0</v>
          </cell>
        </row>
        <row r="1176">
          <cell r="A1176">
            <v>50</v>
          </cell>
          <cell r="B1176" t="str">
            <v>CAPITAL</v>
          </cell>
          <cell r="P1176" t="str">
            <v>P0701</v>
          </cell>
          <cell r="S1176">
            <v>0</v>
          </cell>
        </row>
        <row r="1177">
          <cell r="A1177">
            <v>501</v>
          </cell>
          <cell r="B1177" t="str">
            <v>Capital Social</v>
          </cell>
          <cell r="P1177" t="str">
            <v>P0701</v>
          </cell>
          <cell r="S1177">
            <v>0</v>
          </cell>
        </row>
        <row r="1178">
          <cell r="A1178">
            <v>5011</v>
          </cell>
          <cell r="B1178" t="str">
            <v>Acciones</v>
          </cell>
          <cell r="P1178" t="str">
            <v>P0701</v>
          </cell>
          <cell r="S1178">
            <v>0</v>
          </cell>
        </row>
        <row r="1179">
          <cell r="A1179">
            <v>50111</v>
          </cell>
          <cell r="B1179" t="str">
            <v>Acciones comunes</v>
          </cell>
          <cell r="P1179" t="str">
            <v>P0701</v>
          </cell>
          <cell r="S1179">
            <v>10050000</v>
          </cell>
        </row>
        <row r="1180">
          <cell r="A1180">
            <v>5012</v>
          </cell>
          <cell r="B1180" t="str">
            <v>Participaciones</v>
          </cell>
          <cell r="P1180" t="str">
            <v>P0701</v>
          </cell>
          <cell r="S1180">
            <v>0</v>
          </cell>
        </row>
        <row r="1181">
          <cell r="A1181">
            <v>502</v>
          </cell>
          <cell r="B1181" t="str">
            <v>Acciones en Tesorería</v>
          </cell>
          <cell r="P1181" t="str">
            <v>P0701</v>
          </cell>
          <cell r="S1181">
            <v>0</v>
          </cell>
        </row>
        <row r="1182">
          <cell r="A1182">
            <v>51</v>
          </cell>
          <cell r="B1182" t="str">
            <v>ACCIONES DE INVERSIÓN</v>
          </cell>
          <cell r="P1182" t="str">
            <v>P0703</v>
          </cell>
          <cell r="S1182">
            <v>0</v>
          </cell>
        </row>
        <row r="1183">
          <cell r="A1183">
            <v>511</v>
          </cell>
          <cell r="B1183" t="str">
            <v>Acciones de Inversión</v>
          </cell>
          <cell r="P1183" t="str">
            <v>P0703</v>
          </cell>
          <cell r="S1183">
            <v>0</v>
          </cell>
        </row>
        <row r="1184">
          <cell r="A1184">
            <v>512</v>
          </cell>
          <cell r="B1184" t="str">
            <v>Acciones de Inversión en Tesorería</v>
          </cell>
          <cell r="P1184" t="str">
            <v>P0703</v>
          </cell>
          <cell r="S1184">
            <v>0</v>
          </cell>
        </row>
        <row r="1185">
          <cell r="A1185">
            <v>52</v>
          </cell>
          <cell r="B1185" t="str">
            <v>CAPITAL ADICIONAL</v>
          </cell>
          <cell r="P1185" t="str">
            <v>P0702</v>
          </cell>
          <cell r="S1185">
            <v>0</v>
          </cell>
        </row>
        <row r="1186">
          <cell r="A1186">
            <v>521</v>
          </cell>
          <cell r="B1186" t="str">
            <v>Primas (Descuento) de Acciones</v>
          </cell>
          <cell r="P1186" t="str">
            <v>P0702</v>
          </cell>
          <cell r="S1186">
            <v>0</v>
          </cell>
        </row>
        <row r="1187">
          <cell r="A1187">
            <v>522</v>
          </cell>
          <cell r="B1187" t="str">
            <v>Capitalizaciones en Trámite</v>
          </cell>
          <cell r="P1187" t="str">
            <v>P0702</v>
          </cell>
          <cell r="S1187">
            <v>0</v>
          </cell>
        </row>
        <row r="1188">
          <cell r="A1188">
            <v>5221</v>
          </cell>
          <cell r="B1188" t="str">
            <v>Aportes</v>
          </cell>
          <cell r="P1188" t="str">
            <v>P0702</v>
          </cell>
          <cell r="S1188">
            <v>0</v>
          </cell>
        </row>
        <row r="1189">
          <cell r="A1189">
            <v>52211</v>
          </cell>
          <cell r="B1189" t="str">
            <v>Aportes en efectivo</v>
          </cell>
          <cell r="P1189" t="str">
            <v>P0702</v>
          </cell>
          <cell r="S1189">
            <v>0</v>
          </cell>
        </row>
        <row r="1190">
          <cell r="A1190">
            <v>5222</v>
          </cell>
          <cell r="B1190" t="str">
            <v>Reservas</v>
          </cell>
          <cell r="P1190" t="str">
            <v>P0702</v>
          </cell>
          <cell r="S1190">
            <v>0</v>
          </cell>
        </row>
        <row r="1191">
          <cell r="A1191">
            <v>5223</v>
          </cell>
          <cell r="B1191" t="str">
            <v>Acreencias</v>
          </cell>
          <cell r="P1191" t="str">
            <v>P0702</v>
          </cell>
          <cell r="S1191">
            <v>0</v>
          </cell>
        </row>
        <row r="1192">
          <cell r="A1192">
            <v>5224</v>
          </cell>
          <cell r="B1192" t="str">
            <v>Utilidades</v>
          </cell>
          <cell r="P1192" t="str">
            <v>P0702</v>
          </cell>
          <cell r="S1192">
            <v>0</v>
          </cell>
        </row>
        <row r="1193">
          <cell r="A1193">
            <v>523</v>
          </cell>
          <cell r="B1193" t="str">
            <v>Reducciones de Capital Pendientes de Formalización</v>
          </cell>
          <cell r="P1193" t="str">
            <v>P0702</v>
          </cell>
          <cell r="S1193">
            <v>0</v>
          </cell>
        </row>
        <row r="1194">
          <cell r="A1194">
            <v>56</v>
          </cell>
          <cell r="B1194" t="str">
            <v>RESULTADOS NO REALIZADOS</v>
          </cell>
          <cell r="P1194" t="str">
            <v>P0708</v>
          </cell>
          <cell r="S1194">
            <v>0</v>
          </cell>
        </row>
        <row r="1195">
          <cell r="A1195">
            <v>561</v>
          </cell>
          <cell r="B1195" t="str">
            <v>Diferencia en Cambio de Inversiones Permanentes en Entidades Extranjeras</v>
          </cell>
          <cell r="P1195" t="str">
            <v>P0708</v>
          </cell>
          <cell r="S1195">
            <v>0</v>
          </cell>
        </row>
        <row r="1196">
          <cell r="A1196">
            <v>562</v>
          </cell>
          <cell r="B1196" t="str">
            <v>Instrumentos Financieros – Cobertura de Flujo de Efectivo</v>
          </cell>
          <cell r="P1196" t="str">
            <v>P0708</v>
          </cell>
          <cell r="S1196">
            <v>0</v>
          </cell>
        </row>
        <row r="1197">
          <cell r="A1197">
            <v>563</v>
          </cell>
          <cell r="B1197" t="str">
            <v>Ganancia o Pérdida en Activos o Pasivos Financieros Disponibles para la Venta</v>
          </cell>
          <cell r="P1197" t="str">
            <v>P0708</v>
          </cell>
          <cell r="S1197">
            <v>0</v>
          </cell>
        </row>
        <row r="1198">
          <cell r="A1198">
            <v>5631</v>
          </cell>
          <cell r="B1198" t="str">
            <v>Ganancia</v>
          </cell>
          <cell r="P1198" t="str">
            <v>P0708</v>
          </cell>
          <cell r="S1198">
            <v>0</v>
          </cell>
        </row>
        <row r="1199">
          <cell r="A1199">
            <v>5632</v>
          </cell>
          <cell r="B1199" t="str">
            <v>Pérdida</v>
          </cell>
          <cell r="P1199" t="str">
            <v>P0708</v>
          </cell>
          <cell r="S1199">
            <v>0</v>
          </cell>
        </row>
        <row r="1200">
          <cell r="A1200">
            <v>564</v>
          </cell>
          <cell r="B1200" t="str">
            <v xml:space="preserve">Ganancia o Pérdida en Activos o Pasivos Financieros Disponibles para la Venta </v>
          </cell>
          <cell r="P1200" t="str">
            <v>P0708</v>
          </cell>
          <cell r="S1200">
            <v>0</v>
          </cell>
        </row>
        <row r="1201">
          <cell r="A1201">
            <v>5641</v>
          </cell>
          <cell r="B1201" t="str">
            <v>Ganancia</v>
          </cell>
          <cell r="P1201" t="str">
            <v>P0708</v>
          </cell>
          <cell r="S1201">
            <v>0</v>
          </cell>
        </row>
        <row r="1202">
          <cell r="A1202">
            <v>5642</v>
          </cell>
          <cell r="B1202" t="str">
            <v>Pérdida</v>
          </cell>
          <cell r="P1202" t="str">
            <v>P0708</v>
          </cell>
          <cell r="S1202">
            <v>0</v>
          </cell>
        </row>
        <row r="1203">
          <cell r="A1203">
            <v>57</v>
          </cell>
          <cell r="B1203" t="str">
            <v>EXCEDENTE DE REVALUACIÓN</v>
          </cell>
          <cell r="P1203" t="str">
            <v>P0708</v>
          </cell>
          <cell r="S1203">
            <v>0</v>
          </cell>
        </row>
        <row r="1204">
          <cell r="A1204">
            <v>571</v>
          </cell>
          <cell r="B1204" t="str">
            <v>Excedente de Revaluación</v>
          </cell>
          <cell r="P1204" t="str">
            <v>P0708</v>
          </cell>
          <cell r="S1204">
            <v>0</v>
          </cell>
        </row>
        <row r="1205">
          <cell r="A1205">
            <v>5711</v>
          </cell>
          <cell r="B1205" t="str">
            <v>Inversiones inmobiliarias</v>
          </cell>
          <cell r="P1205" t="str">
            <v>P0708</v>
          </cell>
          <cell r="S1205">
            <v>0</v>
          </cell>
        </row>
        <row r="1206">
          <cell r="A1206">
            <v>5712</v>
          </cell>
          <cell r="B1206" t="str">
            <v>Inmuebles, maquinaria y equipos</v>
          </cell>
          <cell r="P1206" t="str">
            <v>P0708</v>
          </cell>
          <cell r="S1206">
            <v>0</v>
          </cell>
        </row>
        <row r="1207">
          <cell r="A1207">
            <v>5713</v>
          </cell>
          <cell r="B1207" t="str">
            <v>Intangibles</v>
          </cell>
          <cell r="P1207" t="str">
            <v>P0708</v>
          </cell>
          <cell r="S1207">
            <v>0</v>
          </cell>
        </row>
        <row r="1208">
          <cell r="A1208">
            <v>572</v>
          </cell>
          <cell r="B1208" t="str">
            <v>Excedente de Revaluación – Acciones Liberadas Recibidas</v>
          </cell>
          <cell r="P1208" t="str">
            <v>P0708</v>
          </cell>
          <cell r="S1208">
            <v>0</v>
          </cell>
        </row>
        <row r="1209">
          <cell r="A1209">
            <v>573</v>
          </cell>
          <cell r="B1209" t="str">
            <v>Participación en Excedente de Revaluación – Inversiones en Entidades Relacionadas</v>
          </cell>
          <cell r="P1209" t="str">
            <v>P0708</v>
          </cell>
          <cell r="S1209">
            <v>0</v>
          </cell>
        </row>
        <row r="1210">
          <cell r="A1210">
            <v>58</v>
          </cell>
          <cell r="B1210" t="str">
            <v>RESERVAS</v>
          </cell>
          <cell r="P1210" t="str">
            <v>P0705</v>
          </cell>
          <cell r="S1210">
            <v>0</v>
          </cell>
        </row>
        <row r="1211">
          <cell r="A1211">
            <v>581</v>
          </cell>
          <cell r="B1211" t="str">
            <v>Reinversión</v>
          </cell>
          <cell r="P1211" t="str">
            <v>P0706</v>
          </cell>
          <cell r="S1211">
            <v>0</v>
          </cell>
        </row>
        <row r="1212">
          <cell r="A1212">
            <v>582</v>
          </cell>
          <cell r="B1212" t="str">
            <v>Legal</v>
          </cell>
          <cell r="P1212" t="str">
            <v>P0705</v>
          </cell>
          <cell r="S1212">
            <v>0</v>
          </cell>
        </row>
        <row r="1213">
          <cell r="A1213">
            <v>58211</v>
          </cell>
          <cell r="B1213" t="str">
            <v>Reserva legal</v>
          </cell>
          <cell r="P1213" t="str">
            <v>P0705</v>
          </cell>
          <cell r="S1213">
            <v>0</v>
          </cell>
        </row>
        <row r="1214">
          <cell r="A1214">
            <v>583</v>
          </cell>
          <cell r="B1214" t="str">
            <v>Contractuales</v>
          </cell>
          <cell r="P1214" t="str">
            <v>P0706</v>
          </cell>
          <cell r="S1214">
            <v>0</v>
          </cell>
        </row>
        <row r="1215">
          <cell r="A1215">
            <v>584</v>
          </cell>
          <cell r="B1215" t="str">
            <v>Estatutarias</v>
          </cell>
          <cell r="P1215" t="str">
            <v>P0706</v>
          </cell>
          <cell r="S1215">
            <v>0</v>
          </cell>
        </row>
        <row r="1216">
          <cell r="A1216">
            <v>585</v>
          </cell>
          <cell r="B1216" t="str">
            <v>Facultativas</v>
          </cell>
          <cell r="P1216" t="str">
            <v>P0706</v>
          </cell>
          <cell r="S1216">
            <v>0</v>
          </cell>
        </row>
        <row r="1217">
          <cell r="A1217">
            <v>589</v>
          </cell>
          <cell r="B1217" t="str">
            <v>Otras reservas</v>
          </cell>
          <cell r="P1217" t="str">
            <v>P0706</v>
          </cell>
          <cell r="S1217">
            <v>0</v>
          </cell>
        </row>
        <row r="1218">
          <cell r="A1218">
            <v>59</v>
          </cell>
          <cell r="B1218" t="str">
            <v>RESULTADOS ACUMULADOS</v>
          </cell>
          <cell r="P1218" t="str">
            <v>P0707</v>
          </cell>
          <cell r="S1218">
            <v>0</v>
          </cell>
        </row>
        <row r="1219">
          <cell r="A1219">
            <v>591</v>
          </cell>
          <cell r="B1219" t="str">
            <v>Utilidades no Distribuidas</v>
          </cell>
          <cell r="P1219" t="str">
            <v>P0707</v>
          </cell>
          <cell r="S1219">
            <v>0</v>
          </cell>
        </row>
        <row r="1220">
          <cell r="A1220">
            <v>5911</v>
          </cell>
          <cell r="B1220" t="str">
            <v>Utilidades acumuladas</v>
          </cell>
          <cell r="P1220" t="str">
            <v>P0707</v>
          </cell>
          <cell r="S1220">
            <v>0</v>
          </cell>
        </row>
        <row r="1221">
          <cell r="A1221">
            <v>59111</v>
          </cell>
          <cell r="B1221" t="str">
            <v>Utilidad del ejercicio</v>
          </cell>
          <cell r="P1221" t="str">
            <v>P0707</v>
          </cell>
          <cell r="S1221">
            <v>0</v>
          </cell>
        </row>
        <row r="1222">
          <cell r="A1222">
            <v>59112</v>
          </cell>
          <cell r="B1222" t="str">
            <v>Utilidad de años anteriores</v>
          </cell>
          <cell r="P1222" t="str">
            <v>P0707</v>
          </cell>
          <cell r="S1222">
            <v>0</v>
          </cell>
        </row>
        <row r="1223">
          <cell r="A1223">
            <v>5912</v>
          </cell>
          <cell r="B1223" t="str">
            <v>Ingresos de años anteriores</v>
          </cell>
          <cell r="P1223" t="str">
            <v>P0707</v>
          </cell>
          <cell r="S1223">
            <v>0</v>
          </cell>
        </row>
        <row r="1224">
          <cell r="A1224">
            <v>592</v>
          </cell>
          <cell r="B1224" t="str">
            <v>Pérdidas Acumuladas</v>
          </cell>
          <cell r="P1224" t="str">
            <v>P0707</v>
          </cell>
          <cell r="S1224">
            <v>0</v>
          </cell>
        </row>
        <row r="1225">
          <cell r="A1225">
            <v>5921</v>
          </cell>
          <cell r="B1225" t="str">
            <v>Pérdidas acumuladas</v>
          </cell>
          <cell r="P1225" t="str">
            <v>P0707</v>
          </cell>
          <cell r="S1225">
            <v>0</v>
          </cell>
        </row>
        <row r="1226">
          <cell r="A1226">
            <v>5922</v>
          </cell>
          <cell r="B1226" t="str">
            <v>Gastos de años anteriores</v>
          </cell>
          <cell r="P1226" t="str">
            <v>P0707</v>
          </cell>
          <cell r="S1226">
            <v>0</v>
          </cell>
        </row>
        <row r="1227">
          <cell r="A1227">
            <v>60</v>
          </cell>
          <cell r="B1227" t="str">
            <v>COMPRAS</v>
          </cell>
          <cell r="P1227">
            <v>0</v>
          </cell>
          <cell r="S1227">
            <v>0</v>
          </cell>
        </row>
        <row r="1228">
          <cell r="A1228">
            <v>601</v>
          </cell>
          <cell r="B1228" t="str">
            <v>Mercaderías</v>
          </cell>
          <cell r="P1228">
            <v>0</v>
          </cell>
          <cell r="S1228">
            <v>0</v>
          </cell>
        </row>
        <row r="1229">
          <cell r="A1229">
            <v>6011</v>
          </cell>
          <cell r="B1229" t="str">
            <v>Mercaderías manufacturadas</v>
          </cell>
          <cell r="P1229">
            <v>0</v>
          </cell>
          <cell r="S1229">
            <v>0</v>
          </cell>
        </row>
        <row r="1230">
          <cell r="A1230">
            <v>60111</v>
          </cell>
          <cell r="B1230" t="str">
            <v>Costo</v>
          </cell>
          <cell r="P1230">
            <v>0</v>
          </cell>
          <cell r="S1230">
            <v>119000</v>
          </cell>
        </row>
        <row r="1231">
          <cell r="A1231">
            <v>60112</v>
          </cell>
          <cell r="B1231" t="str">
            <v>Valor razonable</v>
          </cell>
          <cell r="P1231">
            <v>0</v>
          </cell>
          <cell r="S1231">
            <v>0</v>
          </cell>
        </row>
        <row r="1232">
          <cell r="A1232">
            <v>6012</v>
          </cell>
          <cell r="B1232" t="str">
            <v>Mercaderías de extracción</v>
          </cell>
          <cell r="P1232">
            <v>0</v>
          </cell>
          <cell r="S1232">
            <v>0</v>
          </cell>
        </row>
        <row r="1233">
          <cell r="A1233">
            <v>6013</v>
          </cell>
          <cell r="B1233" t="str">
            <v>Mercaderías agropecuarias y piscícolas</v>
          </cell>
          <cell r="P1233">
            <v>0</v>
          </cell>
          <cell r="S1233">
            <v>0</v>
          </cell>
        </row>
        <row r="1234">
          <cell r="A1234">
            <v>60131</v>
          </cell>
          <cell r="B1234" t="str">
            <v>De origen animal</v>
          </cell>
          <cell r="P1234">
            <v>0</v>
          </cell>
          <cell r="S1234">
            <v>0</v>
          </cell>
        </row>
        <row r="1235">
          <cell r="A1235">
            <v>60132</v>
          </cell>
          <cell r="B1235" t="str">
            <v>De origen vegetal</v>
          </cell>
          <cell r="P1235">
            <v>0</v>
          </cell>
          <cell r="S1235">
            <v>0</v>
          </cell>
        </row>
        <row r="1236">
          <cell r="A1236">
            <v>6014</v>
          </cell>
          <cell r="B1236" t="str">
            <v>Mercaderías inmuebles</v>
          </cell>
          <cell r="P1236">
            <v>0</v>
          </cell>
          <cell r="S1236">
            <v>0</v>
          </cell>
        </row>
        <row r="1237">
          <cell r="A1237">
            <v>6018</v>
          </cell>
          <cell r="B1237" t="str">
            <v>Otras mercaderías</v>
          </cell>
          <cell r="P1237">
            <v>0</v>
          </cell>
          <cell r="S1237">
            <v>0</v>
          </cell>
        </row>
        <row r="1238">
          <cell r="A1238">
            <v>602</v>
          </cell>
          <cell r="B1238" t="str">
            <v>Materias Primas</v>
          </cell>
          <cell r="P1238">
            <v>0</v>
          </cell>
          <cell r="S1238">
            <v>0</v>
          </cell>
        </row>
        <row r="1239">
          <cell r="A1239">
            <v>6021</v>
          </cell>
          <cell r="B1239" t="str">
            <v>Materias primas para productos manufacturados</v>
          </cell>
          <cell r="P1239">
            <v>0</v>
          </cell>
          <cell r="S1239">
            <v>0</v>
          </cell>
        </row>
        <row r="1240">
          <cell r="A1240">
            <v>6022</v>
          </cell>
          <cell r="B1240" t="str">
            <v>Materias primas para productos de extracción</v>
          </cell>
          <cell r="P1240">
            <v>0</v>
          </cell>
          <cell r="S1240">
            <v>0</v>
          </cell>
        </row>
        <row r="1241">
          <cell r="A1241">
            <v>6023</v>
          </cell>
          <cell r="B1241" t="str">
            <v>Materias primas para productos para productos agropecuarios y piscícolas</v>
          </cell>
          <cell r="P1241">
            <v>0</v>
          </cell>
          <cell r="S1241">
            <v>0</v>
          </cell>
        </row>
        <row r="1242">
          <cell r="A1242">
            <v>6024</v>
          </cell>
          <cell r="B1242" t="str">
            <v>Materias primas para productos inmuebles</v>
          </cell>
          <cell r="P1242">
            <v>0</v>
          </cell>
          <cell r="S1242">
            <v>0</v>
          </cell>
        </row>
        <row r="1243">
          <cell r="A1243">
            <v>603</v>
          </cell>
          <cell r="B1243" t="str">
            <v>Materiales Auxiliares, Suministros y Repuestos</v>
          </cell>
          <cell r="P1243">
            <v>0</v>
          </cell>
          <cell r="S1243">
            <v>0</v>
          </cell>
        </row>
        <row r="1244">
          <cell r="A1244">
            <v>6031</v>
          </cell>
          <cell r="B1244" t="str">
            <v>Materiales auxiliares</v>
          </cell>
          <cell r="P1244">
            <v>0</v>
          </cell>
          <cell r="S1244">
            <v>0</v>
          </cell>
        </row>
        <row r="1245">
          <cell r="A1245">
            <v>6032</v>
          </cell>
          <cell r="B1245" t="str">
            <v>Suministros</v>
          </cell>
          <cell r="P1245">
            <v>0</v>
          </cell>
          <cell r="S1245">
            <v>0</v>
          </cell>
        </row>
        <row r="1246">
          <cell r="A1246">
            <v>60321</v>
          </cell>
          <cell r="B1246" t="str">
            <v>Combustibles</v>
          </cell>
          <cell r="P1246">
            <v>0</v>
          </cell>
          <cell r="S1246">
            <v>0</v>
          </cell>
        </row>
        <row r="1247">
          <cell r="A1247">
            <v>60322</v>
          </cell>
          <cell r="B1247" t="str">
            <v>Lubricantes</v>
          </cell>
          <cell r="P1247">
            <v>0</v>
          </cell>
          <cell r="S1247">
            <v>0</v>
          </cell>
        </row>
        <row r="1248">
          <cell r="A1248">
            <v>60323</v>
          </cell>
          <cell r="B1248" t="str">
            <v>Energía</v>
          </cell>
          <cell r="P1248">
            <v>0</v>
          </cell>
          <cell r="S1248">
            <v>0</v>
          </cell>
        </row>
        <row r="1249">
          <cell r="A1249">
            <v>60324</v>
          </cell>
          <cell r="B1249" t="str">
            <v>Otros suministros</v>
          </cell>
          <cell r="P1249">
            <v>0</v>
          </cell>
          <cell r="S1249">
            <v>0</v>
          </cell>
        </row>
        <row r="1250">
          <cell r="A1250">
            <v>6033</v>
          </cell>
          <cell r="B1250" t="str">
            <v>Repuestos</v>
          </cell>
          <cell r="P1250">
            <v>0</v>
          </cell>
          <cell r="S1250">
            <v>0</v>
          </cell>
        </row>
        <row r="1251">
          <cell r="A1251">
            <v>604</v>
          </cell>
          <cell r="B1251" t="str">
            <v>Envases y Embalajes</v>
          </cell>
          <cell r="P1251">
            <v>0</v>
          </cell>
          <cell r="S1251">
            <v>0</v>
          </cell>
        </row>
        <row r="1252">
          <cell r="A1252">
            <v>6041</v>
          </cell>
          <cell r="B1252" t="str">
            <v>Envases</v>
          </cell>
          <cell r="P1252">
            <v>0</v>
          </cell>
          <cell r="S1252">
            <v>0</v>
          </cell>
        </row>
        <row r="1253">
          <cell r="A1253">
            <v>6042</v>
          </cell>
          <cell r="B1253" t="str">
            <v>Embalajes</v>
          </cell>
          <cell r="P1253">
            <v>0</v>
          </cell>
          <cell r="S1253">
            <v>0</v>
          </cell>
        </row>
        <row r="1254">
          <cell r="A1254">
            <v>609</v>
          </cell>
          <cell r="B1254" t="str">
            <v>Costos Vinculados con las Compras</v>
          </cell>
          <cell r="P1254">
            <v>0</v>
          </cell>
          <cell r="S1254">
            <v>0</v>
          </cell>
        </row>
        <row r="1255">
          <cell r="A1255">
            <v>6091</v>
          </cell>
          <cell r="B1255" t="str">
            <v>Costos vinculados con las compras de mercaderías</v>
          </cell>
          <cell r="P1255">
            <v>0</v>
          </cell>
          <cell r="S1255">
            <v>0</v>
          </cell>
        </row>
        <row r="1256">
          <cell r="A1256">
            <v>60911</v>
          </cell>
          <cell r="B1256" t="str">
            <v>Transporte</v>
          </cell>
          <cell r="P1256">
            <v>0</v>
          </cell>
          <cell r="S1256">
            <v>0</v>
          </cell>
        </row>
        <row r="1257">
          <cell r="A1257">
            <v>60912</v>
          </cell>
          <cell r="B1257" t="str">
            <v>Seguros</v>
          </cell>
          <cell r="P1257">
            <v>0</v>
          </cell>
          <cell r="S1257">
            <v>0</v>
          </cell>
        </row>
        <row r="1258">
          <cell r="A1258">
            <v>60913</v>
          </cell>
          <cell r="B1258" t="str">
            <v>Derechos aduaneros</v>
          </cell>
          <cell r="P1258">
            <v>0</v>
          </cell>
          <cell r="S1258">
            <v>0</v>
          </cell>
        </row>
        <row r="1259">
          <cell r="A1259">
            <v>60914</v>
          </cell>
          <cell r="B1259" t="str">
            <v>Comisiones</v>
          </cell>
          <cell r="P1259">
            <v>0</v>
          </cell>
          <cell r="S1259">
            <v>0</v>
          </cell>
        </row>
        <row r="1260">
          <cell r="A1260">
            <v>60919</v>
          </cell>
          <cell r="B1260" t="str">
            <v>Otros costos vinculados con las compras de mercaderías</v>
          </cell>
          <cell r="P1260">
            <v>0</v>
          </cell>
          <cell r="S1260">
            <v>0</v>
          </cell>
        </row>
        <row r="1261">
          <cell r="A1261">
            <v>6092</v>
          </cell>
          <cell r="B1261" t="str">
            <v>Costos vinculados con las compras de materias primas</v>
          </cell>
          <cell r="P1261">
            <v>0</v>
          </cell>
          <cell r="S1261">
            <v>0</v>
          </cell>
        </row>
        <row r="1262">
          <cell r="A1262">
            <v>60921</v>
          </cell>
          <cell r="B1262" t="str">
            <v>Transporte</v>
          </cell>
          <cell r="P1262">
            <v>0</v>
          </cell>
          <cell r="S1262">
            <v>0</v>
          </cell>
        </row>
        <row r="1263">
          <cell r="A1263">
            <v>609211</v>
          </cell>
          <cell r="B1263" t="str">
            <v>Materias primas para productos manufacturados</v>
          </cell>
          <cell r="P1263">
            <v>0</v>
          </cell>
          <cell r="S1263">
            <v>0</v>
          </cell>
        </row>
        <row r="1264">
          <cell r="A1264">
            <v>609212</v>
          </cell>
          <cell r="B1264" t="str">
            <v>Materias primas para productos de extracción</v>
          </cell>
          <cell r="P1264">
            <v>0</v>
          </cell>
          <cell r="S1264">
            <v>0</v>
          </cell>
        </row>
        <row r="1265">
          <cell r="A1265">
            <v>609213</v>
          </cell>
          <cell r="B1265" t="str">
            <v>Materias primas para productos para productos agropecuarios y piscícolas</v>
          </cell>
          <cell r="P1265">
            <v>0</v>
          </cell>
          <cell r="S1265">
            <v>0</v>
          </cell>
        </row>
        <row r="1266">
          <cell r="A1266">
            <v>609214</v>
          </cell>
          <cell r="B1266" t="str">
            <v>Materias primas para productos inmuebles</v>
          </cell>
          <cell r="P1266">
            <v>0</v>
          </cell>
          <cell r="S1266">
            <v>0</v>
          </cell>
        </row>
        <row r="1267">
          <cell r="A1267">
            <v>60922</v>
          </cell>
          <cell r="B1267" t="str">
            <v>Seguros</v>
          </cell>
          <cell r="P1267">
            <v>0</v>
          </cell>
          <cell r="S1267">
            <v>0</v>
          </cell>
        </row>
        <row r="1268">
          <cell r="A1268">
            <v>609221</v>
          </cell>
          <cell r="B1268" t="str">
            <v>Materias primas para productos manufacturados</v>
          </cell>
          <cell r="P1268">
            <v>0</v>
          </cell>
          <cell r="S1268">
            <v>0</v>
          </cell>
        </row>
        <row r="1269">
          <cell r="A1269">
            <v>609222</v>
          </cell>
          <cell r="B1269" t="str">
            <v>Materias primas para productos de extracción</v>
          </cell>
          <cell r="P1269">
            <v>0</v>
          </cell>
          <cell r="S1269">
            <v>0</v>
          </cell>
        </row>
        <row r="1270">
          <cell r="A1270">
            <v>609223</v>
          </cell>
          <cell r="B1270" t="str">
            <v>Materias primas para productos para productos agropecuarios y piscícolas</v>
          </cell>
          <cell r="P1270">
            <v>0</v>
          </cell>
          <cell r="S1270">
            <v>0</v>
          </cell>
        </row>
        <row r="1271">
          <cell r="A1271">
            <v>609224</v>
          </cell>
          <cell r="B1271" t="str">
            <v>Materias primas para productos inmuebles</v>
          </cell>
          <cell r="P1271">
            <v>0</v>
          </cell>
          <cell r="S1271">
            <v>0</v>
          </cell>
        </row>
        <row r="1272">
          <cell r="A1272">
            <v>60923</v>
          </cell>
          <cell r="B1272" t="str">
            <v>Derechos aduaneros</v>
          </cell>
          <cell r="P1272">
            <v>0</v>
          </cell>
          <cell r="S1272">
            <v>0</v>
          </cell>
        </row>
        <row r="1273">
          <cell r="A1273">
            <v>609231</v>
          </cell>
          <cell r="B1273" t="str">
            <v>Materias primas para productos manufacturados</v>
          </cell>
          <cell r="P1273">
            <v>0</v>
          </cell>
          <cell r="S1273">
            <v>0</v>
          </cell>
        </row>
        <row r="1274">
          <cell r="A1274">
            <v>609232</v>
          </cell>
          <cell r="B1274" t="str">
            <v>Materias primas para productos de extracción</v>
          </cell>
          <cell r="P1274">
            <v>0</v>
          </cell>
          <cell r="S1274">
            <v>0</v>
          </cell>
        </row>
        <row r="1275">
          <cell r="A1275">
            <v>609233</v>
          </cell>
          <cell r="B1275" t="str">
            <v>Materias primas para productos para productos agropecuarios y piscícolas</v>
          </cell>
          <cell r="P1275">
            <v>0</v>
          </cell>
          <cell r="S1275">
            <v>0</v>
          </cell>
        </row>
        <row r="1276">
          <cell r="A1276">
            <v>609234</v>
          </cell>
          <cell r="B1276" t="str">
            <v>Materias primas para productos inmuebles</v>
          </cell>
          <cell r="P1276">
            <v>0</v>
          </cell>
          <cell r="S1276">
            <v>0</v>
          </cell>
        </row>
        <row r="1277">
          <cell r="A1277">
            <v>60924</v>
          </cell>
          <cell r="B1277" t="str">
            <v>Comisiones</v>
          </cell>
          <cell r="P1277">
            <v>0</v>
          </cell>
          <cell r="S1277">
            <v>0</v>
          </cell>
        </row>
        <row r="1278">
          <cell r="A1278">
            <v>609241</v>
          </cell>
          <cell r="B1278" t="str">
            <v>Materias primas para productos manufacturados</v>
          </cell>
          <cell r="P1278">
            <v>0</v>
          </cell>
          <cell r="S1278">
            <v>0</v>
          </cell>
        </row>
        <row r="1279">
          <cell r="A1279">
            <v>609242</v>
          </cell>
          <cell r="B1279" t="str">
            <v>Materias primas para productos de extracción</v>
          </cell>
          <cell r="P1279">
            <v>0</v>
          </cell>
          <cell r="S1279">
            <v>0</v>
          </cell>
        </row>
        <row r="1280">
          <cell r="A1280">
            <v>609243</v>
          </cell>
          <cell r="B1280" t="str">
            <v>Materias primas para productos para productos agropecuarios y piscícolas</v>
          </cell>
          <cell r="P1280">
            <v>0</v>
          </cell>
          <cell r="S1280">
            <v>0</v>
          </cell>
        </row>
        <row r="1281">
          <cell r="A1281">
            <v>609244</v>
          </cell>
          <cell r="B1281" t="str">
            <v>Materias primas para productos inmuebles</v>
          </cell>
          <cell r="P1281">
            <v>0</v>
          </cell>
          <cell r="S1281">
            <v>0</v>
          </cell>
        </row>
        <row r="1282">
          <cell r="A1282">
            <v>60925</v>
          </cell>
          <cell r="B1282" t="str">
            <v>Otros costos vinculados con las compras de mercaderías</v>
          </cell>
          <cell r="P1282">
            <v>0</v>
          </cell>
          <cell r="S1282">
            <v>0</v>
          </cell>
        </row>
        <row r="1283">
          <cell r="A1283">
            <v>609251</v>
          </cell>
          <cell r="B1283" t="str">
            <v>Materias primas para productos manufacturados</v>
          </cell>
          <cell r="P1283">
            <v>0</v>
          </cell>
          <cell r="S1283">
            <v>0</v>
          </cell>
        </row>
        <row r="1284">
          <cell r="A1284">
            <v>609252</v>
          </cell>
          <cell r="B1284" t="str">
            <v>Materias primas para productos de extracción</v>
          </cell>
          <cell r="P1284">
            <v>0</v>
          </cell>
          <cell r="S1284">
            <v>0</v>
          </cell>
        </row>
        <row r="1285">
          <cell r="A1285">
            <v>609253</v>
          </cell>
          <cell r="B1285" t="str">
            <v>Materias primas para productos para productos agropecuarios y piscícolas</v>
          </cell>
          <cell r="P1285">
            <v>0</v>
          </cell>
          <cell r="S1285">
            <v>0</v>
          </cell>
        </row>
        <row r="1286">
          <cell r="A1286">
            <v>609254</v>
          </cell>
          <cell r="B1286" t="str">
            <v>Materias primas para productos inmuebles</v>
          </cell>
          <cell r="P1286">
            <v>0</v>
          </cell>
          <cell r="S1286">
            <v>0</v>
          </cell>
        </row>
        <row r="1287">
          <cell r="A1287">
            <v>6093</v>
          </cell>
          <cell r="B1287" t="str">
            <v>Costos vinculados con las compras de materiales, suministros y repuestos</v>
          </cell>
          <cell r="P1287">
            <v>0</v>
          </cell>
          <cell r="S1287">
            <v>0</v>
          </cell>
        </row>
        <row r="1288">
          <cell r="A1288">
            <v>60931</v>
          </cell>
          <cell r="B1288" t="str">
            <v>Transporte</v>
          </cell>
          <cell r="P1288">
            <v>0</v>
          </cell>
          <cell r="S1288">
            <v>0</v>
          </cell>
        </row>
        <row r="1289">
          <cell r="A1289">
            <v>609311</v>
          </cell>
          <cell r="B1289" t="str">
            <v>Materiales auxiliares</v>
          </cell>
          <cell r="P1289">
            <v>0</v>
          </cell>
          <cell r="S1289">
            <v>0</v>
          </cell>
        </row>
        <row r="1290">
          <cell r="A1290">
            <v>609312</v>
          </cell>
          <cell r="B1290" t="str">
            <v>Combustibles</v>
          </cell>
          <cell r="P1290">
            <v>0</v>
          </cell>
          <cell r="S1290">
            <v>0</v>
          </cell>
        </row>
        <row r="1291">
          <cell r="A1291">
            <v>609313</v>
          </cell>
          <cell r="B1291" t="str">
            <v>Lubricantes</v>
          </cell>
          <cell r="P1291">
            <v>0</v>
          </cell>
          <cell r="S1291">
            <v>0</v>
          </cell>
        </row>
        <row r="1292">
          <cell r="A1292">
            <v>609314</v>
          </cell>
          <cell r="B1292" t="str">
            <v>Energía</v>
          </cell>
          <cell r="P1292">
            <v>0</v>
          </cell>
          <cell r="S1292">
            <v>0</v>
          </cell>
        </row>
        <row r="1293">
          <cell r="A1293">
            <v>609315</v>
          </cell>
          <cell r="B1293" t="str">
            <v>Otros suministros</v>
          </cell>
          <cell r="P1293">
            <v>0</v>
          </cell>
          <cell r="S1293">
            <v>0</v>
          </cell>
        </row>
        <row r="1294">
          <cell r="A1294">
            <v>609316</v>
          </cell>
          <cell r="B1294" t="str">
            <v>Repuestos</v>
          </cell>
          <cell r="P1294">
            <v>0</v>
          </cell>
          <cell r="S1294">
            <v>0</v>
          </cell>
        </row>
        <row r="1295">
          <cell r="A1295">
            <v>60932</v>
          </cell>
          <cell r="B1295" t="str">
            <v>Seguros</v>
          </cell>
          <cell r="P1295">
            <v>0</v>
          </cell>
          <cell r="S1295">
            <v>0</v>
          </cell>
        </row>
        <row r="1296">
          <cell r="A1296">
            <v>609321</v>
          </cell>
          <cell r="B1296" t="str">
            <v>Materiales auxiliares</v>
          </cell>
          <cell r="P1296">
            <v>0</v>
          </cell>
          <cell r="S1296">
            <v>0</v>
          </cell>
        </row>
        <row r="1297">
          <cell r="A1297">
            <v>609322</v>
          </cell>
          <cell r="B1297" t="str">
            <v>Combustibles</v>
          </cell>
          <cell r="P1297">
            <v>0</v>
          </cell>
          <cell r="S1297">
            <v>0</v>
          </cell>
        </row>
        <row r="1298">
          <cell r="A1298">
            <v>609323</v>
          </cell>
          <cell r="B1298" t="str">
            <v>Lubricantes</v>
          </cell>
          <cell r="P1298">
            <v>0</v>
          </cell>
          <cell r="S1298">
            <v>0</v>
          </cell>
        </row>
        <row r="1299">
          <cell r="A1299">
            <v>609324</v>
          </cell>
          <cell r="B1299" t="str">
            <v>Energía</v>
          </cell>
          <cell r="P1299">
            <v>0</v>
          </cell>
          <cell r="S1299">
            <v>0</v>
          </cell>
        </row>
        <row r="1300">
          <cell r="A1300">
            <v>609325</v>
          </cell>
          <cell r="B1300" t="str">
            <v>Otros suministros</v>
          </cell>
          <cell r="P1300">
            <v>0</v>
          </cell>
          <cell r="S1300">
            <v>0</v>
          </cell>
        </row>
        <row r="1301">
          <cell r="A1301">
            <v>609326</v>
          </cell>
          <cell r="B1301" t="str">
            <v>Repuestos</v>
          </cell>
          <cell r="P1301">
            <v>0</v>
          </cell>
          <cell r="S1301">
            <v>0</v>
          </cell>
        </row>
        <row r="1302">
          <cell r="A1302">
            <v>60933</v>
          </cell>
          <cell r="B1302" t="str">
            <v>Derechos aduaneros</v>
          </cell>
          <cell r="P1302">
            <v>0</v>
          </cell>
          <cell r="S1302">
            <v>0</v>
          </cell>
        </row>
        <row r="1303">
          <cell r="A1303">
            <v>609331</v>
          </cell>
          <cell r="B1303" t="str">
            <v>Materiales auxiliares</v>
          </cell>
          <cell r="P1303">
            <v>0</v>
          </cell>
          <cell r="S1303">
            <v>0</v>
          </cell>
        </row>
        <row r="1304">
          <cell r="A1304">
            <v>609332</v>
          </cell>
          <cell r="B1304" t="str">
            <v>Combustibles</v>
          </cell>
          <cell r="P1304">
            <v>0</v>
          </cell>
          <cell r="S1304">
            <v>0</v>
          </cell>
        </row>
        <row r="1305">
          <cell r="A1305">
            <v>609333</v>
          </cell>
          <cell r="B1305" t="str">
            <v>Lubricantes</v>
          </cell>
          <cell r="P1305">
            <v>0</v>
          </cell>
          <cell r="S1305">
            <v>0</v>
          </cell>
        </row>
        <row r="1306">
          <cell r="A1306">
            <v>609334</v>
          </cell>
          <cell r="B1306" t="str">
            <v>Energía</v>
          </cell>
          <cell r="P1306">
            <v>0</v>
          </cell>
          <cell r="S1306">
            <v>0</v>
          </cell>
        </row>
        <row r="1307">
          <cell r="A1307">
            <v>609335</v>
          </cell>
          <cell r="B1307" t="str">
            <v>Otros suministros</v>
          </cell>
          <cell r="P1307">
            <v>0</v>
          </cell>
          <cell r="S1307">
            <v>0</v>
          </cell>
        </row>
        <row r="1308">
          <cell r="A1308">
            <v>609336</v>
          </cell>
          <cell r="B1308" t="str">
            <v>Repuestos</v>
          </cell>
          <cell r="P1308">
            <v>0</v>
          </cell>
          <cell r="S1308">
            <v>0</v>
          </cell>
        </row>
        <row r="1309">
          <cell r="A1309">
            <v>60934</v>
          </cell>
          <cell r="B1309" t="str">
            <v>Comisiones</v>
          </cell>
          <cell r="P1309">
            <v>0</v>
          </cell>
          <cell r="S1309">
            <v>0</v>
          </cell>
        </row>
        <row r="1310">
          <cell r="A1310">
            <v>609341</v>
          </cell>
          <cell r="B1310" t="str">
            <v>Materiales auxiliares</v>
          </cell>
          <cell r="P1310">
            <v>0</v>
          </cell>
          <cell r="S1310">
            <v>0</v>
          </cell>
        </row>
        <row r="1311">
          <cell r="A1311">
            <v>609342</v>
          </cell>
          <cell r="B1311" t="str">
            <v>Combustibles</v>
          </cell>
          <cell r="P1311">
            <v>0</v>
          </cell>
          <cell r="S1311">
            <v>0</v>
          </cell>
        </row>
        <row r="1312">
          <cell r="A1312">
            <v>609343</v>
          </cell>
          <cell r="B1312" t="str">
            <v>Lubricantes</v>
          </cell>
          <cell r="P1312">
            <v>0</v>
          </cell>
          <cell r="S1312">
            <v>0</v>
          </cell>
        </row>
        <row r="1313">
          <cell r="A1313">
            <v>609344</v>
          </cell>
          <cell r="B1313" t="str">
            <v>Energía</v>
          </cell>
          <cell r="P1313">
            <v>0</v>
          </cell>
          <cell r="S1313">
            <v>0</v>
          </cell>
        </row>
        <row r="1314">
          <cell r="A1314">
            <v>609345</v>
          </cell>
          <cell r="B1314" t="str">
            <v>Otros suministros</v>
          </cell>
          <cell r="P1314">
            <v>0</v>
          </cell>
          <cell r="S1314">
            <v>0</v>
          </cell>
        </row>
        <row r="1315">
          <cell r="A1315">
            <v>609346</v>
          </cell>
          <cell r="B1315" t="str">
            <v>Repuestos</v>
          </cell>
          <cell r="P1315">
            <v>0</v>
          </cell>
          <cell r="S1315">
            <v>0</v>
          </cell>
        </row>
        <row r="1316">
          <cell r="A1316">
            <v>60935</v>
          </cell>
          <cell r="B1316" t="str">
            <v>Otros costos vinculados con las compras de mercaderías</v>
          </cell>
          <cell r="P1316">
            <v>0</v>
          </cell>
          <cell r="S1316">
            <v>0</v>
          </cell>
        </row>
        <row r="1317">
          <cell r="A1317">
            <v>609351</v>
          </cell>
          <cell r="B1317" t="str">
            <v>Materiales auxiliares</v>
          </cell>
          <cell r="P1317">
            <v>0</v>
          </cell>
          <cell r="S1317">
            <v>0</v>
          </cell>
        </row>
        <row r="1318">
          <cell r="A1318">
            <v>609352</v>
          </cell>
          <cell r="B1318" t="str">
            <v>Combustibles</v>
          </cell>
          <cell r="P1318">
            <v>0</v>
          </cell>
          <cell r="S1318">
            <v>0</v>
          </cell>
        </row>
        <row r="1319">
          <cell r="A1319">
            <v>609353</v>
          </cell>
          <cell r="B1319" t="str">
            <v>Lubricantes</v>
          </cell>
          <cell r="P1319">
            <v>0</v>
          </cell>
          <cell r="S1319">
            <v>0</v>
          </cell>
        </row>
        <row r="1320">
          <cell r="A1320">
            <v>609354</v>
          </cell>
          <cell r="B1320" t="str">
            <v>Energía</v>
          </cell>
          <cell r="P1320">
            <v>0</v>
          </cell>
          <cell r="S1320">
            <v>0</v>
          </cell>
        </row>
        <row r="1321">
          <cell r="A1321">
            <v>609355</v>
          </cell>
          <cell r="B1321" t="str">
            <v>Otros suministros</v>
          </cell>
          <cell r="P1321">
            <v>0</v>
          </cell>
          <cell r="S1321">
            <v>0</v>
          </cell>
        </row>
        <row r="1322">
          <cell r="A1322">
            <v>609356</v>
          </cell>
          <cell r="B1322" t="str">
            <v>Repuestos</v>
          </cell>
          <cell r="P1322">
            <v>0</v>
          </cell>
          <cell r="S1322">
            <v>0</v>
          </cell>
        </row>
        <row r="1323">
          <cell r="A1323">
            <v>6094</v>
          </cell>
          <cell r="B1323" t="str">
            <v>Costos vinculados con las compras de envases y embalajes</v>
          </cell>
          <cell r="P1323">
            <v>0</v>
          </cell>
          <cell r="S1323">
            <v>0</v>
          </cell>
        </row>
        <row r="1324">
          <cell r="A1324">
            <v>60941</v>
          </cell>
          <cell r="B1324" t="str">
            <v>Transporte</v>
          </cell>
          <cell r="P1324">
            <v>0</v>
          </cell>
          <cell r="S1324">
            <v>0</v>
          </cell>
        </row>
        <row r="1325">
          <cell r="A1325">
            <v>609411</v>
          </cell>
          <cell r="B1325" t="str">
            <v>Envases</v>
          </cell>
          <cell r="P1325">
            <v>0</v>
          </cell>
          <cell r="S1325">
            <v>0</v>
          </cell>
        </row>
        <row r="1326">
          <cell r="A1326">
            <v>609412</v>
          </cell>
          <cell r="B1326" t="str">
            <v>Embalajes</v>
          </cell>
          <cell r="P1326">
            <v>0</v>
          </cell>
          <cell r="S1326">
            <v>0</v>
          </cell>
        </row>
        <row r="1327">
          <cell r="A1327">
            <v>60942</v>
          </cell>
          <cell r="B1327" t="str">
            <v>Seguros</v>
          </cell>
          <cell r="P1327">
            <v>0</v>
          </cell>
          <cell r="S1327">
            <v>0</v>
          </cell>
        </row>
        <row r="1328">
          <cell r="A1328">
            <v>609421</v>
          </cell>
          <cell r="B1328" t="str">
            <v>Envases</v>
          </cell>
          <cell r="P1328">
            <v>0</v>
          </cell>
          <cell r="S1328">
            <v>0</v>
          </cell>
        </row>
        <row r="1329">
          <cell r="A1329">
            <v>609422</v>
          </cell>
          <cell r="B1329" t="str">
            <v>Embalajes</v>
          </cell>
          <cell r="P1329">
            <v>0</v>
          </cell>
          <cell r="S1329">
            <v>0</v>
          </cell>
        </row>
        <row r="1330">
          <cell r="A1330">
            <v>60943</v>
          </cell>
          <cell r="B1330" t="str">
            <v>Derechos aduaneros</v>
          </cell>
          <cell r="P1330">
            <v>0</v>
          </cell>
          <cell r="S1330">
            <v>0</v>
          </cell>
        </row>
        <row r="1331">
          <cell r="A1331">
            <v>609431</v>
          </cell>
          <cell r="B1331" t="str">
            <v>Envases</v>
          </cell>
          <cell r="P1331">
            <v>0</v>
          </cell>
          <cell r="S1331">
            <v>0</v>
          </cell>
        </row>
        <row r="1332">
          <cell r="A1332">
            <v>609432</v>
          </cell>
          <cell r="B1332" t="str">
            <v>Embalajes</v>
          </cell>
          <cell r="P1332">
            <v>0</v>
          </cell>
          <cell r="S1332">
            <v>0</v>
          </cell>
        </row>
        <row r="1333">
          <cell r="A1333">
            <v>60944</v>
          </cell>
          <cell r="B1333" t="str">
            <v>Comisiones</v>
          </cell>
          <cell r="P1333">
            <v>0</v>
          </cell>
          <cell r="S1333">
            <v>0</v>
          </cell>
        </row>
        <row r="1334">
          <cell r="A1334">
            <v>609441</v>
          </cell>
          <cell r="B1334" t="str">
            <v>Envases</v>
          </cell>
          <cell r="P1334">
            <v>0</v>
          </cell>
          <cell r="S1334">
            <v>0</v>
          </cell>
        </row>
        <row r="1335">
          <cell r="A1335">
            <v>609442</v>
          </cell>
          <cell r="B1335" t="str">
            <v>Embalajes</v>
          </cell>
          <cell r="P1335">
            <v>0</v>
          </cell>
          <cell r="S1335">
            <v>0</v>
          </cell>
        </row>
        <row r="1336">
          <cell r="A1336">
            <v>60945</v>
          </cell>
          <cell r="B1336" t="str">
            <v>Otros costos vinculados con las compras de mercaderías</v>
          </cell>
          <cell r="P1336">
            <v>0</v>
          </cell>
          <cell r="S1336">
            <v>0</v>
          </cell>
        </row>
        <row r="1337">
          <cell r="A1337">
            <v>609451</v>
          </cell>
          <cell r="B1337" t="str">
            <v>Envases</v>
          </cell>
          <cell r="P1337">
            <v>0</v>
          </cell>
          <cell r="S1337">
            <v>0</v>
          </cell>
        </row>
        <row r="1338">
          <cell r="A1338">
            <v>609452</v>
          </cell>
          <cell r="B1338" t="str">
            <v>Embalajes</v>
          </cell>
          <cell r="P1338">
            <v>0</v>
          </cell>
          <cell r="S1338">
            <v>0</v>
          </cell>
        </row>
        <row r="1339">
          <cell r="A1339">
            <v>61</v>
          </cell>
          <cell r="B1339" t="str">
            <v>VARIACIÓN DE EXISTENCIAS</v>
          </cell>
          <cell r="P1339">
            <v>0</v>
          </cell>
          <cell r="S1339">
            <v>0</v>
          </cell>
        </row>
        <row r="1340">
          <cell r="A1340">
            <v>611</v>
          </cell>
          <cell r="B1340" t="str">
            <v>Mercaderías</v>
          </cell>
          <cell r="P1340">
            <v>0</v>
          </cell>
          <cell r="S1340">
            <v>0</v>
          </cell>
        </row>
        <row r="1341">
          <cell r="A1341">
            <v>6111</v>
          </cell>
          <cell r="B1341" t="str">
            <v>Mercaderías manufacturadas</v>
          </cell>
          <cell r="P1341">
            <v>0</v>
          </cell>
          <cell r="S1341">
            <v>-118000</v>
          </cell>
        </row>
        <row r="1342">
          <cell r="A1342">
            <v>6112</v>
          </cell>
          <cell r="B1342" t="str">
            <v>Mercaderías de extracción</v>
          </cell>
          <cell r="P1342">
            <v>0</v>
          </cell>
          <cell r="S1342">
            <v>0</v>
          </cell>
        </row>
        <row r="1343">
          <cell r="A1343">
            <v>6113</v>
          </cell>
          <cell r="B1343" t="str">
            <v>Mercaderías agropecuarias y piscícolas</v>
          </cell>
          <cell r="P1343">
            <v>0</v>
          </cell>
          <cell r="S1343">
            <v>0</v>
          </cell>
        </row>
        <row r="1344">
          <cell r="A1344">
            <v>6114</v>
          </cell>
          <cell r="B1344" t="str">
            <v>Mercaderías inmuebles</v>
          </cell>
          <cell r="P1344">
            <v>0</v>
          </cell>
          <cell r="S1344">
            <v>0</v>
          </cell>
        </row>
        <row r="1345">
          <cell r="A1345">
            <v>6115</v>
          </cell>
          <cell r="B1345" t="str">
            <v>Otras mercaderías</v>
          </cell>
          <cell r="P1345">
            <v>0</v>
          </cell>
          <cell r="S1345">
            <v>0</v>
          </cell>
        </row>
        <row r="1346">
          <cell r="A1346">
            <v>612</v>
          </cell>
          <cell r="B1346" t="str">
            <v>Materias Primas</v>
          </cell>
          <cell r="P1346">
            <v>0</v>
          </cell>
          <cell r="S1346">
            <v>0</v>
          </cell>
        </row>
        <row r="1347">
          <cell r="A1347">
            <v>6121</v>
          </cell>
          <cell r="B1347" t="str">
            <v>Materias primas para productos manufacturados</v>
          </cell>
          <cell r="P1347">
            <v>0</v>
          </cell>
          <cell r="S1347">
            <v>0</v>
          </cell>
        </row>
        <row r="1348">
          <cell r="A1348">
            <v>6122</v>
          </cell>
          <cell r="B1348" t="str">
            <v>Materias primas para productos de extracción</v>
          </cell>
          <cell r="P1348">
            <v>0</v>
          </cell>
          <cell r="S1348">
            <v>0</v>
          </cell>
        </row>
        <row r="1349">
          <cell r="A1349">
            <v>6123</v>
          </cell>
          <cell r="B1349" t="str">
            <v>Materias primas para productos para productos agropecuarios y piscícolas</v>
          </cell>
          <cell r="P1349">
            <v>0</v>
          </cell>
          <cell r="S1349">
            <v>0</v>
          </cell>
        </row>
        <row r="1350">
          <cell r="A1350">
            <v>6124</v>
          </cell>
          <cell r="B1350" t="str">
            <v>Materias primas para productos inmuebles</v>
          </cell>
          <cell r="P1350">
            <v>0</v>
          </cell>
          <cell r="S1350">
            <v>0</v>
          </cell>
        </row>
        <row r="1351">
          <cell r="A1351">
            <v>613</v>
          </cell>
          <cell r="B1351" t="str">
            <v>Materiales Auxiliares, Suministros y Repuestos</v>
          </cell>
          <cell r="P1351">
            <v>0</v>
          </cell>
          <cell r="S1351">
            <v>0</v>
          </cell>
        </row>
        <row r="1352">
          <cell r="A1352">
            <v>6131</v>
          </cell>
          <cell r="B1352" t="str">
            <v>Materiales auxiliares</v>
          </cell>
          <cell r="P1352">
            <v>0</v>
          </cell>
          <cell r="S1352">
            <v>0</v>
          </cell>
        </row>
        <row r="1353">
          <cell r="A1353">
            <v>6132</v>
          </cell>
          <cell r="B1353" t="str">
            <v>Suministros</v>
          </cell>
          <cell r="P1353">
            <v>0</v>
          </cell>
          <cell r="S1353">
            <v>0</v>
          </cell>
        </row>
        <row r="1354">
          <cell r="A1354">
            <v>61321</v>
          </cell>
          <cell r="B1354" t="str">
            <v>Variación de suministros de oficina</v>
          </cell>
          <cell r="P1354">
            <v>0</v>
          </cell>
          <cell r="S1354">
            <v>0</v>
          </cell>
        </row>
        <row r="1355">
          <cell r="A1355">
            <v>6133</v>
          </cell>
          <cell r="B1355" t="str">
            <v>Repuestos</v>
          </cell>
          <cell r="P1355">
            <v>0</v>
          </cell>
          <cell r="S1355">
            <v>0</v>
          </cell>
        </row>
        <row r="1356">
          <cell r="A1356">
            <v>614</v>
          </cell>
          <cell r="B1356" t="str">
            <v>Envases y Embalajes</v>
          </cell>
          <cell r="P1356">
            <v>0</v>
          </cell>
          <cell r="S1356">
            <v>0</v>
          </cell>
        </row>
        <row r="1357">
          <cell r="A1357">
            <v>6141</v>
          </cell>
          <cell r="B1357" t="str">
            <v>Envases</v>
          </cell>
          <cell r="P1357">
            <v>0</v>
          </cell>
          <cell r="S1357">
            <v>0</v>
          </cell>
        </row>
        <row r="1358">
          <cell r="A1358">
            <v>6142</v>
          </cell>
          <cell r="B1358" t="str">
            <v>Embalajes</v>
          </cell>
          <cell r="P1358">
            <v>0</v>
          </cell>
          <cell r="S1358">
            <v>0</v>
          </cell>
        </row>
        <row r="1359">
          <cell r="A1359">
            <v>62</v>
          </cell>
          <cell r="B1359" t="str">
            <v>GASTOS DE PERSONAL, DIRECTORES Y GERENTES</v>
          </cell>
          <cell r="P1359">
            <v>0</v>
          </cell>
          <cell r="S1359">
            <v>0</v>
          </cell>
        </row>
        <row r="1360">
          <cell r="A1360">
            <v>621</v>
          </cell>
          <cell r="B1360" t="str">
            <v>Remuneraciones</v>
          </cell>
          <cell r="P1360">
            <v>0</v>
          </cell>
          <cell r="S1360">
            <v>0</v>
          </cell>
        </row>
        <row r="1361">
          <cell r="A1361">
            <v>6211</v>
          </cell>
          <cell r="B1361" t="str">
            <v>Sueldos y salarios</v>
          </cell>
          <cell r="P1361">
            <v>0</v>
          </cell>
          <cell r="S1361">
            <v>0</v>
          </cell>
        </row>
        <row r="1362">
          <cell r="A1362">
            <v>62111</v>
          </cell>
          <cell r="B1362" t="str">
            <v>Sueldos</v>
          </cell>
          <cell r="P1362">
            <v>0</v>
          </cell>
          <cell r="S1362">
            <v>0</v>
          </cell>
        </row>
        <row r="1363">
          <cell r="A1363">
            <v>6212</v>
          </cell>
          <cell r="B1363" t="str">
            <v>Comisiones</v>
          </cell>
          <cell r="P1363">
            <v>0</v>
          </cell>
          <cell r="S1363">
            <v>0</v>
          </cell>
        </row>
        <row r="1364">
          <cell r="A1364">
            <v>6213</v>
          </cell>
          <cell r="B1364" t="str">
            <v>Remuneraciones en especie</v>
          </cell>
          <cell r="P1364">
            <v>0</v>
          </cell>
          <cell r="S1364">
            <v>0</v>
          </cell>
        </row>
        <row r="1365">
          <cell r="A1365">
            <v>6214</v>
          </cell>
          <cell r="B1365" t="str">
            <v>Gratificaciones</v>
          </cell>
          <cell r="P1365">
            <v>0</v>
          </cell>
          <cell r="S1365">
            <v>0</v>
          </cell>
        </row>
        <row r="1366">
          <cell r="A1366">
            <v>6215</v>
          </cell>
          <cell r="B1366" t="str">
            <v>Vacaciones</v>
          </cell>
          <cell r="P1366">
            <v>0</v>
          </cell>
          <cell r="S1366">
            <v>0</v>
          </cell>
        </row>
        <row r="1367">
          <cell r="A1367">
            <v>622</v>
          </cell>
          <cell r="B1367" t="str">
            <v>Otras Remuneraciones</v>
          </cell>
          <cell r="P1367">
            <v>0</v>
          </cell>
          <cell r="S1367">
            <v>0</v>
          </cell>
        </row>
        <row r="1368">
          <cell r="A1368">
            <v>62211</v>
          </cell>
          <cell r="B1368" t="str">
            <v>Asignación familiar</v>
          </cell>
          <cell r="P1368">
            <v>0</v>
          </cell>
          <cell r="S1368">
            <v>0</v>
          </cell>
        </row>
        <row r="1369">
          <cell r="A1369">
            <v>62212</v>
          </cell>
          <cell r="B1369" t="str">
            <v>Bonificaciones</v>
          </cell>
          <cell r="P1369">
            <v>0</v>
          </cell>
          <cell r="S1369">
            <v>0</v>
          </cell>
        </row>
        <row r="1370">
          <cell r="A1370">
            <v>623</v>
          </cell>
          <cell r="B1370" t="str">
            <v>Indemnizaciones al Personal</v>
          </cell>
          <cell r="P1370">
            <v>0</v>
          </cell>
          <cell r="S1370">
            <v>0</v>
          </cell>
        </row>
        <row r="1371">
          <cell r="A1371">
            <v>624</v>
          </cell>
          <cell r="B1371" t="str">
            <v>Capacitación</v>
          </cell>
          <cell r="P1371">
            <v>0</v>
          </cell>
          <cell r="S1371">
            <v>0</v>
          </cell>
        </row>
        <row r="1372">
          <cell r="A1372">
            <v>625</v>
          </cell>
          <cell r="B1372" t="str">
            <v>Atención al Personal</v>
          </cell>
          <cell r="P1372">
            <v>0</v>
          </cell>
          <cell r="S1372">
            <v>0</v>
          </cell>
        </row>
        <row r="1373">
          <cell r="A1373">
            <v>6251</v>
          </cell>
          <cell r="B1373" t="str">
            <v>Equipo de protección al personal</v>
          </cell>
          <cell r="P1373">
            <v>0</v>
          </cell>
          <cell r="S1373">
            <v>0</v>
          </cell>
        </row>
        <row r="1374">
          <cell r="A1374">
            <v>6252</v>
          </cell>
          <cell r="B1374" t="str">
            <v>Exámenes médicos</v>
          </cell>
          <cell r="P1374">
            <v>0</v>
          </cell>
          <cell r="S1374">
            <v>0</v>
          </cell>
        </row>
        <row r="1375">
          <cell r="A1375">
            <v>6253</v>
          </cell>
          <cell r="B1375" t="str">
            <v>Alimentación</v>
          </cell>
          <cell r="P1375">
            <v>0</v>
          </cell>
          <cell r="S1375">
            <v>0</v>
          </cell>
        </row>
        <row r="1376">
          <cell r="A1376">
            <v>626</v>
          </cell>
          <cell r="B1376" t="str">
            <v>Gerentes</v>
          </cell>
          <cell r="P1376">
            <v>0</v>
          </cell>
          <cell r="S1376">
            <v>0</v>
          </cell>
        </row>
        <row r="1377">
          <cell r="A1377">
            <v>627</v>
          </cell>
          <cell r="B1377" t="str">
            <v>Seguridad, Previsión Social y Otras Contribuciones</v>
          </cell>
          <cell r="P1377">
            <v>0</v>
          </cell>
          <cell r="S1377">
            <v>0</v>
          </cell>
        </row>
        <row r="1378">
          <cell r="A1378">
            <v>6271</v>
          </cell>
          <cell r="B1378" t="str">
            <v>Régimen de prestaciones de salud</v>
          </cell>
          <cell r="P1378">
            <v>0</v>
          </cell>
          <cell r="S1378">
            <v>0</v>
          </cell>
        </row>
        <row r="1379">
          <cell r="A1379">
            <v>62711</v>
          </cell>
          <cell r="B1379" t="str">
            <v>Seguro regular de salud</v>
          </cell>
          <cell r="P1379">
            <v>0</v>
          </cell>
          <cell r="S1379">
            <v>0</v>
          </cell>
        </row>
        <row r="1380">
          <cell r="A1380">
            <v>6272</v>
          </cell>
          <cell r="B1380" t="str">
            <v>Régimen de pensiones</v>
          </cell>
          <cell r="P1380">
            <v>0</v>
          </cell>
          <cell r="S1380">
            <v>0</v>
          </cell>
        </row>
        <row r="1381">
          <cell r="A1381">
            <v>6273</v>
          </cell>
          <cell r="B1381" t="str">
            <v>Seguro complementario de trabajo de riesgo, accidentes de trabajo y enfermedades profesionales</v>
          </cell>
          <cell r="P1381">
            <v>0</v>
          </cell>
          <cell r="S1381">
            <v>0</v>
          </cell>
        </row>
        <row r="1382">
          <cell r="A1382">
            <v>6274</v>
          </cell>
          <cell r="B1382" t="str">
            <v>Seguro de vida</v>
          </cell>
          <cell r="P1382">
            <v>0</v>
          </cell>
          <cell r="S1382">
            <v>0</v>
          </cell>
        </row>
        <row r="1383">
          <cell r="A1383">
            <v>6275</v>
          </cell>
          <cell r="B1383" t="str">
            <v>Seguros particulares de prestaciones de salud - eps y otros particulares</v>
          </cell>
          <cell r="P1383">
            <v>0</v>
          </cell>
          <cell r="S1383">
            <v>0</v>
          </cell>
        </row>
        <row r="1384">
          <cell r="A1384">
            <v>6276</v>
          </cell>
          <cell r="B1384" t="str">
            <v>Caja de beneficios de seguridad social del pescador</v>
          </cell>
          <cell r="P1384">
            <v>0</v>
          </cell>
          <cell r="S1384">
            <v>0</v>
          </cell>
        </row>
        <row r="1385">
          <cell r="A1385">
            <v>6277</v>
          </cell>
          <cell r="B1385" t="str">
            <v>Contribuciones a SENCICO y SENATI</v>
          </cell>
          <cell r="P1385">
            <v>0</v>
          </cell>
          <cell r="S1385">
            <v>0</v>
          </cell>
        </row>
        <row r="1386">
          <cell r="A1386">
            <v>628</v>
          </cell>
          <cell r="B1386" t="str">
            <v>Remuneraciones al Directorio</v>
          </cell>
          <cell r="P1386">
            <v>0</v>
          </cell>
          <cell r="S1386">
            <v>0</v>
          </cell>
        </row>
        <row r="1387">
          <cell r="A1387">
            <v>629</v>
          </cell>
          <cell r="B1387" t="str">
            <v>Beneficios Sociales de los Trabajadores</v>
          </cell>
          <cell r="P1387">
            <v>0</v>
          </cell>
          <cell r="S1387">
            <v>0</v>
          </cell>
        </row>
        <row r="1388">
          <cell r="A1388">
            <v>6291</v>
          </cell>
          <cell r="B1388" t="str">
            <v>Compensación por tiempo de servicio</v>
          </cell>
          <cell r="P1388">
            <v>0</v>
          </cell>
          <cell r="S1388">
            <v>0</v>
          </cell>
        </row>
        <row r="1389">
          <cell r="A1389">
            <v>62912</v>
          </cell>
          <cell r="B1389" t="str">
            <v>cts obreros</v>
          </cell>
          <cell r="P1389">
            <v>0</v>
          </cell>
          <cell r="S1389">
            <v>0</v>
          </cell>
        </row>
        <row r="1390">
          <cell r="A1390">
            <v>62911</v>
          </cell>
          <cell r="B1390" t="str">
            <v>cts empleados</v>
          </cell>
          <cell r="P1390">
            <v>0</v>
          </cell>
          <cell r="S1390">
            <v>0</v>
          </cell>
        </row>
        <row r="1391">
          <cell r="A1391">
            <v>6292</v>
          </cell>
          <cell r="B1391" t="str">
            <v>Pensiones y jubilaciones</v>
          </cell>
          <cell r="P1391">
            <v>0</v>
          </cell>
          <cell r="S1391">
            <v>0</v>
          </cell>
        </row>
        <row r="1392">
          <cell r="A1392">
            <v>6293</v>
          </cell>
          <cell r="B1392" t="str">
            <v>Otros beneficios post-empleo</v>
          </cell>
          <cell r="P1392">
            <v>0</v>
          </cell>
          <cell r="S1392">
            <v>0</v>
          </cell>
        </row>
        <row r="1393">
          <cell r="A1393">
            <v>63</v>
          </cell>
          <cell r="B1393" t="str">
            <v>GASTOS DE SERVICIOS PRESTADOS POR TERCEROS</v>
          </cell>
          <cell r="P1393">
            <v>0</v>
          </cell>
          <cell r="S1393">
            <v>0</v>
          </cell>
        </row>
        <row r="1394">
          <cell r="A1394">
            <v>631</v>
          </cell>
          <cell r="B1394" t="str">
            <v>Transporte, Correos y Gastos de Viaje</v>
          </cell>
          <cell r="P1394">
            <v>0</v>
          </cell>
          <cell r="S1394">
            <v>0</v>
          </cell>
        </row>
        <row r="1395">
          <cell r="A1395">
            <v>6311</v>
          </cell>
          <cell r="B1395" t="str">
            <v>Transporte</v>
          </cell>
          <cell r="P1395">
            <v>0</v>
          </cell>
          <cell r="S1395">
            <v>0</v>
          </cell>
        </row>
        <row r="1396">
          <cell r="A1396">
            <v>63111</v>
          </cell>
          <cell r="B1396" t="str">
            <v>De carga</v>
          </cell>
          <cell r="P1396">
            <v>0</v>
          </cell>
          <cell r="S1396">
            <v>0</v>
          </cell>
        </row>
        <row r="1397">
          <cell r="A1397">
            <v>63112</v>
          </cell>
          <cell r="B1397" t="str">
            <v>De pasajeros</v>
          </cell>
          <cell r="P1397">
            <v>0</v>
          </cell>
          <cell r="S1397">
            <v>0</v>
          </cell>
        </row>
        <row r="1398">
          <cell r="A1398">
            <v>6312</v>
          </cell>
          <cell r="B1398" t="str">
            <v>Correos</v>
          </cell>
          <cell r="P1398">
            <v>0</v>
          </cell>
          <cell r="S1398">
            <v>0</v>
          </cell>
        </row>
        <row r="1399">
          <cell r="A1399">
            <v>6313</v>
          </cell>
          <cell r="B1399" t="str">
            <v>Alojamiento</v>
          </cell>
          <cell r="P1399">
            <v>0</v>
          </cell>
          <cell r="S1399">
            <v>0</v>
          </cell>
        </row>
        <row r="1400">
          <cell r="A1400">
            <v>6314</v>
          </cell>
          <cell r="B1400" t="str">
            <v>Alimentación</v>
          </cell>
          <cell r="P1400">
            <v>0</v>
          </cell>
          <cell r="S1400">
            <v>0</v>
          </cell>
        </row>
        <row r="1401">
          <cell r="A1401">
            <v>6315</v>
          </cell>
          <cell r="B1401" t="str">
            <v>Otros gastos de viaje</v>
          </cell>
          <cell r="P1401">
            <v>0</v>
          </cell>
          <cell r="S1401">
            <v>0</v>
          </cell>
        </row>
        <row r="1402">
          <cell r="A1402">
            <v>632</v>
          </cell>
          <cell r="B1402" t="str">
            <v>Asesoria y Consultoria</v>
          </cell>
          <cell r="P1402">
            <v>0</v>
          </cell>
          <cell r="S1402">
            <v>0</v>
          </cell>
        </row>
        <row r="1403">
          <cell r="A1403">
            <v>6321</v>
          </cell>
          <cell r="B1403" t="str">
            <v>Administrativa</v>
          </cell>
          <cell r="P1403">
            <v>0</v>
          </cell>
          <cell r="S1403">
            <v>0</v>
          </cell>
        </row>
        <row r="1404">
          <cell r="A1404">
            <v>6322</v>
          </cell>
          <cell r="B1404" t="str">
            <v>Legal y tributaria</v>
          </cell>
          <cell r="P1404">
            <v>0</v>
          </cell>
          <cell r="S1404">
            <v>0</v>
          </cell>
        </row>
        <row r="1405">
          <cell r="A1405">
            <v>6323</v>
          </cell>
          <cell r="B1405" t="str">
            <v>Auditoria y contable</v>
          </cell>
          <cell r="P1405">
            <v>0</v>
          </cell>
          <cell r="S1405">
            <v>0</v>
          </cell>
        </row>
        <row r="1406">
          <cell r="A1406">
            <v>6324</v>
          </cell>
          <cell r="B1406" t="str">
            <v>Mercadotecnia</v>
          </cell>
          <cell r="P1406">
            <v>0</v>
          </cell>
          <cell r="S1406">
            <v>0</v>
          </cell>
        </row>
        <row r="1407">
          <cell r="A1407">
            <v>6325</v>
          </cell>
          <cell r="B1407" t="str">
            <v>Medioambiental</v>
          </cell>
          <cell r="P1407">
            <v>0</v>
          </cell>
          <cell r="S1407">
            <v>0</v>
          </cell>
        </row>
        <row r="1408">
          <cell r="A1408">
            <v>6326</v>
          </cell>
          <cell r="B1408" t="str">
            <v>Investigación y desarrollo</v>
          </cell>
          <cell r="P1408">
            <v>0</v>
          </cell>
          <cell r="S1408">
            <v>0</v>
          </cell>
        </row>
        <row r="1409">
          <cell r="A1409">
            <v>6327</v>
          </cell>
          <cell r="B1409" t="str">
            <v>Producción</v>
          </cell>
          <cell r="P1409">
            <v>0</v>
          </cell>
          <cell r="S1409">
            <v>0</v>
          </cell>
        </row>
        <row r="1410">
          <cell r="A1410">
            <v>6329</v>
          </cell>
          <cell r="B1410" t="str">
            <v>Otros</v>
          </cell>
          <cell r="P1410">
            <v>0</v>
          </cell>
          <cell r="S1410">
            <v>0</v>
          </cell>
        </row>
        <row r="1411">
          <cell r="A1411">
            <v>633</v>
          </cell>
          <cell r="B1411" t="str">
            <v>Producción Encargada a Terceros</v>
          </cell>
          <cell r="P1411">
            <v>0</v>
          </cell>
          <cell r="S1411">
            <v>0</v>
          </cell>
        </row>
        <row r="1412">
          <cell r="A1412">
            <v>634</v>
          </cell>
          <cell r="B1412" t="str">
            <v>Mantenimiento y Reparaciones</v>
          </cell>
          <cell r="P1412">
            <v>0</v>
          </cell>
          <cell r="S1412">
            <v>0</v>
          </cell>
        </row>
        <row r="1413">
          <cell r="A1413">
            <v>6341</v>
          </cell>
          <cell r="B1413" t="str">
            <v>Inversiones inmobiliarias</v>
          </cell>
          <cell r="P1413">
            <v>0</v>
          </cell>
          <cell r="S1413">
            <v>0</v>
          </cell>
        </row>
        <row r="1414">
          <cell r="A1414">
            <v>6342</v>
          </cell>
          <cell r="B1414" t="str">
            <v>Activos adquiridos en arrendamiento financiero</v>
          </cell>
          <cell r="P1414">
            <v>0</v>
          </cell>
          <cell r="S1414">
            <v>0</v>
          </cell>
        </row>
        <row r="1415">
          <cell r="A1415">
            <v>6343</v>
          </cell>
          <cell r="B1415" t="str">
            <v>Inmuebles, maquinaria y equipo</v>
          </cell>
          <cell r="P1415">
            <v>0</v>
          </cell>
          <cell r="S1415">
            <v>0</v>
          </cell>
        </row>
        <row r="1416">
          <cell r="A1416">
            <v>6344</v>
          </cell>
          <cell r="B1416" t="str">
            <v>Intangibles</v>
          </cell>
          <cell r="P1416">
            <v>0</v>
          </cell>
          <cell r="S1416">
            <v>0</v>
          </cell>
        </row>
        <row r="1417">
          <cell r="A1417">
            <v>6345</v>
          </cell>
          <cell r="B1417" t="str">
            <v>Activos biologicos</v>
          </cell>
          <cell r="P1417">
            <v>0</v>
          </cell>
          <cell r="S1417">
            <v>0</v>
          </cell>
        </row>
        <row r="1418">
          <cell r="A1418">
            <v>6349</v>
          </cell>
          <cell r="B1418" t="str">
            <v>Otros servicios de mantenimiento y reparaciones</v>
          </cell>
          <cell r="P1418">
            <v>0</v>
          </cell>
          <cell r="S1418">
            <v>0</v>
          </cell>
        </row>
        <row r="1419">
          <cell r="A1419">
            <v>635</v>
          </cell>
          <cell r="B1419" t="str">
            <v>Alquileres</v>
          </cell>
          <cell r="P1419">
            <v>0</v>
          </cell>
          <cell r="S1419">
            <v>0</v>
          </cell>
        </row>
        <row r="1420">
          <cell r="A1420">
            <v>6351</v>
          </cell>
          <cell r="B1420" t="str">
            <v>Terrenos</v>
          </cell>
          <cell r="P1420">
            <v>0</v>
          </cell>
          <cell r="S1420">
            <v>0</v>
          </cell>
        </row>
        <row r="1421">
          <cell r="A1421">
            <v>6352</v>
          </cell>
          <cell r="B1421" t="str">
            <v>Edificaciones</v>
          </cell>
          <cell r="P1421">
            <v>0</v>
          </cell>
          <cell r="S1421">
            <v>0</v>
          </cell>
        </row>
        <row r="1422">
          <cell r="A1422">
            <v>63521</v>
          </cell>
          <cell r="B1422" t="str">
            <v>Alquiler de edificaciones</v>
          </cell>
          <cell r="P1422">
            <v>0</v>
          </cell>
          <cell r="S1422">
            <v>0</v>
          </cell>
        </row>
        <row r="1423">
          <cell r="A1423">
            <v>6353</v>
          </cell>
          <cell r="B1423" t="str">
            <v>Maquinarias y equipos de explotación</v>
          </cell>
          <cell r="P1423">
            <v>0</v>
          </cell>
          <cell r="S1423">
            <v>0</v>
          </cell>
        </row>
        <row r="1424">
          <cell r="A1424">
            <v>6354</v>
          </cell>
          <cell r="B1424" t="str">
            <v>Equipo de transporte</v>
          </cell>
          <cell r="P1424">
            <v>0</v>
          </cell>
          <cell r="S1424">
            <v>0</v>
          </cell>
        </row>
        <row r="1425">
          <cell r="A1425">
            <v>6356</v>
          </cell>
          <cell r="B1425" t="str">
            <v>Equipos diversos</v>
          </cell>
          <cell r="P1425">
            <v>0</v>
          </cell>
          <cell r="S1425">
            <v>0</v>
          </cell>
        </row>
        <row r="1426">
          <cell r="A1426">
            <v>636</v>
          </cell>
          <cell r="B1426" t="str">
            <v>Servicios Básicos</v>
          </cell>
          <cell r="P1426">
            <v>0</v>
          </cell>
          <cell r="S1426">
            <v>0</v>
          </cell>
        </row>
        <row r="1427">
          <cell r="A1427">
            <v>6361</v>
          </cell>
          <cell r="B1427" t="str">
            <v>Energía eléctrica</v>
          </cell>
          <cell r="P1427">
            <v>0</v>
          </cell>
          <cell r="S1427">
            <v>0</v>
          </cell>
        </row>
        <row r="1428">
          <cell r="A1428">
            <v>63611</v>
          </cell>
          <cell r="B1428" t="str">
            <v>Consumo de energía eléctrica</v>
          </cell>
          <cell r="P1428">
            <v>0</v>
          </cell>
          <cell r="S1428">
            <v>0</v>
          </cell>
        </row>
        <row r="1429">
          <cell r="A1429">
            <v>6362</v>
          </cell>
          <cell r="B1429" t="str">
            <v>Gas</v>
          </cell>
          <cell r="P1429">
            <v>0</v>
          </cell>
          <cell r="S1429">
            <v>0</v>
          </cell>
        </row>
        <row r="1430">
          <cell r="A1430">
            <v>6363</v>
          </cell>
          <cell r="B1430" t="str">
            <v>Agua</v>
          </cell>
          <cell r="P1430">
            <v>0</v>
          </cell>
          <cell r="S1430">
            <v>0</v>
          </cell>
        </row>
        <row r="1431">
          <cell r="A1431">
            <v>63631</v>
          </cell>
          <cell r="B1431" t="str">
            <v>Consumo de agua</v>
          </cell>
          <cell r="P1431">
            <v>0</v>
          </cell>
          <cell r="S1431">
            <v>0</v>
          </cell>
        </row>
        <row r="1432">
          <cell r="A1432">
            <v>6364</v>
          </cell>
          <cell r="B1432" t="str">
            <v>Teléfono</v>
          </cell>
          <cell r="P1432">
            <v>0</v>
          </cell>
          <cell r="S1432">
            <v>0</v>
          </cell>
        </row>
        <row r="1433">
          <cell r="A1433">
            <v>63641</v>
          </cell>
          <cell r="B1433" t="str">
            <v>Consumo de telefonía</v>
          </cell>
          <cell r="P1433">
            <v>0</v>
          </cell>
          <cell r="S1433">
            <v>0</v>
          </cell>
        </row>
        <row r="1434">
          <cell r="A1434">
            <v>6365</v>
          </cell>
          <cell r="B1434" t="str">
            <v>Internet</v>
          </cell>
          <cell r="P1434">
            <v>0</v>
          </cell>
          <cell r="S1434">
            <v>0</v>
          </cell>
        </row>
        <row r="1435">
          <cell r="A1435">
            <v>6366</v>
          </cell>
          <cell r="B1435" t="str">
            <v>Radio</v>
          </cell>
          <cell r="P1435">
            <v>0</v>
          </cell>
          <cell r="S1435">
            <v>0</v>
          </cell>
        </row>
        <row r="1436">
          <cell r="A1436">
            <v>6367</v>
          </cell>
          <cell r="B1436" t="str">
            <v>Cable</v>
          </cell>
          <cell r="P1436">
            <v>0</v>
          </cell>
          <cell r="S1436">
            <v>0</v>
          </cell>
        </row>
        <row r="1437">
          <cell r="A1437">
            <v>637</v>
          </cell>
          <cell r="B1437" t="str">
            <v>Publicidad, Publicaciones, Relaciones Públicas</v>
          </cell>
          <cell r="P1437">
            <v>0</v>
          </cell>
          <cell r="S1437">
            <v>0</v>
          </cell>
        </row>
        <row r="1438">
          <cell r="A1438">
            <v>6371</v>
          </cell>
          <cell r="B1438" t="str">
            <v xml:space="preserve">Publicidad  </v>
          </cell>
          <cell r="P1438">
            <v>0</v>
          </cell>
          <cell r="S1438">
            <v>0</v>
          </cell>
        </row>
        <row r="1439">
          <cell r="A1439">
            <v>6372</v>
          </cell>
          <cell r="B1439" t="str">
            <v>Publicaciones</v>
          </cell>
          <cell r="P1439">
            <v>0</v>
          </cell>
          <cell r="S1439">
            <v>0</v>
          </cell>
        </row>
        <row r="1440">
          <cell r="A1440">
            <v>6373</v>
          </cell>
          <cell r="B1440" t="str">
            <v>Relaciones publicas</v>
          </cell>
          <cell r="P1440">
            <v>0</v>
          </cell>
          <cell r="S1440">
            <v>0</v>
          </cell>
        </row>
        <row r="1441">
          <cell r="A1441">
            <v>638</v>
          </cell>
          <cell r="B1441" t="str">
            <v>Servicios de Contratistas</v>
          </cell>
          <cell r="P1441">
            <v>0</v>
          </cell>
          <cell r="S1441">
            <v>0</v>
          </cell>
        </row>
        <row r="1442">
          <cell r="A1442">
            <v>639</v>
          </cell>
          <cell r="B1442" t="str">
            <v>Otros Servicios Prestados por Terceros</v>
          </cell>
          <cell r="P1442">
            <v>0</v>
          </cell>
          <cell r="S1442">
            <v>0</v>
          </cell>
        </row>
        <row r="1443">
          <cell r="A1443">
            <v>6391</v>
          </cell>
          <cell r="B1443" t="str">
            <v>Gastos bancarios</v>
          </cell>
          <cell r="P1443">
            <v>0</v>
          </cell>
          <cell r="S1443">
            <v>0</v>
          </cell>
        </row>
        <row r="1444">
          <cell r="A1444">
            <v>6392</v>
          </cell>
          <cell r="B1444" t="str">
            <v>Gastos de laboratorio</v>
          </cell>
          <cell r="P1444">
            <v>0</v>
          </cell>
          <cell r="S1444">
            <v>0</v>
          </cell>
        </row>
        <row r="1445">
          <cell r="A1445">
            <v>6399</v>
          </cell>
          <cell r="B1445" t="str">
            <v>Servicios varios</v>
          </cell>
          <cell r="P1445">
            <v>0</v>
          </cell>
          <cell r="S1445">
            <v>0</v>
          </cell>
        </row>
        <row r="1446">
          <cell r="A1446">
            <v>64</v>
          </cell>
          <cell r="B1446" t="str">
            <v>GASTOS POR TRIBUTOS</v>
          </cell>
          <cell r="P1446">
            <v>0</v>
          </cell>
          <cell r="S1446">
            <v>0</v>
          </cell>
        </row>
        <row r="1447">
          <cell r="A1447">
            <v>641</v>
          </cell>
          <cell r="B1447" t="str">
            <v>Gobierno Central</v>
          </cell>
          <cell r="P1447">
            <v>0</v>
          </cell>
          <cell r="S1447">
            <v>0</v>
          </cell>
        </row>
        <row r="1448">
          <cell r="A1448">
            <v>6411</v>
          </cell>
          <cell r="B1448" t="str">
            <v>Impuesto general a las ventas</v>
          </cell>
          <cell r="P1448">
            <v>0</v>
          </cell>
          <cell r="S1448">
            <v>0</v>
          </cell>
        </row>
        <row r="1449">
          <cell r="A1449">
            <v>6412</v>
          </cell>
          <cell r="B1449" t="str">
            <v>Cánones y derechos</v>
          </cell>
          <cell r="P1449">
            <v>0</v>
          </cell>
          <cell r="S1449">
            <v>0</v>
          </cell>
        </row>
        <row r="1450">
          <cell r="A1450">
            <v>6413</v>
          </cell>
          <cell r="B1450" t="str">
            <v>Impuesto temporal a los activos netos</v>
          </cell>
          <cell r="P1450">
            <v>0</v>
          </cell>
          <cell r="S1450">
            <v>0</v>
          </cell>
        </row>
        <row r="1451">
          <cell r="A1451">
            <v>6414</v>
          </cell>
          <cell r="B1451" t="str">
            <v>Impuesto a los juegos de casino y maquinas tragamonedas</v>
          </cell>
          <cell r="P1451">
            <v>0</v>
          </cell>
          <cell r="S1451">
            <v>0</v>
          </cell>
        </row>
        <row r="1452">
          <cell r="A1452">
            <v>6415</v>
          </cell>
          <cell r="B1452" t="str">
            <v>Regalias mineras</v>
          </cell>
          <cell r="P1452">
            <v>0</v>
          </cell>
          <cell r="S1452">
            <v>0</v>
          </cell>
        </row>
        <row r="1453">
          <cell r="A1453">
            <v>6416</v>
          </cell>
          <cell r="B1453" t="str">
            <v>Cánones</v>
          </cell>
          <cell r="P1453">
            <v>0</v>
          </cell>
          <cell r="S1453">
            <v>0</v>
          </cell>
        </row>
        <row r="1454">
          <cell r="A1454">
            <v>6419</v>
          </cell>
          <cell r="B1454" t="str">
            <v>Otros</v>
          </cell>
          <cell r="P1454">
            <v>0</v>
          </cell>
          <cell r="S1454">
            <v>0</v>
          </cell>
        </row>
        <row r="1455">
          <cell r="A1455">
            <v>642</v>
          </cell>
          <cell r="B1455" t="str">
            <v>Gobierno Regional</v>
          </cell>
          <cell r="P1455">
            <v>0</v>
          </cell>
          <cell r="S1455">
            <v>0</v>
          </cell>
        </row>
        <row r="1456">
          <cell r="A1456">
            <v>6421</v>
          </cell>
          <cell r="B1456" t="str">
            <v>Permisos</v>
          </cell>
          <cell r="P1456">
            <v>0</v>
          </cell>
          <cell r="S1456">
            <v>0</v>
          </cell>
        </row>
        <row r="1457">
          <cell r="A1457">
            <v>643</v>
          </cell>
          <cell r="B1457" t="str">
            <v>Gobierno Local</v>
          </cell>
          <cell r="P1457">
            <v>0</v>
          </cell>
          <cell r="S1457">
            <v>0</v>
          </cell>
        </row>
        <row r="1458">
          <cell r="A1458">
            <v>6431</v>
          </cell>
          <cell r="B1458" t="str">
            <v>Impuesto predial</v>
          </cell>
          <cell r="P1458">
            <v>0</v>
          </cell>
          <cell r="S1458">
            <v>0</v>
          </cell>
        </row>
        <row r="1459">
          <cell r="A1459">
            <v>6432</v>
          </cell>
          <cell r="B1459" t="str">
            <v>Arbitrios municipales y seguridad ciudadana</v>
          </cell>
          <cell r="P1459">
            <v>0</v>
          </cell>
          <cell r="S1459">
            <v>0</v>
          </cell>
        </row>
        <row r="1460">
          <cell r="A1460">
            <v>6433</v>
          </cell>
          <cell r="B1460" t="str">
            <v>Impuesto al patrimonio vehicular</v>
          </cell>
          <cell r="P1460">
            <v>0</v>
          </cell>
          <cell r="S1460">
            <v>0</v>
          </cell>
        </row>
        <row r="1461">
          <cell r="A1461">
            <v>6434</v>
          </cell>
          <cell r="B1461" t="str">
            <v>Licencia de funcionamiento</v>
          </cell>
          <cell r="P1461">
            <v>0</v>
          </cell>
          <cell r="S1461">
            <v>0</v>
          </cell>
        </row>
        <row r="1462">
          <cell r="A1462">
            <v>6439</v>
          </cell>
          <cell r="B1462" t="str">
            <v>Otros</v>
          </cell>
          <cell r="P1462">
            <v>0</v>
          </cell>
          <cell r="S1462">
            <v>0</v>
          </cell>
        </row>
        <row r="1463">
          <cell r="A1463">
            <v>644</v>
          </cell>
          <cell r="B1463" t="str">
            <v>Otros Gastos por Tributos</v>
          </cell>
          <cell r="P1463">
            <v>0</v>
          </cell>
          <cell r="S1463">
            <v>0</v>
          </cell>
        </row>
        <row r="1464">
          <cell r="A1464">
            <v>6441</v>
          </cell>
          <cell r="B1464" t="str">
            <v>Contribución a SENATI</v>
          </cell>
          <cell r="P1464">
            <v>0</v>
          </cell>
          <cell r="S1464">
            <v>0</v>
          </cell>
        </row>
        <row r="1465">
          <cell r="A1465">
            <v>6442</v>
          </cell>
          <cell r="B1465" t="str">
            <v>Contribución a SENCICO</v>
          </cell>
          <cell r="P1465">
            <v>0</v>
          </cell>
          <cell r="S1465">
            <v>0</v>
          </cell>
        </row>
        <row r="1466">
          <cell r="A1466">
            <v>6443</v>
          </cell>
          <cell r="B1466" t="str">
            <v>Peajes</v>
          </cell>
          <cell r="P1466">
            <v>0</v>
          </cell>
          <cell r="S1466">
            <v>0</v>
          </cell>
        </row>
        <row r="1467">
          <cell r="A1467">
            <v>65</v>
          </cell>
          <cell r="B1467" t="str">
            <v>OTROS GASTOS DE GESTIÓN</v>
          </cell>
          <cell r="P1467">
            <v>0</v>
          </cell>
          <cell r="S1467">
            <v>0</v>
          </cell>
        </row>
        <row r="1468">
          <cell r="A1468">
            <v>651</v>
          </cell>
          <cell r="B1468" t="str">
            <v>Seguros</v>
          </cell>
          <cell r="P1468">
            <v>0</v>
          </cell>
          <cell r="S1468">
            <v>0</v>
          </cell>
        </row>
        <row r="1469">
          <cell r="A1469">
            <v>65111</v>
          </cell>
          <cell r="B1469" t="str">
            <v>Seguro contra incendios</v>
          </cell>
          <cell r="P1469">
            <v>0</v>
          </cell>
          <cell r="S1469">
            <v>0</v>
          </cell>
        </row>
        <row r="1470">
          <cell r="A1470">
            <v>652</v>
          </cell>
          <cell r="B1470" t="str">
            <v>Regalías</v>
          </cell>
          <cell r="P1470">
            <v>0</v>
          </cell>
          <cell r="S1470">
            <v>0</v>
          </cell>
        </row>
        <row r="1471">
          <cell r="A1471">
            <v>653</v>
          </cell>
          <cell r="B1471" t="str">
            <v>Suscripciones</v>
          </cell>
          <cell r="P1471">
            <v>0</v>
          </cell>
          <cell r="S1471">
            <v>0</v>
          </cell>
        </row>
        <row r="1472">
          <cell r="A1472">
            <v>6531</v>
          </cell>
          <cell r="B1472" t="str">
            <v>Cámara de comercio y producción de cajamarca</v>
          </cell>
          <cell r="P1472">
            <v>0</v>
          </cell>
          <cell r="S1472">
            <v>0</v>
          </cell>
        </row>
        <row r="1473">
          <cell r="A1473">
            <v>654</v>
          </cell>
          <cell r="B1473" t="str">
            <v>Licencias y Derechos de Vigencia</v>
          </cell>
          <cell r="P1473">
            <v>0</v>
          </cell>
          <cell r="S1473">
            <v>0</v>
          </cell>
        </row>
        <row r="1474">
          <cell r="A1474">
            <v>655</v>
          </cell>
          <cell r="B1474" t="str">
            <v>Costo Neto de Enajenación de Activos Inmovilizados y Operaciones Discontinuadas</v>
          </cell>
          <cell r="P1474" t="str">
            <v>2D0407</v>
          </cell>
          <cell r="S1474">
            <v>0</v>
          </cell>
        </row>
        <row r="1475">
          <cell r="A1475">
            <v>6551</v>
          </cell>
          <cell r="B1475" t="str">
            <v>Costo neto de enajenación de activos inmovilizados</v>
          </cell>
          <cell r="P1475" t="str">
            <v>2D0407</v>
          </cell>
          <cell r="S1475">
            <v>0</v>
          </cell>
        </row>
        <row r="1476">
          <cell r="A1476">
            <v>65511</v>
          </cell>
          <cell r="B1476" t="str">
            <v>Inversiones inmobiliarias</v>
          </cell>
          <cell r="P1476" t="str">
            <v>2D0407</v>
          </cell>
          <cell r="S1476">
            <v>0</v>
          </cell>
        </row>
        <row r="1477">
          <cell r="A1477">
            <v>65512</v>
          </cell>
          <cell r="B1477" t="str">
            <v>Activos adquiridos en arrendamiento financiero</v>
          </cell>
          <cell r="P1477" t="str">
            <v>2D0407</v>
          </cell>
          <cell r="S1477">
            <v>0</v>
          </cell>
        </row>
        <row r="1478">
          <cell r="A1478">
            <v>65513</v>
          </cell>
          <cell r="B1478" t="str">
            <v>Inmuebles, maquinaria y equipo</v>
          </cell>
          <cell r="P1478" t="str">
            <v>2D0407</v>
          </cell>
          <cell r="S1478">
            <v>0</v>
          </cell>
        </row>
        <row r="1479">
          <cell r="A1479">
            <v>65514</v>
          </cell>
          <cell r="B1479" t="str">
            <v>Intangibles</v>
          </cell>
          <cell r="P1479" t="str">
            <v>2D0407</v>
          </cell>
          <cell r="S1479">
            <v>0</v>
          </cell>
        </row>
        <row r="1480">
          <cell r="A1480">
            <v>65515</v>
          </cell>
          <cell r="B1480" t="str">
            <v>Activos biológicos</v>
          </cell>
          <cell r="P1480" t="str">
            <v>2D0407</v>
          </cell>
          <cell r="S1480">
            <v>0</v>
          </cell>
        </row>
        <row r="1481">
          <cell r="A1481">
            <v>6552</v>
          </cell>
          <cell r="B1481" t="str">
            <v>Operaciones discontinuadas - abandono e activos</v>
          </cell>
          <cell r="P1481" t="str">
            <v>2D0407</v>
          </cell>
          <cell r="S1481">
            <v>0</v>
          </cell>
        </row>
        <row r="1482">
          <cell r="A1482">
            <v>65521</v>
          </cell>
          <cell r="B1482" t="str">
            <v>Inversiones inmobiliarias</v>
          </cell>
          <cell r="P1482" t="str">
            <v>2D0407</v>
          </cell>
          <cell r="S1482">
            <v>0</v>
          </cell>
        </row>
        <row r="1483">
          <cell r="A1483">
            <v>65522</v>
          </cell>
          <cell r="B1483" t="str">
            <v>Activos adquiridos en arrendamiento financiero</v>
          </cell>
          <cell r="P1483" t="str">
            <v>2D0407</v>
          </cell>
          <cell r="S1483">
            <v>0</v>
          </cell>
        </row>
        <row r="1484">
          <cell r="A1484">
            <v>65523</v>
          </cell>
          <cell r="B1484" t="str">
            <v>Inmueble, maquinaria y equipos</v>
          </cell>
          <cell r="P1484" t="str">
            <v>2D0407</v>
          </cell>
          <cell r="S1484">
            <v>0</v>
          </cell>
        </row>
        <row r="1485">
          <cell r="A1485">
            <v>65524</v>
          </cell>
          <cell r="B1485" t="str">
            <v>Intangibles</v>
          </cell>
          <cell r="P1485" t="str">
            <v>2D0407</v>
          </cell>
          <cell r="S1485">
            <v>0</v>
          </cell>
        </row>
        <row r="1486">
          <cell r="A1486">
            <v>65525</v>
          </cell>
          <cell r="B1486" t="str">
            <v>Activos biológicos</v>
          </cell>
          <cell r="P1486" t="str">
            <v>2D0407</v>
          </cell>
          <cell r="S1486">
            <v>0</v>
          </cell>
        </row>
        <row r="1487">
          <cell r="A1487">
            <v>656</v>
          </cell>
          <cell r="B1487" t="str">
            <v>Suministros</v>
          </cell>
          <cell r="P1487">
            <v>0</v>
          </cell>
          <cell r="S1487">
            <v>0</v>
          </cell>
        </row>
        <row r="1488">
          <cell r="A1488">
            <v>6561</v>
          </cell>
          <cell r="B1488" t="str">
            <v>Materiales y útiles de oficina</v>
          </cell>
          <cell r="P1488">
            <v>0</v>
          </cell>
          <cell r="S1488">
            <v>0</v>
          </cell>
        </row>
        <row r="1489">
          <cell r="A1489">
            <v>6562</v>
          </cell>
          <cell r="B1489" t="str">
            <v>Materiales de limpieza</v>
          </cell>
          <cell r="P1489">
            <v>0</v>
          </cell>
          <cell r="S1489">
            <v>0</v>
          </cell>
        </row>
        <row r="1490">
          <cell r="A1490">
            <v>6563</v>
          </cell>
          <cell r="B1490" t="str">
            <v>Equipos de procesamiento de información</v>
          </cell>
          <cell r="P1490">
            <v>0</v>
          </cell>
          <cell r="S1490">
            <v>0</v>
          </cell>
        </row>
        <row r="1491">
          <cell r="A1491">
            <v>6564</v>
          </cell>
          <cell r="B1491" t="str">
            <v>Equipos de telecomunicaciones</v>
          </cell>
          <cell r="P1491">
            <v>0</v>
          </cell>
          <cell r="S1491">
            <v>0</v>
          </cell>
        </row>
        <row r="1492">
          <cell r="A1492">
            <v>6565</v>
          </cell>
          <cell r="B1492" t="str">
            <v>Herramientas de trabajo</v>
          </cell>
          <cell r="P1492">
            <v>0</v>
          </cell>
          <cell r="S1492">
            <v>0</v>
          </cell>
        </row>
        <row r="1493">
          <cell r="A1493">
            <v>6566</v>
          </cell>
          <cell r="B1493" t="str">
            <v>Combustibles, lubricantes, repuestos y accesorios</v>
          </cell>
          <cell r="P1493">
            <v>0</v>
          </cell>
          <cell r="S1493">
            <v>0</v>
          </cell>
        </row>
        <row r="1494">
          <cell r="A1494">
            <v>6569</v>
          </cell>
          <cell r="B1494" t="str">
            <v>Otros suministros</v>
          </cell>
          <cell r="P1494">
            <v>0</v>
          </cell>
          <cell r="S1494">
            <v>0</v>
          </cell>
        </row>
        <row r="1495">
          <cell r="A1495">
            <v>658</v>
          </cell>
          <cell r="B1495" t="str">
            <v>Gestión Medioambiental</v>
          </cell>
          <cell r="P1495">
            <v>0</v>
          </cell>
          <cell r="S1495">
            <v>0</v>
          </cell>
        </row>
        <row r="1496">
          <cell r="A1496">
            <v>659</v>
          </cell>
          <cell r="B1496" t="str">
            <v>Otros Gastos de Gestión</v>
          </cell>
          <cell r="P1496">
            <v>0</v>
          </cell>
          <cell r="S1496">
            <v>0</v>
          </cell>
        </row>
        <row r="1497">
          <cell r="A1497">
            <v>6591</v>
          </cell>
          <cell r="B1497" t="str">
            <v>Donaciones</v>
          </cell>
          <cell r="P1497">
            <v>0</v>
          </cell>
          <cell r="S1497">
            <v>0</v>
          </cell>
        </row>
        <row r="1498">
          <cell r="A1498">
            <v>6592</v>
          </cell>
          <cell r="B1498" t="str">
            <v>Sanciones administrativas</v>
          </cell>
          <cell r="P1498">
            <v>0</v>
          </cell>
          <cell r="S1498">
            <v>0</v>
          </cell>
        </row>
        <row r="1499">
          <cell r="A1499">
            <v>66</v>
          </cell>
          <cell r="B1499" t="str">
            <v>PÉRDIDA POR MEDICIÓN DE ACTIVOS NO FINANCIEROS AL VALOR RAZONABLE</v>
          </cell>
          <cell r="P1499" t="str">
            <v>2D0404</v>
          </cell>
          <cell r="S1499">
            <v>0</v>
          </cell>
        </row>
        <row r="1500">
          <cell r="A1500">
            <v>661</v>
          </cell>
          <cell r="B1500" t="str">
            <v>Activo Realizable</v>
          </cell>
          <cell r="P1500" t="str">
            <v>2D0404</v>
          </cell>
          <cell r="S1500">
            <v>0</v>
          </cell>
        </row>
        <row r="1501">
          <cell r="A1501">
            <v>6611</v>
          </cell>
          <cell r="B1501" t="str">
            <v>Mercaderías</v>
          </cell>
          <cell r="P1501" t="str">
            <v>2D0404</v>
          </cell>
          <cell r="S1501">
            <v>0</v>
          </cell>
        </row>
        <row r="1502">
          <cell r="A1502">
            <v>6612</v>
          </cell>
          <cell r="B1502" t="str">
            <v xml:space="preserve">Productos terminados </v>
          </cell>
          <cell r="P1502" t="str">
            <v>2D0404</v>
          </cell>
          <cell r="S1502">
            <v>0</v>
          </cell>
        </row>
        <row r="1503">
          <cell r="A1503">
            <v>6613</v>
          </cell>
          <cell r="B1503" t="str">
            <v>Activos no corrientes mantenidos para la venta</v>
          </cell>
          <cell r="P1503" t="str">
            <v>2D0404</v>
          </cell>
          <cell r="S1503">
            <v>0</v>
          </cell>
        </row>
        <row r="1504">
          <cell r="A1504">
            <v>66131</v>
          </cell>
          <cell r="B1504" t="str">
            <v>Inversiones inmobiliarias</v>
          </cell>
          <cell r="P1504" t="str">
            <v>2D0404</v>
          </cell>
          <cell r="S1504">
            <v>0</v>
          </cell>
        </row>
        <row r="1505">
          <cell r="A1505">
            <v>66132</v>
          </cell>
          <cell r="B1505" t="str">
            <v>Inmueble, maquinaria y equipos</v>
          </cell>
          <cell r="P1505" t="str">
            <v>2D0404</v>
          </cell>
          <cell r="S1505">
            <v>0</v>
          </cell>
        </row>
        <row r="1506">
          <cell r="A1506">
            <v>66133</v>
          </cell>
          <cell r="B1506" t="str">
            <v>Intangibles</v>
          </cell>
          <cell r="P1506" t="str">
            <v>2D0404</v>
          </cell>
          <cell r="S1506">
            <v>0</v>
          </cell>
        </row>
        <row r="1507">
          <cell r="A1507">
            <v>66134</v>
          </cell>
          <cell r="B1507" t="str">
            <v>Activos biológicos</v>
          </cell>
          <cell r="P1507" t="str">
            <v>2D0404</v>
          </cell>
          <cell r="S1507">
            <v>0</v>
          </cell>
        </row>
        <row r="1508">
          <cell r="A1508">
            <v>662</v>
          </cell>
          <cell r="B1508" t="str">
            <v>Activo Inmovilizado</v>
          </cell>
          <cell r="P1508" t="str">
            <v>2D0404</v>
          </cell>
          <cell r="S1508">
            <v>0</v>
          </cell>
        </row>
        <row r="1509">
          <cell r="A1509">
            <v>6621</v>
          </cell>
          <cell r="B1509" t="str">
            <v>Inversiones inmobiliarias</v>
          </cell>
          <cell r="P1509" t="str">
            <v>2D0404</v>
          </cell>
          <cell r="S1509">
            <v>0</v>
          </cell>
        </row>
        <row r="1510">
          <cell r="A1510">
            <v>6622</v>
          </cell>
          <cell r="B1510" t="str">
            <v>Activos biológicos</v>
          </cell>
          <cell r="P1510" t="str">
            <v>2D0404</v>
          </cell>
          <cell r="S1510">
            <v>0</v>
          </cell>
        </row>
        <row r="1511">
          <cell r="A1511">
            <v>67</v>
          </cell>
          <cell r="B1511" t="str">
            <v>GASTOS FINANCIEROS</v>
          </cell>
          <cell r="P1511" t="str">
            <v>2D0402</v>
          </cell>
          <cell r="S1511">
            <v>0</v>
          </cell>
        </row>
        <row r="1512">
          <cell r="A1512">
            <v>671</v>
          </cell>
          <cell r="B1512" t="str">
            <v>Gastos en Operaciones de Endeudamiento y Otros</v>
          </cell>
          <cell r="P1512" t="str">
            <v>2D0402</v>
          </cell>
          <cell r="S1512">
            <v>0</v>
          </cell>
        </row>
        <row r="1513">
          <cell r="A1513">
            <v>6711</v>
          </cell>
          <cell r="B1513" t="str">
            <v>Préstamos de instituciones financieras y otras entidades</v>
          </cell>
          <cell r="P1513" t="str">
            <v>2D0402</v>
          </cell>
          <cell r="S1513">
            <v>0</v>
          </cell>
        </row>
        <row r="1514">
          <cell r="A1514">
            <v>6712</v>
          </cell>
          <cell r="B1514" t="str">
            <v>Contratos de arrendamiento financiero</v>
          </cell>
          <cell r="P1514" t="str">
            <v>2D0402</v>
          </cell>
          <cell r="S1514">
            <v>0</v>
          </cell>
        </row>
        <row r="1515">
          <cell r="A1515">
            <v>6713</v>
          </cell>
          <cell r="B1515" t="str">
            <v>Emisión y colocación de instrumentos representativos de deuda y patrimonio</v>
          </cell>
          <cell r="P1515" t="str">
            <v>2D0402</v>
          </cell>
          <cell r="S1515">
            <v>0</v>
          </cell>
        </row>
        <row r="1516">
          <cell r="A1516">
            <v>6714</v>
          </cell>
          <cell r="B1516" t="str">
            <v>Documentos vendidos o descontados</v>
          </cell>
          <cell r="P1516" t="str">
            <v>2D0402</v>
          </cell>
          <cell r="S1516">
            <v>0</v>
          </cell>
        </row>
        <row r="1517">
          <cell r="A1517">
            <v>672</v>
          </cell>
          <cell r="B1517" t="str">
            <v>Pérdida por Instrumentos Financieros Derivados</v>
          </cell>
          <cell r="P1517" t="str">
            <v>2D0402</v>
          </cell>
          <cell r="S1517">
            <v>0</v>
          </cell>
        </row>
        <row r="1518">
          <cell r="A1518">
            <v>673</v>
          </cell>
          <cell r="B1518" t="str">
            <v>Intereses por Préstamos y Otras Obligaciones</v>
          </cell>
          <cell r="P1518" t="str">
            <v>2D0402</v>
          </cell>
          <cell r="S1518">
            <v>0</v>
          </cell>
        </row>
        <row r="1519">
          <cell r="A1519">
            <v>6731</v>
          </cell>
          <cell r="B1519" t="str">
            <v>Préstamos de instituciones financieras y otras entidades</v>
          </cell>
          <cell r="P1519" t="str">
            <v>2D0402</v>
          </cell>
          <cell r="S1519">
            <v>0</v>
          </cell>
        </row>
        <row r="1520">
          <cell r="A1520">
            <v>67311</v>
          </cell>
          <cell r="B1520" t="str">
            <v>Intereses de préstamos de Instituciones financieras</v>
          </cell>
          <cell r="P1520" t="str">
            <v>2D0402</v>
          </cell>
          <cell r="S1520">
            <v>0</v>
          </cell>
        </row>
        <row r="1521">
          <cell r="A1521">
            <v>67312</v>
          </cell>
          <cell r="B1521" t="str">
            <v>Otras entidades</v>
          </cell>
          <cell r="P1521" t="str">
            <v>2D0402</v>
          </cell>
          <cell r="S1521">
            <v>0</v>
          </cell>
        </row>
        <row r="1522">
          <cell r="A1522">
            <v>6732</v>
          </cell>
          <cell r="B1522" t="str">
            <v>Contratos de arrendamiento financiero</v>
          </cell>
          <cell r="P1522" t="str">
            <v>2D0402</v>
          </cell>
          <cell r="S1522">
            <v>0</v>
          </cell>
        </row>
        <row r="1523">
          <cell r="A1523">
            <v>6733</v>
          </cell>
          <cell r="B1523" t="str">
            <v>Otros instrumentos financieros por pagar</v>
          </cell>
          <cell r="P1523" t="str">
            <v>2D0402</v>
          </cell>
          <cell r="S1523">
            <v>0</v>
          </cell>
        </row>
        <row r="1524">
          <cell r="A1524">
            <v>6734</v>
          </cell>
          <cell r="B1524" t="str">
            <v>Documentos vendidos o descontados</v>
          </cell>
          <cell r="P1524" t="str">
            <v>2D0402</v>
          </cell>
          <cell r="S1524">
            <v>0</v>
          </cell>
        </row>
        <row r="1525">
          <cell r="A1525">
            <v>6735</v>
          </cell>
          <cell r="B1525" t="str">
            <v>Obligaciones emitidas</v>
          </cell>
          <cell r="P1525" t="str">
            <v>2D0402</v>
          </cell>
          <cell r="S1525">
            <v>0</v>
          </cell>
        </row>
        <row r="1526">
          <cell r="A1526">
            <v>6736</v>
          </cell>
          <cell r="B1526" t="str">
            <v>Obligaciones comerciales</v>
          </cell>
          <cell r="P1526" t="str">
            <v>2D0402</v>
          </cell>
          <cell r="S1526">
            <v>0</v>
          </cell>
        </row>
        <row r="1527">
          <cell r="A1527">
            <v>6737</v>
          </cell>
          <cell r="B1527" t="str">
            <v>Obligaciones tributarias</v>
          </cell>
          <cell r="P1527" t="str">
            <v>2D0402</v>
          </cell>
          <cell r="S1527">
            <v>0</v>
          </cell>
        </row>
        <row r="1528">
          <cell r="A1528">
            <v>674</v>
          </cell>
          <cell r="B1528" t="str">
            <v>gastos en operaciones de factoraje (factoring)</v>
          </cell>
          <cell r="P1528" t="str">
            <v>2D0402</v>
          </cell>
          <cell r="S1528">
            <v>0</v>
          </cell>
        </row>
        <row r="1529">
          <cell r="A1529">
            <v>6741</v>
          </cell>
          <cell r="B1529" t="str">
            <v>gastos por menor valor</v>
          </cell>
          <cell r="P1529" t="str">
            <v>2D0402</v>
          </cell>
          <cell r="S1529">
            <v>0</v>
          </cell>
        </row>
        <row r="1530">
          <cell r="A1530">
            <v>675</v>
          </cell>
          <cell r="B1530" t="str">
            <v>Descuentos Concedidos por Pronto Pago</v>
          </cell>
          <cell r="P1530" t="str">
            <v>2D0402</v>
          </cell>
          <cell r="S1530">
            <v>0</v>
          </cell>
        </row>
        <row r="1531">
          <cell r="A1531">
            <v>676</v>
          </cell>
          <cell r="B1531" t="str">
            <v>Diferencia de Cambio</v>
          </cell>
          <cell r="P1531" t="str">
            <v>2D0402</v>
          </cell>
          <cell r="S1531">
            <v>0</v>
          </cell>
        </row>
        <row r="1532">
          <cell r="A1532">
            <v>677</v>
          </cell>
          <cell r="B1532" t="str">
            <v>Pérdida por Medición de Activos y Pasivos Financieros al Valor Razonable</v>
          </cell>
          <cell r="P1532" t="str">
            <v>2D0402</v>
          </cell>
          <cell r="S1532">
            <v>0</v>
          </cell>
        </row>
        <row r="1533">
          <cell r="A1533">
            <v>6771</v>
          </cell>
          <cell r="B1533" t="str">
            <v>inversiones para negociacion</v>
          </cell>
          <cell r="P1533" t="str">
            <v>2D0402</v>
          </cell>
          <cell r="S1533">
            <v>0</v>
          </cell>
        </row>
        <row r="1534">
          <cell r="A1534">
            <v>6772</v>
          </cell>
          <cell r="B1534" t="str">
            <v>Inversiones disponibles para la venta</v>
          </cell>
          <cell r="P1534" t="str">
            <v>2D0402</v>
          </cell>
          <cell r="S1534">
            <v>0</v>
          </cell>
        </row>
        <row r="1535">
          <cell r="A1535">
            <v>6773</v>
          </cell>
          <cell r="B1535" t="str">
            <v>otros</v>
          </cell>
          <cell r="P1535" t="str">
            <v>2D0402</v>
          </cell>
          <cell r="S1535">
            <v>0</v>
          </cell>
        </row>
        <row r="1536">
          <cell r="A1536">
            <v>678</v>
          </cell>
          <cell r="B1536" t="str">
            <v>participacion en resultados de entidades relacionadas</v>
          </cell>
          <cell r="P1536" t="str">
            <v>2D0402</v>
          </cell>
          <cell r="S1536">
            <v>0</v>
          </cell>
        </row>
        <row r="1537">
          <cell r="A1537">
            <v>6781</v>
          </cell>
          <cell r="B1537" t="str">
            <v>participacion en los resultados de subsidiarias y asociadas bajo el metodo de part pat</v>
          </cell>
          <cell r="P1537" t="str">
            <v>2D0402</v>
          </cell>
          <cell r="S1537">
            <v>0</v>
          </cell>
        </row>
        <row r="1538">
          <cell r="A1538">
            <v>6782</v>
          </cell>
          <cell r="B1538" t="str">
            <v>participaciones en negocios conjuntos</v>
          </cell>
          <cell r="P1538" t="str">
            <v>2D0402</v>
          </cell>
          <cell r="S1538">
            <v>0</v>
          </cell>
        </row>
        <row r="1539">
          <cell r="A1539">
            <v>679</v>
          </cell>
          <cell r="B1539" t="str">
            <v>Otros Gastos Financieros</v>
          </cell>
          <cell r="P1539" t="str">
            <v>2D0402</v>
          </cell>
          <cell r="S1539">
            <v>0</v>
          </cell>
        </row>
        <row r="1540">
          <cell r="A1540">
            <v>6791</v>
          </cell>
          <cell r="B1540" t="str">
            <v>Primas por opciones</v>
          </cell>
          <cell r="P1540" t="str">
            <v>2D0402</v>
          </cell>
          <cell r="S1540">
            <v>0</v>
          </cell>
        </row>
        <row r="1541">
          <cell r="A1541">
            <v>6792</v>
          </cell>
          <cell r="B1541" t="str">
            <v>Gastos financieros en medición a valor descontado</v>
          </cell>
          <cell r="P1541" t="str">
            <v>2D0402</v>
          </cell>
          <cell r="S1541">
            <v>0</v>
          </cell>
        </row>
        <row r="1542">
          <cell r="A1542">
            <v>68</v>
          </cell>
          <cell r="B1542" t="str">
            <v>VALUACIÓN Y DETERIORO DE ACTIVOS Y PROVISIONES</v>
          </cell>
          <cell r="P1542">
            <v>0</v>
          </cell>
          <cell r="S1542">
            <v>0</v>
          </cell>
        </row>
        <row r="1543">
          <cell r="A1543">
            <v>681</v>
          </cell>
          <cell r="B1543" t="str">
            <v>Depreciación</v>
          </cell>
          <cell r="P1543">
            <v>0</v>
          </cell>
          <cell r="S1543">
            <v>0</v>
          </cell>
        </row>
        <row r="1544">
          <cell r="A1544">
            <v>6811</v>
          </cell>
          <cell r="B1544" t="str">
            <v>Depreciación de inversiones inmobiliarias</v>
          </cell>
          <cell r="P1544">
            <v>0</v>
          </cell>
          <cell r="S1544">
            <v>0</v>
          </cell>
        </row>
        <row r="1545">
          <cell r="A1545">
            <v>68111</v>
          </cell>
          <cell r="B1545" t="str">
            <v>Edificaciones - costo</v>
          </cell>
          <cell r="P1545">
            <v>0</v>
          </cell>
          <cell r="S1545">
            <v>0</v>
          </cell>
        </row>
        <row r="1546">
          <cell r="A1546">
            <v>68112</v>
          </cell>
          <cell r="B1546" t="str">
            <v>Edificaciones - revaluación</v>
          </cell>
          <cell r="P1546">
            <v>0</v>
          </cell>
          <cell r="S1546">
            <v>0</v>
          </cell>
        </row>
        <row r="1547">
          <cell r="A1547">
            <v>68113</v>
          </cell>
          <cell r="B1547" t="str">
            <v>Edificaciones – costo de financiación</v>
          </cell>
          <cell r="P1547">
            <v>0</v>
          </cell>
          <cell r="S1547">
            <v>0</v>
          </cell>
        </row>
        <row r="1548">
          <cell r="A1548">
            <v>6812</v>
          </cell>
          <cell r="B1548" t="str">
            <v>Depreciación de activos adquiridos en arrendamiento financiero – inversiones inmobiliarias</v>
          </cell>
          <cell r="P1548">
            <v>0</v>
          </cell>
          <cell r="S1548">
            <v>0</v>
          </cell>
        </row>
        <row r="1549">
          <cell r="A1549">
            <v>68121</v>
          </cell>
          <cell r="B1549" t="str">
            <v>Edificaciones</v>
          </cell>
          <cell r="P1549">
            <v>0</v>
          </cell>
          <cell r="S1549">
            <v>0</v>
          </cell>
        </row>
        <row r="1550">
          <cell r="A1550">
            <v>6813</v>
          </cell>
          <cell r="B1550" t="str">
            <v>Depreciación de activos adquiridos en arrendamiento financiero</v>
          </cell>
          <cell r="P1550">
            <v>0</v>
          </cell>
          <cell r="S1550">
            <v>0</v>
          </cell>
        </row>
        <row r="1551">
          <cell r="A1551">
            <v>68131</v>
          </cell>
          <cell r="B1551" t="str">
            <v>Edificaciones</v>
          </cell>
          <cell r="P1551">
            <v>0</v>
          </cell>
          <cell r="S1551">
            <v>0</v>
          </cell>
        </row>
        <row r="1552">
          <cell r="A1552">
            <v>68132</v>
          </cell>
          <cell r="B1552" t="str">
            <v>Maquinarias y equipos de explotación</v>
          </cell>
          <cell r="P1552">
            <v>0</v>
          </cell>
          <cell r="S1552">
            <v>0</v>
          </cell>
        </row>
        <row r="1553">
          <cell r="A1553">
            <v>68133</v>
          </cell>
          <cell r="B1553" t="str">
            <v>Equipo de transporte</v>
          </cell>
          <cell r="P1553">
            <v>0</v>
          </cell>
          <cell r="S1553">
            <v>0</v>
          </cell>
        </row>
        <row r="1554">
          <cell r="A1554">
            <v>68134</v>
          </cell>
          <cell r="B1554" t="str">
            <v>Equipos diversos</v>
          </cell>
          <cell r="P1554">
            <v>0</v>
          </cell>
          <cell r="S1554">
            <v>0</v>
          </cell>
        </row>
        <row r="1555">
          <cell r="A1555">
            <v>6814</v>
          </cell>
          <cell r="B1555" t="str">
            <v>Depreciación de inmuebles, maquinaria y equipo – costo</v>
          </cell>
          <cell r="P1555">
            <v>0</v>
          </cell>
          <cell r="S1555">
            <v>0</v>
          </cell>
        </row>
        <row r="1556">
          <cell r="A1556">
            <v>68141</v>
          </cell>
          <cell r="B1556" t="str">
            <v>Edificaciones</v>
          </cell>
          <cell r="P1556">
            <v>0</v>
          </cell>
          <cell r="S1556">
            <v>0</v>
          </cell>
        </row>
        <row r="1557">
          <cell r="A1557">
            <v>68142</v>
          </cell>
          <cell r="B1557" t="str">
            <v>Maquinarias y equipos de explotación</v>
          </cell>
          <cell r="P1557">
            <v>0</v>
          </cell>
          <cell r="S1557">
            <v>0</v>
          </cell>
        </row>
        <row r="1558">
          <cell r="A1558">
            <v>68143</v>
          </cell>
          <cell r="B1558" t="str">
            <v>Equipo de transporte</v>
          </cell>
          <cell r="P1558">
            <v>0</v>
          </cell>
          <cell r="S1558">
            <v>0</v>
          </cell>
        </row>
        <row r="1559">
          <cell r="A1559">
            <v>68144</v>
          </cell>
          <cell r="B1559" t="str">
            <v>Depreciación muebles y enseres</v>
          </cell>
          <cell r="P1559">
            <v>0</v>
          </cell>
          <cell r="S1559">
            <v>0</v>
          </cell>
        </row>
        <row r="1560">
          <cell r="A1560">
            <v>68145</v>
          </cell>
          <cell r="B1560" t="str">
            <v>Depreciación equipos diversos</v>
          </cell>
          <cell r="P1560">
            <v>0</v>
          </cell>
          <cell r="S1560">
            <v>0</v>
          </cell>
        </row>
        <row r="1561">
          <cell r="A1561">
            <v>68146</v>
          </cell>
          <cell r="B1561" t="str">
            <v>Herramientas y unidades de reemplazo</v>
          </cell>
          <cell r="P1561">
            <v>0</v>
          </cell>
          <cell r="S1561">
            <v>0</v>
          </cell>
        </row>
        <row r="1562">
          <cell r="A1562">
            <v>6815</v>
          </cell>
          <cell r="B1562" t="str">
            <v>Depreciación de inmuebles, maquinaria y equipo – revaluación</v>
          </cell>
          <cell r="P1562">
            <v>0</v>
          </cell>
          <cell r="S1562">
            <v>0</v>
          </cell>
        </row>
        <row r="1563">
          <cell r="A1563">
            <v>68151</v>
          </cell>
          <cell r="B1563" t="str">
            <v>Edificaciones</v>
          </cell>
          <cell r="P1563">
            <v>0</v>
          </cell>
          <cell r="S1563">
            <v>0</v>
          </cell>
        </row>
        <row r="1564">
          <cell r="A1564">
            <v>68152</v>
          </cell>
          <cell r="B1564" t="str">
            <v>Maquinarias y equipos de explotación</v>
          </cell>
          <cell r="P1564">
            <v>0</v>
          </cell>
          <cell r="S1564">
            <v>0</v>
          </cell>
        </row>
        <row r="1565">
          <cell r="A1565">
            <v>68153</v>
          </cell>
          <cell r="B1565" t="str">
            <v>Equipo de transporte</v>
          </cell>
          <cell r="P1565">
            <v>0</v>
          </cell>
          <cell r="S1565">
            <v>0</v>
          </cell>
        </row>
        <row r="1566">
          <cell r="A1566">
            <v>68154</v>
          </cell>
          <cell r="B1566" t="str">
            <v>Muebles y enseres</v>
          </cell>
          <cell r="P1566">
            <v>0</v>
          </cell>
          <cell r="S1566">
            <v>0</v>
          </cell>
        </row>
        <row r="1567">
          <cell r="A1567">
            <v>68155</v>
          </cell>
          <cell r="B1567" t="str">
            <v>Equipos diversos</v>
          </cell>
          <cell r="P1567">
            <v>0</v>
          </cell>
          <cell r="S1567">
            <v>0</v>
          </cell>
        </row>
        <row r="1568">
          <cell r="A1568">
            <v>68156</v>
          </cell>
          <cell r="B1568" t="str">
            <v>Herramientas y unidades de reemplazo</v>
          </cell>
          <cell r="P1568">
            <v>0</v>
          </cell>
          <cell r="S1568">
            <v>0</v>
          </cell>
        </row>
        <row r="1569">
          <cell r="A1569">
            <v>6816</v>
          </cell>
          <cell r="B1569" t="str">
            <v>Depreciación de inmuebles, maquinaria y equipo – costos de financiación</v>
          </cell>
          <cell r="P1569">
            <v>0</v>
          </cell>
          <cell r="S1569">
            <v>0</v>
          </cell>
        </row>
        <row r="1570">
          <cell r="A1570">
            <v>68161</v>
          </cell>
          <cell r="B1570" t="str">
            <v>Edificaciones</v>
          </cell>
          <cell r="P1570">
            <v>0</v>
          </cell>
          <cell r="S1570">
            <v>0</v>
          </cell>
        </row>
        <row r="1571">
          <cell r="A1571">
            <v>68162</v>
          </cell>
          <cell r="B1571" t="str">
            <v>Maquinarias y equipos de explotación</v>
          </cell>
          <cell r="P1571">
            <v>0</v>
          </cell>
          <cell r="S1571">
            <v>0</v>
          </cell>
        </row>
        <row r="1572">
          <cell r="A1572">
            <v>6817</v>
          </cell>
          <cell r="B1572" t="str">
            <v>Depreciación de activos biológicos en producción – costo</v>
          </cell>
          <cell r="P1572">
            <v>0</v>
          </cell>
          <cell r="S1572">
            <v>0</v>
          </cell>
        </row>
        <row r="1573">
          <cell r="A1573">
            <v>68171</v>
          </cell>
          <cell r="B1573" t="str">
            <v>Activos biológicos de origen animal</v>
          </cell>
          <cell r="P1573">
            <v>0</v>
          </cell>
          <cell r="S1573">
            <v>0</v>
          </cell>
        </row>
        <row r="1574">
          <cell r="A1574">
            <v>68172</v>
          </cell>
          <cell r="B1574" t="str">
            <v>Activos biológicos de origen vegetal</v>
          </cell>
          <cell r="P1574">
            <v>0</v>
          </cell>
          <cell r="S1574">
            <v>0</v>
          </cell>
        </row>
        <row r="1575">
          <cell r="A1575">
            <v>6818</v>
          </cell>
          <cell r="B1575" t="str">
            <v>Depreciación de activos biológicos en producción – costo de financiación</v>
          </cell>
          <cell r="P1575">
            <v>0</v>
          </cell>
          <cell r="S1575">
            <v>0</v>
          </cell>
        </row>
        <row r="1576">
          <cell r="A1576">
            <v>68181</v>
          </cell>
          <cell r="B1576" t="str">
            <v>Activos biológicos de origen animal</v>
          </cell>
          <cell r="P1576">
            <v>0</v>
          </cell>
          <cell r="S1576">
            <v>0</v>
          </cell>
        </row>
        <row r="1577">
          <cell r="A1577">
            <v>68182</v>
          </cell>
          <cell r="B1577" t="str">
            <v>Activos biológicos de origen vegetal</v>
          </cell>
          <cell r="P1577">
            <v>0</v>
          </cell>
          <cell r="S1577">
            <v>0</v>
          </cell>
        </row>
        <row r="1578">
          <cell r="A1578">
            <v>682</v>
          </cell>
          <cell r="B1578" t="str">
            <v>Amortización de Intangibles</v>
          </cell>
          <cell r="P1578">
            <v>0</v>
          </cell>
          <cell r="S1578">
            <v>0</v>
          </cell>
        </row>
        <row r="1579">
          <cell r="A1579">
            <v>6821</v>
          </cell>
          <cell r="B1579" t="str">
            <v>Amortización de intangibles adquiridos – costo</v>
          </cell>
          <cell r="P1579">
            <v>0</v>
          </cell>
          <cell r="S1579">
            <v>0</v>
          </cell>
        </row>
        <row r="1580">
          <cell r="A1580">
            <v>68211</v>
          </cell>
          <cell r="B1580" t="str">
            <v>Concesiones, licencias y otros derechos</v>
          </cell>
          <cell r="P1580">
            <v>0</v>
          </cell>
          <cell r="S1580">
            <v>0</v>
          </cell>
        </row>
        <row r="1581">
          <cell r="A1581">
            <v>68212</v>
          </cell>
          <cell r="B1581" t="str">
            <v>Patentes y propiedad industrial</v>
          </cell>
          <cell r="P1581">
            <v>0</v>
          </cell>
          <cell r="S1581">
            <v>0</v>
          </cell>
        </row>
        <row r="1582">
          <cell r="A1582">
            <v>68213</v>
          </cell>
          <cell r="B1582" t="str">
            <v>Programas de computadora (software)</v>
          </cell>
          <cell r="P1582">
            <v>0</v>
          </cell>
          <cell r="S1582">
            <v>0</v>
          </cell>
        </row>
        <row r="1583">
          <cell r="A1583">
            <v>68214</v>
          </cell>
          <cell r="B1583" t="str">
            <v>Costos de exploración y desarrollo</v>
          </cell>
          <cell r="P1583">
            <v>0</v>
          </cell>
          <cell r="S1583">
            <v>0</v>
          </cell>
        </row>
        <row r="1584">
          <cell r="A1584">
            <v>68215</v>
          </cell>
          <cell r="B1584" t="str">
            <v>Fórmulas, diseños y prototipos</v>
          </cell>
          <cell r="P1584">
            <v>0</v>
          </cell>
          <cell r="S1584">
            <v>0</v>
          </cell>
        </row>
        <row r="1585">
          <cell r="A1585">
            <v>68219</v>
          </cell>
          <cell r="B1585" t="str">
            <v>Otros activos intangibles</v>
          </cell>
          <cell r="P1585">
            <v>0</v>
          </cell>
          <cell r="S1585">
            <v>0</v>
          </cell>
        </row>
        <row r="1586">
          <cell r="A1586">
            <v>6822</v>
          </cell>
          <cell r="B1586" t="str">
            <v>Amortización de intangibles adquiridos – revaluación</v>
          </cell>
          <cell r="P1586">
            <v>0</v>
          </cell>
          <cell r="S1586">
            <v>0</v>
          </cell>
        </row>
        <row r="1587">
          <cell r="A1587">
            <v>68221</v>
          </cell>
          <cell r="B1587" t="str">
            <v>Concesiones, licencias y otros derechos</v>
          </cell>
          <cell r="P1587">
            <v>0</v>
          </cell>
          <cell r="S1587">
            <v>0</v>
          </cell>
        </row>
        <row r="1588">
          <cell r="A1588">
            <v>68222</v>
          </cell>
          <cell r="B1588" t="str">
            <v>Patentes y propiedad industrial</v>
          </cell>
          <cell r="P1588">
            <v>0</v>
          </cell>
          <cell r="S1588">
            <v>0</v>
          </cell>
        </row>
        <row r="1589">
          <cell r="A1589">
            <v>68223</v>
          </cell>
          <cell r="B1589" t="str">
            <v>Programas de computadora (software)</v>
          </cell>
          <cell r="P1589">
            <v>0</v>
          </cell>
          <cell r="S1589">
            <v>0</v>
          </cell>
        </row>
        <row r="1590">
          <cell r="A1590">
            <v>68224</v>
          </cell>
          <cell r="B1590" t="str">
            <v>Costos de exploración y desarrollo</v>
          </cell>
          <cell r="P1590">
            <v>0</v>
          </cell>
          <cell r="S1590">
            <v>0</v>
          </cell>
        </row>
        <row r="1591">
          <cell r="A1591">
            <v>68225</v>
          </cell>
          <cell r="B1591" t="str">
            <v>Fórmulas, diseños y prototipos</v>
          </cell>
          <cell r="P1591">
            <v>0</v>
          </cell>
          <cell r="S1591">
            <v>0</v>
          </cell>
        </row>
        <row r="1592">
          <cell r="A1592">
            <v>68229</v>
          </cell>
          <cell r="B1592" t="str">
            <v>Otros activos intangibles</v>
          </cell>
          <cell r="P1592">
            <v>0</v>
          </cell>
          <cell r="S1592">
            <v>0</v>
          </cell>
        </row>
        <row r="1593">
          <cell r="A1593">
            <v>6823</v>
          </cell>
          <cell r="B1593" t="str">
            <v>Amortización de intangibles generados internamente – costo</v>
          </cell>
          <cell r="P1593">
            <v>0</v>
          </cell>
          <cell r="S1593">
            <v>0</v>
          </cell>
        </row>
        <row r="1594">
          <cell r="A1594">
            <v>68231</v>
          </cell>
          <cell r="B1594" t="str">
            <v>Concesiones, licencias y otros derechos</v>
          </cell>
          <cell r="P1594">
            <v>0</v>
          </cell>
          <cell r="S1594">
            <v>0</v>
          </cell>
        </row>
        <row r="1595">
          <cell r="A1595">
            <v>68232</v>
          </cell>
          <cell r="B1595" t="str">
            <v>Patentes y propiedad industrial</v>
          </cell>
          <cell r="P1595">
            <v>0</v>
          </cell>
          <cell r="S1595">
            <v>0</v>
          </cell>
        </row>
        <row r="1596">
          <cell r="A1596">
            <v>68233</v>
          </cell>
          <cell r="B1596" t="str">
            <v>Programas de computadora (software)</v>
          </cell>
          <cell r="P1596">
            <v>0</v>
          </cell>
          <cell r="S1596">
            <v>0</v>
          </cell>
        </row>
        <row r="1597">
          <cell r="A1597">
            <v>68234</v>
          </cell>
          <cell r="B1597" t="str">
            <v>Costos de exploración y desarrollo</v>
          </cell>
          <cell r="P1597">
            <v>0</v>
          </cell>
          <cell r="S1597">
            <v>0</v>
          </cell>
        </row>
        <row r="1598">
          <cell r="A1598">
            <v>68235</v>
          </cell>
          <cell r="B1598" t="str">
            <v>Fórmulas, diseños y prototipos</v>
          </cell>
          <cell r="P1598">
            <v>0</v>
          </cell>
          <cell r="S1598">
            <v>0</v>
          </cell>
        </row>
        <row r="1599">
          <cell r="A1599">
            <v>68239</v>
          </cell>
          <cell r="B1599" t="str">
            <v>Otros activos intangibles</v>
          </cell>
          <cell r="P1599">
            <v>0</v>
          </cell>
          <cell r="S1599">
            <v>0</v>
          </cell>
        </row>
        <row r="1600">
          <cell r="A1600">
            <v>6824</v>
          </cell>
          <cell r="B1600" t="str">
            <v>Amortización de intangibles generados internamente – revaluación</v>
          </cell>
          <cell r="P1600">
            <v>0</v>
          </cell>
          <cell r="S1600">
            <v>0</v>
          </cell>
        </row>
        <row r="1601">
          <cell r="A1601">
            <v>68241</v>
          </cell>
          <cell r="B1601" t="str">
            <v>Concesiones, licencias y otros derechos</v>
          </cell>
          <cell r="P1601">
            <v>0</v>
          </cell>
          <cell r="S1601">
            <v>0</v>
          </cell>
        </row>
        <row r="1602">
          <cell r="A1602">
            <v>68242</v>
          </cell>
          <cell r="B1602" t="str">
            <v>Patentes y propiedad industrial</v>
          </cell>
          <cell r="P1602">
            <v>0</v>
          </cell>
          <cell r="S1602">
            <v>0</v>
          </cell>
        </row>
        <row r="1603">
          <cell r="A1603">
            <v>68243</v>
          </cell>
          <cell r="B1603" t="str">
            <v>Programas de computadora (software)</v>
          </cell>
          <cell r="P1603">
            <v>0</v>
          </cell>
          <cell r="S1603">
            <v>0</v>
          </cell>
        </row>
        <row r="1604">
          <cell r="A1604">
            <v>68244</v>
          </cell>
          <cell r="B1604" t="str">
            <v>Costos de exploración y desarrollo</v>
          </cell>
          <cell r="P1604">
            <v>0</v>
          </cell>
          <cell r="S1604">
            <v>0</v>
          </cell>
        </row>
        <row r="1605">
          <cell r="A1605">
            <v>68245</v>
          </cell>
          <cell r="B1605" t="str">
            <v>Fórmulas, diseños y prototipos</v>
          </cell>
          <cell r="P1605">
            <v>0</v>
          </cell>
          <cell r="S1605">
            <v>0</v>
          </cell>
        </row>
        <row r="1606">
          <cell r="A1606">
            <v>68259</v>
          </cell>
          <cell r="B1606" t="str">
            <v>Otros activos intangibles</v>
          </cell>
          <cell r="P1606">
            <v>0</v>
          </cell>
          <cell r="S1606">
            <v>0</v>
          </cell>
        </row>
        <row r="1607">
          <cell r="A1607">
            <v>683</v>
          </cell>
          <cell r="B1607" t="str">
            <v>Agotamiento</v>
          </cell>
          <cell r="P1607">
            <v>0</v>
          </cell>
          <cell r="S1607">
            <v>0</v>
          </cell>
        </row>
        <row r="1608">
          <cell r="A1608">
            <v>6831</v>
          </cell>
          <cell r="B1608" t="str">
            <v>Agotamiento de recursos naturales adquiridos</v>
          </cell>
          <cell r="P1608">
            <v>0</v>
          </cell>
          <cell r="S1608">
            <v>0</v>
          </cell>
        </row>
        <row r="1609">
          <cell r="A1609">
            <v>684</v>
          </cell>
          <cell r="B1609" t="str">
            <v>Valuación de Activos</v>
          </cell>
          <cell r="P1609">
            <v>0</v>
          </cell>
          <cell r="S1609">
            <v>0</v>
          </cell>
        </row>
        <row r="1610">
          <cell r="A1610">
            <v>6841</v>
          </cell>
          <cell r="B1610" t="str">
            <v>Estimación de cuentas de cobranza dudosa</v>
          </cell>
          <cell r="P1610">
            <v>0</v>
          </cell>
          <cell r="S1610">
            <v>0</v>
          </cell>
        </row>
        <row r="1611">
          <cell r="A1611">
            <v>68411</v>
          </cell>
          <cell r="B1611" t="str">
            <v>Cuentas por Cobrar Comerciales - Terceros</v>
          </cell>
          <cell r="P1611">
            <v>0</v>
          </cell>
          <cell r="S1611">
            <v>0</v>
          </cell>
        </row>
        <row r="1612">
          <cell r="A1612">
            <v>68412</v>
          </cell>
          <cell r="B1612" t="str">
            <v>Cuentas por Cobrar Comerciales - Relacionadas</v>
          </cell>
          <cell r="P1612">
            <v>0</v>
          </cell>
          <cell r="S1612">
            <v>0</v>
          </cell>
        </row>
        <row r="1613">
          <cell r="A1613">
            <v>68413</v>
          </cell>
          <cell r="B1613" t="str">
            <v>cuentaspor cobrar al personal, a los accionistas (socios), directores y gerentes</v>
          </cell>
          <cell r="P1613">
            <v>0</v>
          </cell>
          <cell r="S1613">
            <v>0</v>
          </cell>
        </row>
        <row r="1614">
          <cell r="A1614">
            <v>68414</v>
          </cell>
          <cell r="B1614" t="str">
            <v>cuentas por cobrar dibersas - terceros</v>
          </cell>
          <cell r="P1614">
            <v>0</v>
          </cell>
          <cell r="S1614">
            <v>0</v>
          </cell>
        </row>
        <row r="1615">
          <cell r="A1615">
            <v>68415</v>
          </cell>
          <cell r="B1615" t="str">
            <v>cuentas por cobrar dibersas - relacionadas</v>
          </cell>
          <cell r="P1615">
            <v>0</v>
          </cell>
          <cell r="S1615">
            <v>0</v>
          </cell>
        </row>
        <row r="1616">
          <cell r="A1616">
            <v>6843</v>
          </cell>
          <cell r="B1616" t="str">
            <v>Desvalorización de inversiones mobiliarias</v>
          </cell>
          <cell r="P1616">
            <v>0</v>
          </cell>
          <cell r="S1616">
            <v>0</v>
          </cell>
        </row>
        <row r="1617">
          <cell r="A1617">
            <v>68431</v>
          </cell>
          <cell r="B1617" t="str">
            <v>inversiones a ser mantenidas asta el vencimiento</v>
          </cell>
          <cell r="P1617">
            <v>0</v>
          </cell>
          <cell r="S1617">
            <v>0</v>
          </cell>
        </row>
        <row r="1618">
          <cell r="A1618">
            <v>68432</v>
          </cell>
          <cell r="B1618" t="str">
            <v>instrumentos financieros representativos de derecho patrimonial</v>
          </cell>
          <cell r="P1618">
            <v>0</v>
          </cell>
          <cell r="S1618">
            <v>0</v>
          </cell>
        </row>
        <row r="1619">
          <cell r="A1619">
            <v>685</v>
          </cell>
          <cell r="B1619" t="str">
            <v>Deterioro del Valor de los Activos</v>
          </cell>
          <cell r="P1619">
            <v>0</v>
          </cell>
          <cell r="S1619">
            <v>0</v>
          </cell>
        </row>
        <row r="1620">
          <cell r="A1620">
            <v>6851</v>
          </cell>
          <cell r="B1620" t="str">
            <v>Desvalorización de inversiones inmobiliarias</v>
          </cell>
          <cell r="P1620">
            <v>0</v>
          </cell>
          <cell r="S1620">
            <v>0</v>
          </cell>
        </row>
        <row r="1621">
          <cell r="A1621">
            <v>68511</v>
          </cell>
          <cell r="B1621" t="str">
            <v>Edificaciones</v>
          </cell>
          <cell r="P1621">
            <v>0</v>
          </cell>
          <cell r="S1621">
            <v>0</v>
          </cell>
        </row>
        <row r="1622">
          <cell r="A1622">
            <v>6852</v>
          </cell>
          <cell r="B1622" t="str">
            <v>Desvalorización de inmuebles maquinaria y equipo</v>
          </cell>
          <cell r="P1622">
            <v>0</v>
          </cell>
          <cell r="S1622">
            <v>0</v>
          </cell>
        </row>
        <row r="1623">
          <cell r="A1623">
            <v>68521</v>
          </cell>
          <cell r="B1623" t="str">
            <v>Edificaciones</v>
          </cell>
          <cell r="P1623">
            <v>0</v>
          </cell>
          <cell r="S1623">
            <v>0</v>
          </cell>
        </row>
        <row r="1624">
          <cell r="A1624">
            <v>68522</v>
          </cell>
          <cell r="B1624" t="str">
            <v>Maquinarias y equipos de explotación</v>
          </cell>
          <cell r="P1624">
            <v>0</v>
          </cell>
          <cell r="S1624">
            <v>0</v>
          </cell>
        </row>
        <row r="1625">
          <cell r="A1625">
            <v>68523</v>
          </cell>
          <cell r="B1625" t="str">
            <v>Equipo de transporte</v>
          </cell>
          <cell r="P1625">
            <v>0</v>
          </cell>
          <cell r="S1625">
            <v>0</v>
          </cell>
        </row>
        <row r="1626">
          <cell r="A1626">
            <v>68524</v>
          </cell>
          <cell r="B1626" t="str">
            <v>Muebles y enseres</v>
          </cell>
          <cell r="P1626">
            <v>0</v>
          </cell>
          <cell r="S1626">
            <v>0</v>
          </cell>
        </row>
        <row r="1627">
          <cell r="A1627">
            <v>68525</v>
          </cell>
          <cell r="B1627" t="str">
            <v>Equipos diversos</v>
          </cell>
          <cell r="P1627">
            <v>0</v>
          </cell>
          <cell r="S1627">
            <v>0</v>
          </cell>
        </row>
        <row r="1628">
          <cell r="A1628">
            <v>68526</v>
          </cell>
          <cell r="B1628" t="str">
            <v>Herramientas y unidades de reemplazo</v>
          </cell>
          <cell r="P1628">
            <v>0</v>
          </cell>
          <cell r="S1628">
            <v>0</v>
          </cell>
        </row>
        <row r="1629">
          <cell r="A1629">
            <v>6853</v>
          </cell>
          <cell r="B1629" t="str">
            <v>Desvalorización de intangibles</v>
          </cell>
          <cell r="P1629">
            <v>0</v>
          </cell>
          <cell r="S1629">
            <v>0</v>
          </cell>
        </row>
        <row r="1630">
          <cell r="A1630">
            <v>68531</v>
          </cell>
          <cell r="B1630" t="str">
            <v>Concesiones, licencias y otros derechos</v>
          </cell>
          <cell r="P1630">
            <v>0</v>
          </cell>
          <cell r="S1630">
            <v>0</v>
          </cell>
        </row>
        <row r="1631">
          <cell r="A1631">
            <v>68532</v>
          </cell>
          <cell r="B1631" t="str">
            <v>Patentes y propiedad industrial</v>
          </cell>
          <cell r="P1631">
            <v>0</v>
          </cell>
          <cell r="S1631">
            <v>0</v>
          </cell>
        </row>
        <row r="1632">
          <cell r="A1632">
            <v>68533</v>
          </cell>
          <cell r="B1632" t="str">
            <v>Programas de computadora (software)</v>
          </cell>
          <cell r="P1632">
            <v>0</v>
          </cell>
          <cell r="S1632">
            <v>0</v>
          </cell>
        </row>
        <row r="1633">
          <cell r="A1633">
            <v>68534</v>
          </cell>
          <cell r="B1633" t="str">
            <v>Costos de exploración y desarrollo</v>
          </cell>
          <cell r="P1633">
            <v>0</v>
          </cell>
          <cell r="S1633">
            <v>0</v>
          </cell>
        </row>
        <row r="1634">
          <cell r="A1634">
            <v>68535</v>
          </cell>
          <cell r="B1634" t="str">
            <v>Fórmulas, diseños y prototipos</v>
          </cell>
          <cell r="P1634">
            <v>0</v>
          </cell>
          <cell r="S1634">
            <v>0</v>
          </cell>
        </row>
        <row r="1635">
          <cell r="A1635">
            <v>68536</v>
          </cell>
          <cell r="B1635" t="str">
            <v>Otros activos intangibles</v>
          </cell>
          <cell r="P1635">
            <v>0</v>
          </cell>
          <cell r="S1635">
            <v>0</v>
          </cell>
        </row>
        <row r="1636">
          <cell r="A1636">
            <v>6854</v>
          </cell>
          <cell r="B1636" t="str">
            <v>Desvalorización de activos biológicos en producción</v>
          </cell>
          <cell r="P1636">
            <v>0</v>
          </cell>
          <cell r="S1636">
            <v>0</v>
          </cell>
        </row>
        <row r="1637">
          <cell r="A1637">
            <v>68541</v>
          </cell>
          <cell r="B1637" t="str">
            <v>Activos biológicos de origen animal</v>
          </cell>
          <cell r="P1637">
            <v>0</v>
          </cell>
          <cell r="S1637">
            <v>0</v>
          </cell>
        </row>
        <row r="1638">
          <cell r="A1638">
            <v>68542</v>
          </cell>
          <cell r="B1638" t="str">
            <v>Activos biológicos de origen vegetal</v>
          </cell>
          <cell r="P1638">
            <v>0</v>
          </cell>
          <cell r="S1638">
            <v>0</v>
          </cell>
        </row>
        <row r="1639">
          <cell r="A1639">
            <v>686</v>
          </cell>
          <cell r="B1639" t="str">
            <v>Provisiones</v>
          </cell>
          <cell r="P1639">
            <v>0</v>
          </cell>
          <cell r="S1639">
            <v>0</v>
          </cell>
        </row>
        <row r="1640">
          <cell r="A1640">
            <v>6861</v>
          </cell>
          <cell r="B1640" t="str">
            <v>Provisión para litigios</v>
          </cell>
          <cell r="P1640">
            <v>0</v>
          </cell>
          <cell r="S1640">
            <v>0</v>
          </cell>
        </row>
        <row r="1641">
          <cell r="A1641">
            <v>68611</v>
          </cell>
          <cell r="B1641" t="str">
            <v>Provisión para litigios – costo</v>
          </cell>
          <cell r="P1641">
            <v>0</v>
          </cell>
          <cell r="S1641">
            <v>0</v>
          </cell>
        </row>
        <row r="1642">
          <cell r="A1642">
            <v>68612</v>
          </cell>
          <cell r="B1642" t="str">
            <v>Provisión para litigios – actualización financiera</v>
          </cell>
          <cell r="P1642">
            <v>0</v>
          </cell>
          <cell r="S1642">
            <v>0</v>
          </cell>
        </row>
        <row r="1643">
          <cell r="A1643">
            <v>6862</v>
          </cell>
          <cell r="B1643" t="str">
            <v>Provisión por desmantelamiento, retiro o rehabilitación del inmovilizado</v>
          </cell>
          <cell r="P1643">
            <v>0</v>
          </cell>
          <cell r="S1643">
            <v>0</v>
          </cell>
        </row>
        <row r="1644">
          <cell r="A1644">
            <v>68621</v>
          </cell>
          <cell r="B1644" t="str">
            <v>Provisión por desmantelamiento, retiro o rehabilitación del inmovilizado – costo</v>
          </cell>
          <cell r="P1644">
            <v>0</v>
          </cell>
          <cell r="S1644">
            <v>0</v>
          </cell>
        </row>
        <row r="1645">
          <cell r="A1645">
            <v>68622</v>
          </cell>
          <cell r="B1645" t="str">
            <v>Provisión por desmantelamiento, retiro o rehabilitación del inmovilizado – actu fin</v>
          </cell>
          <cell r="P1645">
            <v>0</v>
          </cell>
          <cell r="S1645">
            <v>0</v>
          </cell>
        </row>
        <row r="1646">
          <cell r="A1646">
            <v>6863</v>
          </cell>
          <cell r="B1646" t="str">
            <v>Provisión para reestructuraciones</v>
          </cell>
          <cell r="P1646">
            <v>0</v>
          </cell>
          <cell r="S1646">
            <v>0</v>
          </cell>
        </row>
        <row r="1647">
          <cell r="A1647">
            <v>6864</v>
          </cell>
          <cell r="B1647" t="str">
            <v>Provisión para protección y remediación del medio ambiente</v>
          </cell>
          <cell r="P1647">
            <v>0</v>
          </cell>
          <cell r="S1647">
            <v>0</v>
          </cell>
        </row>
        <row r="1648">
          <cell r="A1648">
            <v>68641</v>
          </cell>
          <cell r="B1648" t="str">
            <v>Provisión para protección y remediación del medio ambiente - COSTO</v>
          </cell>
          <cell r="P1648">
            <v>0</v>
          </cell>
          <cell r="S1648">
            <v>0</v>
          </cell>
        </row>
        <row r="1649">
          <cell r="A1649">
            <v>68642</v>
          </cell>
          <cell r="B1649" t="str">
            <v>Provisión para protección y remediación del medio ambiente - actualizacion financiera</v>
          </cell>
          <cell r="P1649">
            <v>0</v>
          </cell>
          <cell r="S1649">
            <v>0</v>
          </cell>
        </row>
        <row r="1650">
          <cell r="A1650">
            <v>6866</v>
          </cell>
          <cell r="B1650" t="str">
            <v>Provisión para garantias</v>
          </cell>
          <cell r="P1650">
            <v>0</v>
          </cell>
          <cell r="S1650">
            <v>0</v>
          </cell>
        </row>
        <row r="1651">
          <cell r="A1651">
            <v>68661</v>
          </cell>
          <cell r="B1651" t="str">
            <v>Provisión para garantias - costo</v>
          </cell>
          <cell r="P1651">
            <v>0</v>
          </cell>
          <cell r="S1651">
            <v>0</v>
          </cell>
        </row>
        <row r="1652">
          <cell r="A1652">
            <v>68662</v>
          </cell>
          <cell r="B1652" t="str">
            <v>Provisión para garantias - actualizacion financiera</v>
          </cell>
          <cell r="P1652">
            <v>0</v>
          </cell>
          <cell r="S1652">
            <v>0</v>
          </cell>
        </row>
        <row r="1653">
          <cell r="A1653">
            <v>6869</v>
          </cell>
          <cell r="B1653" t="str">
            <v>Otras provisiones</v>
          </cell>
          <cell r="P1653">
            <v>0</v>
          </cell>
          <cell r="S1653">
            <v>0</v>
          </cell>
        </row>
        <row r="1654">
          <cell r="A1654">
            <v>69</v>
          </cell>
          <cell r="B1654" t="str">
            <v>COSTO DE VENTAS</v>
          </cell>
          <cell r="P1654" t="str">
            <v>2D0201</v>
          </cell>
          <cell r="S1654">
            <v>0</v>
          </cell>
        </row>
        <row r="1655">
          <cell r="A1655">
            <v>691</v>
          </cell>
          <cell r="B1655" t="str">
            <v>Mercaderías</v>
          </cell>
          <cell r="P1655" t="str">
            <v>2D0201</v>
          </cell>
          <cell r="S1655">
            <v>0</v>
          </cell>
        </row>
        <row r="1656">
          <cell r="A1656">
            <v>6911</v>
          </cell>
          <cell r="B1656" t="str">
            <v>Mercaderías manufacturadas</v>
          </cell>
          <cell r="P1656" t="str">
            <v>2D0201</v>
          </cell>
          <cell r="S1656">
            <v>0</v>
          </cell>
        </row>
        <row r="1657">
          <cell r="A1657">
            <v>69111</v>
          </cell>
          <cell r="B1657" t="str">
            <v>Costo de mercadería vendida a terceros</v>
          </cell>
          <cell r="P1657" t="str">
            <v>2D0201</v>
          </cell>
          <cell r="S1657">
            <v>1000</v>
          </cell>
        </row>
        <row r="1658">
          <cell r="A1658">
            <v>69112</v>
          </cell>
          <cell r="B1658" t="str">
            <v>Relacionadas</v>
          </cell>
          <cell r="P1658" t="str">
            <v>2D0201</v>
          </cell>
          <cell r="S1658">
            <v>0</v>
          </cell>
        </row>
        <row r="1659">
          <cell r="A1659">
            <v>6912</v>
          </cell>
          <cell r="B1659" t="str">
            <v>Mercaderías de extracción</v>
          </cell>
          <cell r="P1659" t="str">
            <v>2D0201</v>
          </cell>
          <cell r="S1659">
            <v>0</v>
          </cell>
        </row>
        <row r="1660">
          <cell r="A1660">
            <v>69121</v>
          </cell>
          <cell r="B1660" t="str">
            <v>Terceros</v>
          </cell>
          <cell r="P1660" t="str">
            <v>2D0201</v>
          </cell>
          <cell r="S1660">
            <v>0</v>
          </cell>
        </row>
        <row r="1661">
          <cell r="A1661">
            <v>69122</v>
          </cell>
          <cell r="B1661" t="str">
            <v>Relacionadas</v>
          </cell>
          <cell r="P1661" t="str">
            <v>2D0201</v>
          </cell>
          <cell r="S1661">
            <v>0</v>
          </cell>
        </row>
        <row r="1662">
          <cell r="A1662">
            <v>6913</v>
          </cell>
          <cell r="B1662" t="str">
            <v>Mercaderías agropecuarias y piscícolas</v>
          </cell>
          <cell r="P1662" t="str">
            <v>2D0201</v>
          </cell>
          <cell r="S1662">
            <v>0</v>
          </cell>
        </row>
        <row r="1663">
          <cell r="A1663">
            <v>69131</v>
          </cell>
          <cell r="B1663" t="str">
            <v>Terceros</v>
          </cell>
          <cell r="P1663" t="str">
            <v>2D0201</v>
          </cell>
          <cell r="S1663">
            <v>0</v>
          </cell>
        </row>
        <row r="1664">
          <cell r="A1664">
            <v>69132</v>
          </cell>
          <cell r="B1664" t="str">
            <v>Relacionadas</v>
          </cell>
          <cell r="P1664" t="str">
            <v>2D0201</v>
          </cell>
          <cell r="S1664">
            <v>0</v>
          </cell>
        </row>
        <row r="1665">
          <cell r="A1665">
            <v>6914</v>
          </cell>
          <cell r="B1665" t="str">
            <v>Mercaderías inmuebles</v>
          </cell>
          <cell r="P1665" t="str">
            <v>2D0201</v>
          </cell>
          <cell r="S1665">
            <v>0</v>
          </cell>
        </row>
        <row r="1666">
          <cell r="A1666">
            <v>69141</v>
          </cell>
          <cell r="B1666" t="str">
            <v>Terceros</v>
          </cell>
          <cell r="P1666" t="str">
            <v>2D0201</v>
          </cell>
          <cell r="S1666">
            <v>0</v>
          </cell>
        </row>
        <row r="1667">
          <cell r="A1667">
            <v>69142</v>
          </cell>
          <cell r="B1667" t="str">
            <v>Relacionadas</v>
          </cell>
          <cell r="P1667" t="str">
            <v>2D0201</v>
          </cell>
          <cell r="S1667">
            <v>0</v>
          </cell>
        </row>
        <row r="1668">
          <cell r="A1668">
            <v>6915</v>
          </cell>
          <cell r="B1668" t="str">
            <v>Otras mercaderías</v>
          </cell>
          <cell r="P1668" t="str">
            <v>2D0201</v>
          </cell>
          <cell r="S1668">
            <v>0</v>
          </cell>
        </row>
        <row r="1669">
          <cell r="A1669">
            <v>69151</v>
          </cell>
          <cell r="B1669" t="str">
            <v>Terceros</v>
          </cell>
          <cell r="P1669" t="str">
            <v>2D0201</v>
          </cell>
          <cell r="S1669">
            <v>0</v>
          </cell>
        </row>
        <row r="1670">
          <cell r="A1670">
            <v>69152</v>
          </cell>
          <cell r="B1670" t="str">
            <v>Relacionadas</v>
          </cell>
          <cell r="P1670" t="str">
            <v>2D0201</v>
          </cell>
          <cell r="S1670">
            <v>0</v>
          </cell>
        </row>
        <row r="1671">
          <cell r="A1671">
            <v>692</v>
          </cell>
          <cell r="B1671" t="str">
            <v>Productos Terminados</v>
          </cell>
          <cell r="P1671" t="str">
            <v>2D0201</v>
          </cell>
          <cell r="S1671">
            <v>0</v>
          </cell>
        </row>
        <row r="1672">
          <cell r="A1672">
            <v>6921</v>
          </cell>
          <cell r="B1672" t="str">
            <v>Productos manufacturados</v>
          </cell>
          <cell r="P1672" t="str">
            <v>2D0201</v>
          </cell>
          <cell r="S1672">
            <v>0</v>
          </cell>
        </row>
        <row r="1673">
          <cell r="A1673">
            <v>69211</v>
          </cell>
          <cell r="B1673" t="str">
            <v>Terceros</v>
          </cell>
          <cell r="P1673" t="str">
            <v>2D0201</v>
          </cell>
          <cell r="S1673">
            <v>0</v>
          </cell>
        </row>
        <row r="1674">
          <cell r="A1674">
            <v>69212</v>
          </cell>
          <cell r="B1674" t="str">
            <v>Relacionadas</v>
          </cell>
          <cell r="P1674" t="str">
            <v>2D0201</v>
          </cell>
          <cell r="S1674">
            <v>0</v>
          </cell>
        </row>
        <row r="1675">
          <cell r="A1675">
            <v>6922</v>
          </cell>
          <cell r="B1675" t="str">
            <v>Productos de extracción terminados</v>
          </cell>
          <cell r="P1675" t="str">
            <v>2D0201</v>
          </cell>
          <cell r="S1675">
            <v>0</v>
          </cell>
        </row>
        <row r="1676">
          <cell r="A1676">
            <v>69221</v>
          </cell>
          <cell r="B1676" t="str">
            <v>Terceros</v>
          </cell>
          <cell r="P1676" t="str">
            <v>2D0201</v>
          </cell>
          <cell r="S1676">
            <v>0</v>
          </cell>
        </row>
        <row r="1677">
          <cell r="A1677">
            <v>69222</v>
          </cell>
          <cell r="B1677" t="str">
            <v>Relacionadas</v>
          </cell>
          <cell r="P1677" t="str">
            <v>2D0201</v>
          </cell>
          <cell r="S1677">
            <v>0</v>
          </cell>
        </row>
        <row r="1678">
          <cell r="A1678">
            <v>6923</v>
          </cell>
          <cell r="B1678" t="str">
            <v>Productos agropecuarios y piscícolas terminados</v>
          </cell>
          <cell r="P1678" t="str">
            <v>2D0201</v>
          </cell>
          <cell r="S1678">
            <v>0</v>
          </cell>
        </row>
        <row r="1679">
          <cell r="A1679">
            <v>69231</v>
          </cell>
          <cell r="B1679" t="str">
            <v>Terceros</v>
          </cell>
          <cell r="P1679" t="str">
            <v>2D0201</v>
          </cell>
          <cell r="S1679">
            <v>0</v>
          </cell>
        </row>
        <row r="1680">
          <cell r="A1680">
            <v>69232</v>
          </cell>
          <cell r="B1680" t="str">
            <v>Relacionadas</v>
          </cell>
          <cell r="P1680" t="str">
            <v>2D0201</v>
          </cell>
          <cell r="S1680">
            <v>0</v>
          </cell>
        </row>
        <row r="1681">
          <cell r="A1681">
            <v>6924</v>
          </cell>
          <cell r="B1681" t="str">
            <v>Productos inmuebles terminados</v>
          </cell>
          <cell r="P1681" t="str">
            <v>2D0201</v>
          </cell>
          <cell r="S1681">
            <v>0</v>
          </cell>
        </row>
        <row r="1682">
          <cell r="A1682">
            <v>69241</v>
          </cell>
          <cell r="B1682" t="str">
            <v>Terceros</v>
          </cell>
          <cell r="P1682" t="str">
            <v>2D0201</v>
          </cell>
          <cell r="S1682">
            <v>0</v>
          </cell>
        </row>
        <row r="1683">
          <cell r="A1683">
            <v>69242</v>
          </cell>
          <cell r="B1683" t="str">
            <v>Relacionadas</v>
          </cell>
          <cell r="P1683" t="str">
            <v>2D0201</v>
          </cell>
          <cell r="S1683">
            <v>0</v>
          </cell>
        </row>
        <row r="1684">
          <cell r="A1684">
            <v>6925</v>
          </cell>
          <cell r="B1684" t="str">
            <v>Existencias de servicios terminados</v>
          </cell>
          <cell r="P1684" t="str">
            <v>2D0201</v>
          </cell>
          <cell r="S1684">
            <v>0</v>
          </cell>
        </row>
        <row r="1685">
          <cell r="A1685">
            <v>69251</v>
          </cell>
          <cell r="B1685" t="str">
            <v>Terceros</v>
          </cell>
          <cell r="P1685" t="str">
            <v>2D0201</v>
          </cell>
          <cell r="S1685">
            <v>0</v>
          </cell>
        </row>
        <row r="1686">
          <cell r="A1686">
            <v>69252</v>
          </cell>
          <cell r="B1686" t="str">
            <v>Relacionadas</v>
          </cell>
          <cell r="P1686" t="str">
            <v>2D0201</v>
          </cell>
          <cell r="S1686">
            <v>0</v>
          </cell>
        </row>
        <row r="1687">
          <cell r="A1687">
            <v>6926</v>
          </cell>
          <cell r="B1687" t="str">
            <v>Costos de financiación – productos terminados</v>
          </cell>
          <cell r="P1687" t="str">
            <v>2D0201</v>
          </cell>
          <cell r="S1687">
            <v>0</v>
          </cell>
        </row>
        <row r="1688">
          <cell r="A1688">
            <v>69261</v>
          </cell>
          <cell r="B1688" t="str">
            <v>Terceros</v>
          </cell>
          <cell r="P1688" t="str">
            <v>2D0201</v>
          </cell>
          <cell r="S1688">
            <v>0</v>
          </cell>
        </row>
        <row r="1689">
          <cell r="A1689">
            <v>692611</v>
          </cell>
          <cell r="B1689" t="str">
            <v>Productos manufacturados</v>
          </cell>
          <cell r="P1689" t="str">
            <v>2D0201</v>
          </cell>
          <cell r="S1689">
            <v>0</v>
          </cell>
        </row>
        <row r="1690">
          <cell r="A1690">
            <v>692612</v>
          </cell>
          <cell r="B1690" t="str">
            <v>Productos de extracción terminados</v>
          </cell>
          <cell r="P1690" t="str">
            <v>2D0201</v>
          </cell>
          <cell r="S1690">
            <v>0</v>
          </cell>
        </row>
        <row r="1691">
          <cell r="A1691">
            <v>692613</v>
          </cell>
          <cell r="B1691" t="str">
            <v>Productos agropecuarios y piscícolas terminados</v>
          </cell>
          <cell r="P1691" t="str">
            <v>2D0201</v>
          </cell>
          <cell r="S1691">
            <v>0</v>
          </cell>
        </row>
        <row r="1692">
          <cell r="A1692">
            <v>692614</v>
          </cell>
          <cell r="B1692" t="str">
            <v>Productos inmuebles terminados</v>
          </cell>
          <cell r="P1692" t="str">
            <v>2D0201</v>
          </cell>
          <cell r="S1692">
            <v>0</v>
          </cell>
        </row>
        <row r="1693">
          <cell r="A1693">
            <v>692615</v>
          </cell>
          <cell r="B1693" t="str">
            <v>Existencias de servicios terminados</v>
          </cell>
          <cell r="P1693" t="str">
            <v>2D0201</v>
          </cell>
          <cell r="S1693">
            <v>0</v>
          </cell>
        </row>
        <row r="1694">
          <cell r="A1694">
            <v>69262</v>
          </cell>
          <cell r="B1694" t="str">
            <v>Relacionadas</v>
          </cell>
          <cell r="P1694" t="str">
            <v>2D0201</v>
          </cell>
          <cell r="S1694">
            <v>0</v>
          </cell>
        </row>
        <row r="1695">
          <cell r="A1695">
            <v>692621</v>
          </cell>
          <cell r="B1695" t="str">
            <v>Productos manufacturados</v>
          </cell>
          <cell r="P1695" t="str">
            <v>2D0201</v>
          </cell>
          <cell r="S1695">
            <v>0</v>
          </cell>
        </row>
        <row r="1696">
          <cell r="A1696">
            <v>692622</v>
          </cell>
          <cell r="B1696" t="str">
            <v>Productos de extracción terminados</v>
          </cell>
          <cell r="P1696" t="str">
            <v>2D0201</v>
          </cell>
          <cell r="S1696">
            <v>0</v>
          </cell>
        </row>
        <row r="1697">
          <cell r="A1697">
            <v>692623</v>
          </cell>
          <cell r="B1697" t="str">
            <v>Productos agropecuarios y piscícolas terminados</v>
          </cell>
          <cell r="P1697" t="str">
            <v>2D0201</v>
          </cell>
          <cell r="S1697">
            <v>0</v>
          </cell>
        </row>
        <row r="1698">
          <cell r="A1698">
            <v>692624</v>
          </cell>
          <cell r="B1698" t="str">
            <v>Productos inmuebles terminados</v>
          </cell>
          <cell r="P1698" t="str">
            <v>2D0201</v>
          </cell>
          <cell r="S1698">
            <v>0</v>
          </cell>
        </row>
        <row r="1699">
          <cell r="A1699">
            <v>692625</v>
          </cell>
          <cell r="B1699" t="str">
            <v>Existencias de servicios terminados</v>
          </cell>
          <cell r="P1699" t="str">
            <v>2D0201</v>
          </cell>
          <cell r="S1699">
            <v>0</v>
          </cell>
        </row>
        <row r="1700">
          <cell r="A1700">
            <v>693</v>
          </cell>
          <cell r="B1700" t="str">
            <v>Subproductos, Desechos y Desperdicios</v>
          </cell>
          <cell r="P1700" t="str">
            <v>2D0201</v>
          </cell>
          <cell r="S1700">
            <v>0</v>
          </cell>
        </row>
        <row r="1701">
          <cell r="A1701">
            <v>6931</v>
          </cell>
          <cell r="B1701" t="str">
            <v>Subproductos</v>
          </cell>
          <cell r="P1701" t="str">
            <v>2D0201</v>
          </cell>
          <cell r="S1701">
            <v>0</v>
          </cell>
        </row>
        <row r="1702">
          <cell r="A1702">
            <v>69311</v>
          </cell>
          <cell r="B1702" t="str">
            <v>Terceros</v>
          </cell>
          <cell r="P1702" t="str">
            <v>2D0201</v>
          </cell>
          <cell r="S1702">
            <v>0</v>
          </cell>
        </row>
        <row r="1703">
          <cell r="A1703">
            <v>69312</v>
          </cell>
          <cell r="B1703" t="str">
            <v>Relacionadas</v>
          </cell>
          <cell r="P1703" t="str">
            <v>2D0201</v>
          </cell>
          <cell r="S1703">
            <v>0</v>
          </cell>
        </row>
        <row r="1704">
          <cell r="A1704">
            <v>6932</v>
          </cell>
          <cell r="B1704" t="str">
            <v>Desechos y desperdicios</v>
          </cell>
          <cell r="P1704" t="str">
            <v>2D0201</v>
          </cell>
          <cell r="S1704">
            <v>0</v>
          </cell>
        </row>
        <row r="1705">
          <cell r="A1705">
            <v>69321</v>
          </cell>
          <cell r="B1705" t="str">
            <v>Terceros</v>
          </cell>
          <cell r="P1705" t="str">
            <v>2D0201</v>
          </cell>
          <cell r="S1705">
            <v>0</v>
          </cell>
        </row>
        <row r="1706">
          <cell r="A1706">
            <v>69322</v>
          </cell>
          <cell r="B1706" t="str">
            <v>Relacionadas</v>
          </cell>
          <cell r="P1706" t="str">
            <v>2D0201</v>
          </cell>
          <cell r="S1706">
            <v>0</v>
          </cell>
        </row>
        <row r="1707">
          <cell r="A1707">
            <v>694</v>
          </cell>
          <cell r="B1707" t="str">
            <v>Servicios</v>
          </cell>
          <cell r="P1707" t="str">
            <v>2D0201</v>
          </cell>
          <cell r="S1707">
            <v>0</v>
          </cell>
        </row>
        <row r="1708">
          <cell r="A1708">
            <v>6941</v>
          </cell>
          <cell r="B1708" t="str">
            <v>Terceros</v>
          </cell>
          <cell r="P1708" t="str">
            <v>2D0201</v>
          </cell>
          <cell r="S1708">
            <v>0</v>
          </cell>
        </row>
        <row r="1709">
          <cell r="A1709">
            <v>6942</v>
          </cell>
          <cell r="B1709" t="str">
            <v>Relacionadas</v>
          </cell>
          <cell r="P1709" t="str">
            <v>2D0201</v>
          </cell>
          <cell r="S1709">
            <v>0</v>
          </cell>
        </row>
        <row r="1710">
          <cell r="A1710">
            <v>695</v>
          </cell>
          <cell r="B1710" t="str">
            <v>Gastos por desvalorizacion de existencias</v>
          </cell>
          <cell r="P1710" t="str">
            <v>2D0201</v>
          </cell>
          <cell r="S1710">
            <v>0</v>
          </cell>
        </row>
        <row r="1711">
          <cell r="A1711">
            <v>6951</v>
          </cell>
          <cell r="B1711" t="str">
            <v>Mercaderías</v>
          </cell>
          <cell r="P1711" t="str">
            <v>2D0201</v>
          </cell>
          <cell r="S1711">
            <v>0</v>
          </cell>
        </row>
        <row r="1712">
          <cell r="A1712">
            <v>69511</v>
          </cell>
          <cell r="B1712" t="str">
            <v>Mercaderías manufacturadas</v>
          </cell>
          <cell r="P1712" t="str">
            <v>2D0201</v>
          </cell>
          <cell r="S1712">
            <v>0</v>
          </cell>
        </row>
        <row r="1713">
          <cell r="A1713">
            <v>69512</v>
          </cell>
          <cell r="B1713" t="str">
            <v>Mercaderías de extracción</v>
          </cell>
          <cell r="P1713" t="str">
            <v>2D0201</v>
          </cell>
          <cell r="S1713">
            <v>0</v>
          </cell>
        </row>
        <row r="1714">
          <cell r="A1714">
            <v>69513</v>
          </cell>
          <cell r="B1714" t="str">
            <v>Mercaderías agropecuarias y piscícolas</v>
          </cell>
          <cell r="P1714" t="str">
            <v>2D0201</v>
          </cell>
          <cell r="S1714">
            <v>0</v>
          </cell>
        </row>
        <row r="1715">
          <cell r="A1715">
            <v>69514</v>
          </cell>
          <cell r="B1715" t="str">
            <v>Mercaderías inmuebles</v>
          </cell>
          <cell r="P1715" t="str">
            <v>2D0201</v>
          </cell>
          <cell r="S1715">
            <v>0</v>
          </cell>
        </row>
        <row r="1716">
          <cell r="A1716">
            <v>69515</v>
          </cell>
          <cell r="B1716" t="str">
            <v>Otras mercaderías</v>
          </cell>
          <cell r="P1716" t="str">
            <v>2D0201</v>
          </cell>
          <cell r="S1716">
            <v>0</v>
          </cell>
        </row>
        <row r="1717">
          <cell r="A1717">
            <v>6952</v>
          </cell>
          <cell r="B1717" t="str">
            <v>Productos Terminados</v>
          </cell>
          <cell r="P1717" t="str">
            <v>2D0201</v>
          </cell>
          <cell r="S1717">
            <v>0</v>
          </cell>
        </row>
        <row r="1718">
          <cell r="A1718">
            <v>69521</v>
          </cell>
          <cell r="B1718" t="str">
            <v>Productos manufacturados</v>
          </cell>
          <cell r="P1718" t="str">
            <v>2D0201</v>
          </cell>
          <cell r="S1718">
            <v>0</v>
          </cell>
        </row>
        <row r="1719">
          <cell r="A1719">
            <v>69522</v>
          </cell>
          <cell r="B1719" t="str">
            <v>Productos de extracción terminados</v>
          </cell>
          <cell r="P1719" t="str">
            <v>2D0201</v>
          </cell>
          <cell r="S1719">
            <v>0</v>
          </cell>
        </row>
        <row r="1720">
          <cell r="A1720">
            <v>69523</v>
          </cell>
          <cell r="B1720" t="str">
            <v>Productos agropecuarios y piscícolas terminados</v>
          </cell>
          <cell r="P1720" t="str">
            <v>2D0201</v>
          </cell>
          <cell r="S1720">
            <v>0</v>
          </cell>
        </row>
        <row r="1721">
          <cell r="A1721">
            <v>69524</v>
          </cell>
          <cell r="B1721" t="str">
            <v>Productos inmuebles terminados</v>
          </cell>
          <cell r="P1721" t="str">
            <v>2D0201</v>
          </cell>
          <cell r="S1721">
            <v>0</v>
          </cell>
        </row>
        <row r="1722">
          <cell r="A1722">
            <v>69525</v>
          </cell>
          <cell r="B1722" t="str">
            <v>Existencias de servicios terminados</v>
          </cell>
          <cell r="P1722" t="str">
            <v>2D0201</v>
          </cell>
          <cell r="S1722">
            <v>0</v>
          </cell>
        </row>
        <row r="1723">
          <cell r="A1723">
            <v>6953</v>
          </cell>
          <cell r="B1723" t="str">
            <v>Subproductos, Desechos y Desperdicios</v>
          </cell>
          <cell r="P1723" t="str">
            <v>2D0201</v>
          </cell>
          <cell r="S1723">
            <v>0</v>
          </cell>
        </row>
        <row r="1724">
          <cell r="A1724">
            <v>69531</v>
          </cell>
          <cell r="B1724" t="str">
            <v>Subproductos</v>
          </cell>
          <cell r="P1724" t="str">
            <v>2D0201</v>
          </cell>
          <cell r="S1724">
            <v>0</v>
          </cell>
        </row>
        <row r="1725">
          <cell r="A1725">
            <v>69532</v>
          </cell>
          <cell r="B1725" t="str">
            <v>Desechos y Desperdicios</v>
          </cell>
          <cell r="P1725" t="str">
            <v>2D0201</v>
          </cell>
          <cell r="S1725">
            <v>0</v>
          </cell>
        </row>
        <row r="1726">
          <cell r="A1726">
            <v>6954</v>
          </cell>
          <cell r="B1726" t="str">
            <v>Productos en Proceso</v>
          </cell>
          <cell r="P1726" t="str">
            <v>2D0201</v>
          </cell>
          <cell r="S1726">
            <v>0</v>
          </cell>
        </row>
        <row r="1727">
          <cell r="A1727">
            <v>69541</v>
          </cell>
          <cell r="B1727" t="str">
            <v>Productos en proceso de manufactura</v>
          </cell>
          <cell r="P1727" t="str">
            <v>2D0201</v>
          </cell>
          <cell r="S1727">
            <v>0</v>
          </cell>
        </row>
        <row r="1728">
          <cell r="A1728">
            <v>69542</v>
          </cell>
          <cell r="B1728" t="str">
            <v>Productos extraídos en proceso de transformación</v>
          </cell>
          <cell r="P1728" t="str">
            <v>2D0201</v>
          </cell>
          <cell r="S1728">
            <v>0</v>
          </cell>
        </row>
        <row r="1729">
          <cell r="A1729">
            <v>69543</v>
          </cell>
          <cell r="B1729" t="str">
            <v>Productos agropecuarios y piscícolas en proceso</v>
          </cell>
          <cell r="P1729" t="str">
            <v>2D0201</v>
          </cell>
          <cell r="S1729">
            <v>0</v>
          </cell>
        </row>
        <row r="1730">
          <cell r="A1730">
            <v>69544</v>
          </cell>
          <cell r="B1730" t="str">
            <v>Productos inmuebles en proceso</v>
          </cell>
          <cell r="P1730" t="str">
            <v>2D0201</v>
          </cell>
          <cell r="S1730">
            <v>0</v>
          </cell>
        </row>
        <row r="1731">
          <cell r="A1731">
            <v>69545</v>
          </cell>
          <cell r="B1731" t="str">
            <v>Existencias de servicios en proceso</v>
          </cell>
          <cell r="P1731" t="str">
            <v>2D0201</v>
          </cell>
          <cell r="S1731">
            <v>0</v>
          </cell>
        </row>
        <row r="1732">
          <cell r="A1732">
            <v>69546</v>
          </cell>
          <cell r="B1732" t="str">
            <v>Otros productos en proceso</v>
          </cell>
          <cell r="P1732" t="str">
            <v>2D0201</v>
          </cell>
          <cell r="S1732">
            <v>0</v>
          </cell>
        </row>
        <row r="1733">
          <cell r="A1733">
            <v>6955</v>
          </cell>
          <cell r="B1733" t="str">
            <v>Materias Primas</v>
          </cell>
          <cell r="P1733" t="str">
            <v>2D0201</v>
          </cell>
          <cell r="S1733">
            <v>0</v>
          </cell>
        </row>
        <row r="1734">
          <cell r="A1734">
            <v>69551</v>
          </cell>
          <cell r="B1734" t="str">
            <v>Materias primas para productos manufacturados</v>
          </cell>
          <cell r="P1734" t="str">
            <v>2D0201</v>
          </cell>
          <cell r="S1734">
            <v>0</v>
          </cell>
        </row>
        <row r="1735">
          <cell r="A1735">
            <v>69552</v>
          </cell>
          <cell r="B1735" t="str">
            <v>Materias primas para productos de extracción</v>
          </cell>
          <cell r="P1735" t="str">
            <v>2D0201</v>
          </cell>
          <cell r="S1735">
            <v>0</v>
          </cell>
        </row>
        <row r="1736">
          <cell r="A1736">
            <v>69553</v>
          </cell>
          <cell r="B1736" t="str">
            <v>Materias primas para productos para productos agropecuarios y piscícolas</v>
          </cell>
          <cell r="P1736" t="str">
            <v>2D0201</v>
          </cell>
          <cell r="S1736">
            <v>0</v>
          </cell>
        </row>
        <row r="1737">
          <cell r="A1737">
            <v>69554</v>
          </cell>
          <cell r="B1737" t="str">
            <v>Materias primas para productos inmuebles</v>
          </cell>
          <cell r="P1737" t="str">
            <v>2D0201</v>
          </cell>
          <cell r="S1737">
            <v>0</v>
          </cell>
        </row>
        <row r="1738">
          <cell r="A1738">
            <v>6956</v>
          </cell>
          <cell r="B1738" t="str">
            <v>Materiales Auxiliares, Suministros y Repuestos</v>
          </cell>
          <cell r="P1738" t="str">
            <v>2D0201</v>
          </cell>
          <cell r="S1738">
            <v>0</v>
          </cell>
        </row>
        <row r="1739">
          <cell r="A1739">
            <v>69561</v>
          </cell>
          <cell r="B1739" t="str">
            <v>Materiales Auxiliares</v>
          </cell>
          <cell r="P1739" t="str">
            <v>2D0201</v>
          </cell>
          <cell r="S1739">
            <v>0</v>
          </cell>
        </row>
        <row r="1740">
          <cell r="A1740">
            <v>69562</v>
          </cell>
          <cell r="B1740" t="str">
            <v xml:space="preserve">Suministros </v>
          </cell>
          <cell r="P1740" t="str">
            <v>2D0201</v>
          </cell>
          <cell r="S1740">
            <v>0</v>
          </cell>
        </row>
        <row r="1741">
          <cell r="A1741">
            <v>69563</v>
          </cell>
          <cell r="B1741" t="str">
            <v>Repuestos</v>
          </cell>
          <cell r="P1741" t="str">
            <v>2D0201</v>
          </cell>
          <cell r="S1741">
            <v>0</v>
          </cell>
        </row>
        <row r="1742">
          <cell r="A1742">
            <v>6957</v>
          </cell>
          <cell r="B1742" t="str">
            <v>Envases y embalajes</v>
          </cell>
          <cell r="P1742" t="str">
            <v>2D0201</v>
          </cell>
          <cell r="S1742">
            <v>0</v>
          </cell>
        </row>
        <row r="1743">
          <cell r="A1743">
            <v>69571</v>
          </cell>
          <cell r="B1743" t="str">
            <v xml:space="preserve">Envases </v>
          </cell>
          <cell r="P1743" t="str">
            <v>2D0201</v>
          </cell>
          <cell r="S1743">
            <v>0</v>
          </cell>
        </row>
        <row r="1744">
          <cell r="A1744">
            <v>69572</v>
          </cell>
          <cell r="B1744" t="str">
            <v>Embalajes</v>
          </cell>
          <cell r="P1744" t="str">
            <v>2D0201</v>
          </cell>
          <cell r="S1744">
            <v>0</v>
          </cell>
        </row>
        <row r="1745">
          <cell r="A1745">
            <v>6958</v>
          </cell>
          <cell r="B1745" t="str">
            <v>Existencias por recibir</v>
          </cell>
          <cell r="P1745" t="str">
            <v>2D0201</v>
          </cell>
          <cell r="S1745">
            <v>0</v>
          </cell>
        </row>
        <row r="1746">
          <cell r="A1746">
            <v>69581</v>
          </cell>
          <cell r="B1746" t="str">
            <v>Mercaderías</v>
          </cell>
          <cell r="P1746" t="str">
            <v>2D0201</v>
          </cell>
          <cell r="S1746">
            <v>0</v>
          </cell>
        </row>
        <row r="1747">
          <cell r="A1747">
            <v>695811</v>
          </cell>
          <cell r="B1747" t="str">
            <v>Mercaderías manufacturadas</v>
          </cell>
          <cell r="P1747" t="str">
            <v>2D0201</v>
          </cell>
          <cell r="S1747">
            <v>0</v>
          </cell>
        </row>
        <row r="1748">
          <cell r="A1748">
            <v>695812</v>
          </cell>
          <cell r="B1748" t="str">
            <v>Mercaderías de extracción</v>
          </cell>
          <cell r="P1748" t="str">
            <v>2D0201</v>
          </cell>
          <cell r="S1748">
            <v>0</v>
          </cell>
        </row>
        <row r="1749">
          <cell r="A1749">
            <v>695813</v>
          </cell>
          <cell r="B1749" t="str">
            <v>Mercaderías agropecuarias y piscícolas</v>
          </cell>
          <cell r="P1749" t="str">
            <v>2D0201</v>
          </cell>
          <cell r="S1749">
            <v>0</v>
          </cell>
        </row>
        <row r="1750">
          <cell r="A1750">
            <v>695814</v>
          </cell>
          <cell r="B1750" t="str">
            <v>Mercaderías inmuebles</v>
          </cell>
          <cell r="P1750" t="str">
            <v>2D0201</v>
          </cell>
          <cell r="S1750">
            <v>0</v>
          </cell>
        </row>
        <row r="1751">
          <cell r="A1751">
            <v>695815</v>
          </cell>
          <cell r="B1751" t="str">
            <v>Otras mercaderías</v>
          </cell>
          <cell r="P1751" t="str">
            <v>2D0201</v>
          </cell>
          <cell r="S1751">
            <v>0</v>
          </cell>
        </row>
        <row r="1752">
          <cell r="A1752">
            <v>69582</v>
          </cell>
          <cell r="B1752" t="str">
            <v>Materias Primas</v>
          </cell>
          <cell r="P1752" t="str">
            <v>2D0201</v>
          </cell>
          <cell r="S1752">
            <v>0</v>
          </cell>
        </row>
        <row r="1753">
          <cell r="A1753">
            <v>695821</v>
          </cell>
          <cell r="B1753" t="str">
            <v>Materias primas para productos manufacturados</v>
          </cell>
          <cell r="P1753" t="str">
            <v>2D0201</v>
          </cell>
          <cell r="S1753">
            <v>0</v>
          </cell>
        </row>
        <row r="1754">
          <cell r="A1754">
            <v>695822</v>
          </cell>
          <cell r="B1754" t="str">
            <v>Materias primas para productos de extracción</v>
          </cell>
          <cell r="P1754" t="str">
            <v>2D0201</v>
          </cell>
          <cell r="S1754">
            <v>0</v>
          </cell>
        </row>
        <row r="1755">
          <cell r="A1755">
            <v>695823</v>
          </cell>
          <cell r="B1755" t="str">
            <v>Materias primas para productos para productos agropecuarios y piscícolas</v>
          </cell>
          <cell r="P1755" t="str">
            <v>2D0201</v>
          </cell>
          <cell r="S1755">
            <v>0</v>
          </cell>
        </row>
        <row r="1756">
          <cell r="A1756">
            <v>695824</v>
          </cell>
          <cell r="B1756" t="str">
            <v>Materias primas para productos inmuebles</v>
          </cell>
          <cell r="P1756" t="str">
            <v>2D0201</v>
          </cell>
          <cell r="S1756">
            <v>0</v>
          </cell>
        </row>
        <row r="1757">
          <cell r="A1757">
            <v>69583</v>
          </cell>
          <cell r="B1757" t="str">
            <v>Materiales Auxiliares, Suministros y Repuestos</v>
          </cell>
          <cell r="P1757" t="str">
            <v>2D0201</v>
          </cell>
          <cell r="S1757">
            <v>0</v>
          </cell>
        </row>
        <row r="1758">
          <cell r="A1758">
            <v>695831</v>
          </cell>
          <cell r="B1758" t="str">
            <v>Materiales Auxiliares</v>
          </cell>
          <cell r="P1758" t="str">
            <v>2D0201</v>
          </cell>
          <cell r="S1758">
            <v>0</v>
          </cell>
        </row>
        <row r="1759">
          <cell r="A1759">
            <v>695832</v>
          </cell>
          <cell r="B1759" t="str">
            <v xml:space="preserve">Suministros </v>
          </cell>
          <cell r="P1759" t="str">
            <v>2D0201</v>
          </cell>
          <cell r="S1759">
            <v>0</v>
          </cell>
        </row>
        <row r="1760">
          <cell r="A1760">
            <v>695833</v>
          </cell>
          <cell r="B1760" t="str">
            <v>Repuestos</v>
          </cell>
          <cell r="P1760" t="str">
            <v>2D0201</v>
          </cell>
          <cell r="S1760">
            <v>0</v>
          </cell>
        </row>
        <row r="1761">
          <cell r="A1761">
            <v>69584</v>
          </cell>
          <cell r="B1761" t="str">
            <v>Envases y embalajes</v>
          </cell>
          <cell r="P1761" t="str">
            <v>2D0201</v>
          </cell>
          <cell r="S1761">
            <v>0</v>
          </cell>
        </row>
        <row r="1762">
          <cell r="A1762">
            <v>695841</v>
          </cell>
          <cell r="B1762" t="str">
            <v xml:space="preserve">Envases </v>
          </cell>
          <cell r="P1762" t="str">
            <v>2D0201</v>
          </cell>
          <cell r="S1762">
            <v>0</v>
          </cell>
        </row>
        <row r="1763">
          <cell r="A1763">
            <v>695842</v>
          </cell>
          <cell r="B1763" t="str">
            <v>Embalajes</v>
          </cell>
          <cell r="P1763" t="str">
            <v>2D0201</v>
          </cell>
          <cell r="S1763">
            <v>0</v>
          </cell>
        </row>
        <row r="1764">
          <cell r="A1764">
            <v>70</v>
          </cell>
          <cell r="B1764" t="str">
            <v>VENTAS</v>
          </cell>
          <cell r="P1764" t="str">
            <v>2D0101</v>
          </cell>
          <cell r="S1764">
            <v>0</v>
          </cell>
        </row>
        <row r="1765">
          <cell r="A1765">
            <v>701</v>
          </cell>
          <cell r="B1765" t="str">
            <v>Mercaderías</v>
          </cell>
          <cell r="P1765" t="str">
            <v>2D0101</v>
          </cell>
          <cell r="S1765">
            <v>0</v>
          </cell>
        </row>
        <row r="1766">
          <cell r="A1766">
            <v>7011</v>
          </cell>
          <cell r="B1766" t="str">
            <v>Mercaderías manufacturadas</v>
          </cell>
          <cell r="P1766" t="str">
            <v>2D0101</v>
          </cell>
          <cell r="S1766">
            <v>0</v>
          </cell>
        </row>
        <row r="1767">
          <cell r="A1767">
            <v>70111</v>
          </cell>
          <cell r="B1767" t="str">
            <v>Venta de mercaderías manufacturadas a terceros</v>
          </cell>
          <cell r="P1767" t="str">
            <v>2D0101</v>
          </cell>
          <cell r="S1767">
            <v>90000</v>
          </cell>
        </row>
        <row r="1768">
          <cell r="A1768">
            <v>70112</v>
          </cell>
          <cell r="B1768" t="str">
            <v>Relacionadas</v>
          </cell>
          <cell r="P1768" t="str">
            <v>2D0101</v>
          </cell>
          <cell r="S1768">
            <v>0</v>
          </cell>
        </row>
        <row r="1769">
          <cell r="A1769">
            <v>7012</v>
          </cell>
          <cell r="B1769" t="str">
            <v>Mercaderías de extracción</v>
          </cell>
          <cell r="P1769" t="str">
            <v>2D0101</v>
          </cell>
          <cell r="S1769">
            <v>0</v>
          </cell>
        </row>
        <row r="1770">
          <cell r="A1770">
            <v>70121</v>
          </cell>
          <cell r="B1770" t="str">
            <v>Terceros</v>
          </cell>
          <cell r="P1770" t="str">
            <v>2D0101</v>
          </cell>
          <cell r="S1770">
            <v>0</v>
          </cell>
        </row>
        <row r="1771">
          <cell r="A1771">
            <v>70122</v>
          </cell>
          <cell r="B1771" t="str">
            <v>Relacionadas</v>
          </cell>
          <cell r="P1771" t="str">
            <v>2D0101</v>
          </cell>
          <cell r="S1771">
            <v>0</v>
          </cell>
        </row>
        <row r="1772">
          <cell r="A1772">
            <v>7013</v>
          </cell>
          <cell r="B1772" t="str">
            <v>Mercaderías agropecuarias y piscícolas</v>
          </cell>
          <cell r="P1772" t="str">
            <v>2D0101</v>
          </cell>
          <cell r="S1772">
            <v>0</v>
          </cell>
        </row>
        <row r="1773">
          <cell r="A1773">
            <v>70131</v>
          </cell>
          <cell r="B1773" t="str">
            <v>Terceros</v>
          </cell>
          <cell r="P1773" t="str">
            <v>2D0101</v>
          </cell>
          <cell r="S1773">
            <v>0</v>
          </cell>
        </row>
        <row r="1774">
          <cell r="A1774">
            <v>70132</v>
          </cell>
          <cell r="B1774" t="str">
            <v>Relacionadas</v>
          </cell>
          <cell r="P1774" t="str">
            <v>2D0101</v>
          </cell>
          <cell r="S1774">
            <v>0</v>
          </cell>
        </row>
        <row r="1775">
          <cell r="A1775">
            <v>7014</v>
          </cell>
          <cell r="B1775" t="str">
            <v>Mercaderías inmuebles</v>
          </cell>
          <cell r="P1775" t="str">
            <v>2D0101</v>
          </cell>
          <cell r="S1775">
            <v>0</v>
          </cell>
        </row>
        <row r="1776">
          <cell r="A1776">
            <v>70141</v>
          </cell>
          <cell r="B1776" t="str">
            <v>Terceros</v>
          </cell>
          <cell r="P1776" t="str">
            <v>2D0101</v>
          </cell>
          <cell r="S1776">
            <v>0</v>
          </cell>
        </row>
        <row r="1777">
          <cell r="A1777">
            <v>70142</v>
          </cell>
          <cell r="B1777" t="str">
            <v>Relacionadas</v>
          </cell>
          <cell r="P1777" t="str">
            <v>2D0101</v>
          </cell>
          <cell r="S1777">
            <v>0</v>
          </cell>
        </row>
        <row r="1778">
          <cell r="A1778">
            <v>7015</v>
          </cell>
          <cell r="B1778" t="str">
            <v>Mercaderías – otras</v>
          </cell>
          <cell r="P1778" t="str">
            <v>2D0101</v>
          </cell>
          <cell r="S1778">
            <v>0</v>
          </cell>
        </row>
        <row r="1779">
          <cell r="A1779">
            <v>70151</v>
          </cell>
          <cell r="B1779" t="str">
            <v>Terceros</v>
          </cell>
          <cell r="P1779" t="str">
            <v>2D0101</v>
          </cell>
          <cell r="S1779">
            <v>0</v>
          </cell>
        </row>
        <row r="1780">
          <cell r="A1780">
            <v>70152</v>
          </cell>
          <cell r="B1780" t="str">
            <v>Relacionadas</v>
          </cell>
          <cell r="P1780" t="str">
            <v>2D0101</v>
          </cell>
          <cell r="S1780">
            <v>0</v>
          </cell>
        </row>
        <row r="1781">
          <cell r="A1781">
            <v>702</v>
          </cell>
          <cell r="B1781" t="str">
            <v>Productos Terminados</v>
          </cell>
          <cell r="P1781" t="str">
            <v>2D0101</v>
          </cell>
          <cell r="S1781">
            <v>0</v>
          </cell>
        </row>
        <row r="1782">
          <cell r="A1782">
            <v>7021</v>
          </cell>
          <cell r="B1782" t="str">
            <v>Productos manufacturados</v>
          </cell>
          <cell r="P1782" t="str">
            <v>2D0101</v>
          </cell>
          <cell r="S1782">
            <v>0</v>
          </cell>
        </row>
        <row r="1783">
          <cell r="A1783">
            <v>70211</v>
          </cell>
          <cell r="B1783" t="str">
            <v>Terceros</v>
          </cell>
          <cell r="P1783" t="str">
            <v>2D0101</v>
          </cell>
          <cell r="S1783">
            <v>0</v>
          </cell>
        </row>
        <row r="1784">
          <cell r="A1784">
            <v>70212</v>
          </cell>
          <cell r="B1784" t="str">
            <v>Relacionadas</v>
          </cell>
          <cell r="P1784" t="str">
            <v>2D0101</v>
          </cell>
          <cell r="S1784">
            <v>0</v>
          </cell>
        </row>
        <row r="1785">
          <cell r="A1785">
            <v>7022</v>
          </cell>
          <cell r="B1785" t="str">
            <v>Productos de extracción terminados</v>
          </cell>
          <cell r="P1785" t="str">
            <v>2D0101</v>
          </cell>
          <cell r="S1785">
            <v>0</v>
          </cell>
        </row>
        <row r="1786">
          <cell r="A1786">
            <v>70221</v>
          </cell>
          <cell r="B1786" t="str">
            <v>Terceros</v>
          </cell>
          <cell r="P1786" t="str">
            <v>2D0101</v>
          </cell>
          <cell r="S1786">
            <v>0</v>
          </cell>
        </row>
        <row r="1787">
          <cell r="A1787">
            <v>70222</v>
          </cell>
          <cell r="B1787" t="str">
            <v>Relacionadas</v>
          </cell>
          <cell r="P1787" t="str">
            <v>2D0101</v>
          </cell>
          <cell r="S1787">
            <v>0</v>
          </cell>
        </row>
        <row r="1788">
          <cell r="A1788">
            <v>7023</v>
          </cell>
          <cell r="B1788" t="str">
            <v>Productos agropecuarios y piscícolas terminados</v>
          </cell>
          <cell r="P1788" t="str">
            <v>2D0101</v>
          </cell>
          <cell r="S1788">
            <v>0</v>
          </cell>
        </row>
        <row r="1789">
          <cell r="A1789">
            <v>70231</v>
          </cell>
          <cell r="B1789" t="str">
            <v>Terceros</v>
          </cell>
          <cell r="P1789" t="str">
            <v>2D0101</v>
          </cell>
          <cell r="S1789">
            <v>0</v>
          </cell>
        </row>
        <row r="1790">
          <cell r="A1790">
            <v>70232</v>
          </cell>
          <cell r="B1790" t="str">
            <v>Relacionadas</v>
          </cell>
          <cell r="P1790" t="str">
            <v>2D0101</v>
          </cell>
          <cell r="S1790">
            <v>0</v>
          </cell>
        </row>
        <row r="1791">
          <cell r="A1791">
            <v>7024</v>
          </cell>
          <cell r="B1791" t="str">
            <v>Productos inmuebles terminados</v>
          </cell>
          <cell r="P1791" t="str">
            <v>2D0101</v>
          </cell>
          <cell r="S1791">
            <v>0</v>
          </cell>
        </row>
        <row r="1792">
          <cell r="A1792">
            <v>70241</v>
          </cell>
          <cell r="B1792" t="str">
            <v>Terceros</v>
          </cell>
          <cell r="P1792" t="str">
            <v>2D0101</v>
          </cell>
          <cell r="S1792">
            <v>0</v>
          </cell>
        </row>
        <row r="1793">
          <cell r="A1793">
            <v>70242</v>
          </cell>
          <cell r="B1793" t="str">
            <v>Relacionadas</v>
          </cell>
          <cell r="P1793" t="str">
            <v>2D0101</v>
          </cell>
          <cell r="S1793">
            <v>0</v>
          </cell>
        </row>
        <row r="1794">
          <cell r="A1794">
            <v>7025</v>
          </cell>
          <cell r="B1794" t="str">
            <v>Existencias de servicios terminados</v>
          </cell>
          <cell r="P1794" t="str">
            <v>2D0101</v>
          </cell>
          <cell r="S1794">
            <v>0</v>
          </cell>
        </row>
        <row r="1795">
          <cell r="A1795">
            <v>70251</v>
          </cell>
          <cell r="B1795" t="str">
            <v>Terceros</v>
          </cell>
          <cell r="P1795" t="str">
            <v>2D0101</v>
          </cell>
          <cell r="S1795">
            <v>0</v>
          </cell>
        </row>
        <row r="1796">
          <cell r="A1796">
            <v>70252</v>
          </cell>
          <cell r="B1796" t="str">
            <v>Relacionadas</v>
          </cell>
          <cell r="P1796" t="str">
            <v>2D0101</v>
          </cell>
          <cell r="S1796">
            <v>0</v>
          </cell>
        </row>
        <row r="1797">
          <cell r="A1797">
            <v>703</v>
          </cell>
          <cell r="B1797" t="str">
            <v>Subproductos, Desechos y Desperdicios</v>
          </cell>
          <cell r="P1797" t="str">
            <v>2D0101</v>
          </cell>
          <cell r="S1797">
            <v>0</v>
          </cell>
        </row>
        <row r="1798">
          <cell r="A1798">
            <v>7031</v>
          </cell>
          <cell r="B1798" t="str">
            <v>Subproductos</v>
          </cell>
          <cell r="P1798" t="str">
            <v>2D0101</v>
          </cell>
          <cell r="S1798">
            <v>0</v>
          </cell>
        </row>
        <row r="1799">
          <cell r="A1799">
            <v>70311</v>
          </cell>
          <cell r="B1799" t="str">
            <v>Terceros</v>
          </cell>
          <cell r="P1799" t="str">
            <v>2D0101</v>
          </cell>
          <cell r="S1799">
            <v>0</v>
          </cell>
        </row>
        <row r="1800">
          <cell r="A1800">
            <v>70312</v>
          </cell>
          <cell r="B1800" t="str">
            <v>Relacionadas</v>
          </cell>
          <cell r="P1800" t="str">
            <v>2D0101</v>
          </cell>
          <cell r="S1800">
            <v>0</v>
          </cell>
        </row>
        <row r="1801">
          <cell r="A1801">
            <v>7032</v>
          </cell>
          <cell r="B1801" t="str">
            <v>Desechos y desperdicios</v>
          </cell>
          <cell r="P1801" t="str">
            <v>2D0101</v>
          </cell>
          <cell r="S1801">
            <v>0</v>
          </cell>
        </row>
        <row r="1802">
          <cell r="A1802">
            <v>70321</v>
          </cell>
          <cell r="B1802" t="str">
            <v>Terceros</v>
          </cell>
          <cell r="P1802" t="str">
            <v>2D0101</v>
          </cell>
          <cell r="S1802">
            <v>0</v>
          </cell>
        </row>
        <row r="1803">
          <cell r="A1803">
            <v>70322</v>
          </cell>
          <cell r="B1803" t="str">
            <v>Relacionadas</v>
          </cell>
          <cell r="P1803" t="str">
            <v>2D0101</v>
          </cell>
          <cell r="S1803">
            <v>0</v>
          </cell>
        </row>
        <row r="1804">
          <cell r="A1804">
            <v>704</v>
          </cell>
          <cell r="B1804" t="str">
            <v>Prestación de Servicios</v>
          </cell>
          <cell r="P1804" t="str">
            <v>2D0101</v>
          </cell>
          <cell r="S1804">
            <v>0</v>
          </cell>
        </row>
        <row r="1805">
          <cell r="A1805">
            <v>7041</v>
          </cell>
          <cell r="B1805" t="str">
            <v>Terceros</v>
          </cell>
          <cell r="P1805" t="str">
            <v>2D0101</v>
          </cell>
          <cell r="S1805">
            <v>0</v>
          </cell>
        </row>
        <row r="1806">
          <cell r="A1806">
            <v>7042</v>
          </cell>
          <cell r="B1806" t="str">
            <v>Relacionadas</v>
          </cell>
          <cell r="P1806" t="str">
            <v>2D0101</v>
          </cell>
          <cell r="S1806">
            <v>0</v>
          </cell>
        </row>
        <row r="1807">
          <cell r="A1807">
            <v>709</v>
          </cell>
          <cell r="B1807" t="str">
            <v>Devoluciones Sobre Ventas</v>
          </cell>
          <cell r="P1807" t="str">
            <v>2D0101</v>
          </cell>
          <cell r="S1807">
            <v>0</v>
          </cell>
        </row>
        <row r="1808">
          <cell r="A1808">
            <v>7091</v>
          </cell>
          <cell r="B1808" t="str">
            <v>Mercaderías – terceros</v>
          </cell>
          <cell r="P1808" t="str">
            <v>2D0101</v>
          </cell>
          <cell r="S1808">
            <v>0</v>
          </cell>
        </row>
        <row r="1809">
          <cell r="A1809">
            <v>70911</v>
          </cell>
          <cell r="B1809" t="str">
            <v>Mercaderías manufacturadas</v>
          </cell>
          <cell r="P1809" t="str">
            <v>2D0101</v>
          </cell>
          <cell r="S1809">
            <v>0</v>
          </cell>
        </row>
        <row r="1810">
          <cell r="A1810">
            <v>70912</v>
          </cell>
          <cell r="B1810" t="str">
            <v>Mercaderías de extracción</v>
          </cell>
          <cell r="P1810" t="str">
            <v>2D0101</v>
          </cell>
          <cell r="S1810">
            <v>0</v>
          </cell>
        </row>
        <row r="1811">
          <cell r="A1811">
            <v>70913</v>
          </cell>
          <cell r="B1811" t="str">
            <v>Mercaderías agropecuarias y piscícolas</v>
          </cell>
          <cell r="P1811" t="str">
            <v>2D0101</v>
          </cell>
          <cell r="S1811">
            <v>0</v>
          </cell>
        </row>
        <row r="1812">
          <cell r="A1812">
            <v>70914</v>
          </cell>
          <cell r="B1812" t="str">
            <v>Mercaderías inmuebles</v>
          </cell>
          <cell r="P1812" t="str">
            <v>2D0101</v>
          </cell>
          <cell r="S1812">
            <v>0</v>
          </cell>
        </row>
        <row r="1813">
          <cell r="A1813">
            <v>70915</v>
          </cell>
          <cell r="B1813" t="str">
            <v>Mercaderías – otras</v>
          </cell>
          <cell r="P1813" t="str">
            <v>2D0101</v>
          </cell>
          <cell r="S1813">
            <v>0</v>
          </cell>
        </row>
        <row r="1814">
          <cell r="A1814">
            <v>7092</v>
          </cell>
          <cell r="B1814" t="str">
            <v>Mercaderías – relacionadas</v>
          </cell>
          <cell r="P1814" t="str">
            <v>2D0101</v>
          </cell>
          <cell r="S1814">
            <v>0</v>
          </cell>
        </row>
        <row r="1815">
          <cell r="A1815">
            <v>70921</v>
          </cell>
          <cell r="B1815" t="str">
            <v>Mercaderías manufacturadas</v>
          </cell>
          <cell r="P1815" t="str">
            <v>2D0101</v>
          </cell>
          <cell r="S1815">
            <v>0</v>
          </cell>
        </row>
        <row r="1816">
          <cell r="A1816">
            <v>70922</v>
          </cell>
          <cell r="B1816" t="str">
            <v>Mercaderías de extracción</v>
          </cell>
          <cell r="P1816" t="str">
            <v>2D0101</v>
          </cell>
          <cell r="S1816">
            <v>0</v>
          </cell>
        </row>
        <row r="1817">
          <cell r="A1817">
            <v>70923</v>
          </cell>
          <cell r="B1817" t="str">
            <v>Mercaderías agropecuarias y piscícolas</v>
          </cell>
          <cell r="P1817" t="str">
            <v>2D0101</v>
          </cell>
          <cell r="S1817">
            <v>0</v>
          </cell>
        </row>
        <row r="1818">
          <cell r="A1818">
            <v>70924</v>
          </cell>
          <cell r="B1818" t="str">
            <v>Mercaderías inmuebles</v>
          </cell>
          <cell r="P1818" t="str">
            <v>2D0101</v>
          </cell>
          <cell r="S1818">
            <v>0</v>
          </cell>
        </row>
        <row r="1819">
          <cell r="A1819">
            <v>70925</v>
          </cell>
          <cell r="B1819" t="str">
            <v>Mercaderías – otras</v>
          </cell>
          <cell r="P1819" t="str">
            <v>2D0101</v>
          </cell>
          <cell r="S1819">
            <v>0</v>
          </cell>
        </row>
        <row r="1820">
          <cell r="A1820">
            <v>7093</v>
          </cell>
          <cell r="B1820" t="str">
            <v>Productos terminados – terceros</v>
          </cell>
          <cell r="P1820" t="str">
            <v>2D0101</v>
          </cell>
          <cell r="S1820">
            <v>0</v>
          </cell>
        </row>
        <row r="1821">
          <cell r="A1821">
            <v>70931</v>
          </cell>
          <cell r="B1821" t="str">
            <v>Productos manufacturados</v>
          </cell>
          <cell r="P1821" t="str">
            <v>2D0101</v>
          </cell>
          <cell r="S1821">
            <v>0</v>
          </cell>
        </row>
        <row r="1822">
          <cell r="A1822">
            <v>70932</v>
          </cell>
          <cell r="B1822" t="str">
            <v>Productos de extracción terminados</v>
          </cell>
          <cell r="P1822" t="str">
            <v>2D0101</v>
          </cell>
          <cell r="S1822">
            <v>0</v>
          </cell>
        </row>
        <row r="1823">
          <cell r="A1823">
            <v>70933</v>
          </cell>
          <cell r="B1823" t="str">
            <v>Productos agropecuarios y piscícolas terminados</v>
          </cell>
          <cell r="P1823" t="str">
            <v>2D0101</v>
          </cell>
          <cell r="S1823">
            <v>0</v>
          </cell>
        </row>
        <row r="1824">
          <cell r="A1824">
            <v>70934</v>
          </cell>
          <cell r="B1824" t="str">
            <v>Productos inmuebles terminados</v>
          </cell>
          <cell r="P1824" t="str">
            <v>2D0101</v>
          </cell>
          <cell r="S1824">
            <v>0</v>
          </cell>
        </row>
        <row r="1825">
          <cell r="A1825">
            <v>70935</v>
          </cell>
          <cell r="B1825" t="str">
            <v>Existencias de servicios terminados</v>
          </cell>
          <cell r="P1825" t="str">
            <v>2D0101</v>
          </cell>
          <cell r="S1825">
            <v>0</v>
          </cell>
        </row>
        <row r="1826">
          <cell r="A1826">
            <v>7094</v>
          </cell>
          <cell r="B1826" t="str">
            <v>Productos terminados – relacionadas</v>
          </cell>
          <cell r="P1826" t="str">
            <v>2D0101</v>
          </cell>
          <cell r="S1826">
            <v>0</v>
          </cell>
        </row>
        <row r="1827">
          <cell r="A1827">
            <v>70941</v>
          </cell>
          <cell r="B1827" t="str">
            <v>Productos manufacturados</v>
          </cell>
          <cell r="P1827" t="str">
            <v>2D0101</v>
          </cell>
          <cell r="S1827">
            <v>0</v>
          </cell>
        </row>
        <row r="1828">
          <cell r="A1828">
            <v>70942</v>
          </cell>
          <cell r="B1828" t="str">
            <v>Productos de extracción terminados</v>
          </cell>
          <cell r="P1828" t="str">
            <v>2D0101</v>
          </cell>
          <cell r="S1828">
            <v>0</v>
          </cell>
        </row>
        <row r="1829">
          <cell r="A1829">
            <v>70943</v>
          </cell>
          <cell r="B1829" t="str">
            <v>Productos agropecuarios y piscícolas terminados</v>
          </cell>
          <cell r="P1829" t="str">
            <v>2D0101</v>
          </cell>
          <cell r="S1829">
            <v>0</v>
          </cell>
        </row>
        <row r="1830">
          <cell r="A1830">
            <v>70944</v>
          </cell>
          <cell r="B1830" t="str">
            <v>Productos inmuebles terminados</v>
          </cell>
          <cell r="P1830" t="str">
            <v>2D0101</v>
          </cell>
          <cell r="S1830">
            <v>0</v>
          </cell>
        </row>
        <row r="1831">
          <cell r="A1831">
            <v>70945</v>
          </cell>
          <cell r="B1831" t="str">
            <v>Existencias de servicios terminados</v>
          </cell>
          <cell r="P1831" t="str">
            <v>2D0101</v>
          </cell>
          <cell r="S1831">
            <v>0</v>
          </cell>
        </row>
        <row r="1832">
          <cell r="A1832">
            <v>7095</v>
          </cell>
          <cell r="B1832" t="str">
            <v>Subproductos, desechos y desperdicios – terceros</v>
          </cell>
          <cell r="P1832" t="str">
            <v>2D0101</v>
          </cell>
          <cell r="S1832">
            <v>0</v>
          </cell>
        </row>
        <row r="1833">
          <cell r="A1833">
            <v>7096</v>
          </cell>
          <cell r="B1833" t="str">
            <v>Subproductos, desechos y desperdicios – relacionadas</v>
          </cell>
          <cell r="P1833" t="str">
            <v>2D0101</v>
          </cell>
          <cell r="S1833">
            <v>0</v>
          </cell>
        </row>
        <row r="1834">
          <cell r="A1834">
            <v>7097</v>
          </cell>
          <cell r="B1834" t="str">
            <v>Prestación de servicios</v>
          </cell>
          <cell r="P1834" t="str">
            <v>2D0101</v>
          </cell>
          <cell r="S1834">
            <v>0</v>
          </cell>
        </row>
        <row r="1835">
          <cell r="A1835">
            <v>70971</v>
          </cell>
          <cell r="B1835" t="str">
            <v>Terceros</v>
          </cell>
          <cell r="P1835" t="str">
            <v>2D0101</v>
          </cell>
          <cell r="S1835">
            <v>0</v>
          </cell>
        </row>
        <row r="1836">
          <cell r="A1836">
            <v>70972</v>
          </cell>
          <cell r="B1836" t="str">
            <v>Relacionadas</v>
          </cell>
          <cell r="P1836" t="str">
            <v>2D0101</v>
          </cell>
          <cell r="S1836">
            <v>0</v>
          </cell>
        </row>
        <row r="1837">
          <cell r="A1837">
            <v>71</v>
          </cell>
          <cell r="B1837" t="str">
            <v>VARIACIÓN DE LA PRODUCCIÓN ALMACENADA</v>
          </cell>
          <cell r="P1837">
            <v>0</v>
          </cell>
          <cell r="S1837">
            <v>0</v>
          </cell>
        </row>
        <row r="1838">
          <cell r="A1838">
            <v>711</v>
          </cell>
          <cell r="B1838" t="str">
            <v>Variación de Productos Terminados</v>
          </cell>
          <cell r="P1838">
            <v>0</v>
          </cell>
          <cell r="S1838">
            <v>0</v>
          </cell>
        </row>
        <row r="1839">
          <cell r="A1839">
            <v>7111</v>
          </cell>
          <cell r="B1839" t="str">
            <v>Productos manufacturados</v>
          </cell>
          <cell r="P1839">
            <v>0</v>
          </cell>
          <cell r="S1839">
            <v>0</v>
          </cell>
        </row>
        <row r="1840">
          <cell r="A1840">
            <v>7112</v>
          </cell>
          <cell r="B1840" t="str">
            <v>Productos de extracción terminados</v>
          </cell>
          <cell r="P1840">
            <v>0</v>
          </cell>
          <cell r="S1840">
            <v>0</v>
          </cell>
        </row>
        <row r="1841">
          <cell r="A1841">
            <v>7113</v>
          </cell>
          <cell r="B1841" t="str">
            <v>Productos agropecuarios y piscícolas terminados</v>
          </cell>
          <cell r="P1841">
            <v>0</v>
          </cell>
          <cell r="S1841">
            <v>0</v>
          </cell>
        </row>
        <row r="1842">
          <cell r="A1842">
            <v>7114</v>
          </cell>
          <cell r="B1842" t="str">
            <v>Productos inmuebles terminados</v>
          </cell>
          <cell r="P1842">
            <v>0</v>
          </cell>
          <cell r="S1842">
            <v>0</v>
          </cell>
        </row>
        <row r="1843">
          <cell r="A1843">
            <v>7115</v>
          </cell>
          <cell r="B1843" t="str">
            <v>Existencias de servicios terminados</v>
          </cell>
          <cell r="P1843">
            <v>0</v>
          </cell>
          <cell r="S1843">
            <v>0</v>
          </cell>
        </row>
        <row r="1844">
          <cell r="A1844">
            <v>712</v>
          </cell>
          <cell r="B1844" t="str">
            <v>Variación de Subproductos, Desechos y Desperdicios</v>
          </cell>
          <cell r="P1844">
            <v>0</v>
          </cell>
          <cell r="S1844">
            <v>0</v>
          </cell>
        </row>
        <row r="1845">
          <cell r="A1845">
            <v>7121</v>
          </cell>
          <cell r="B1845" t="str">
            <v>Subproductos</v>
          </cell>
          <cell r="P1845">
            <v>0</v>
          </cell>
          <cell r="S1845">
            <v>0</v>
          </cell>
        </row>
        <row r="1846">
          <cell r="A1846">
            <v>7122</v>
          </cell>
          <cell r="B1846" t="str">
            <v>Desechos y desperdicios</v>
          </cell>
          <cell r="P1846">
            <v>0</v>
          </cell>
          <cell r="S1846">
            <v>0</v>
          </cell>
        </row>
        <row r="1847">
          <cell r="A1847">
            <v>713</v>
          </cell>
          <cell r="B1847" t="str">
            <v>Variación de Productos en Proceso</v>
          </cell>
          <cell r="P1847">
            <v>0</v>
          </cell>
          <cell r="S1847">
            <v>0</v>
          </cell>
        </row>
        <row r="1848">
          <cell r="A1848">
            <v>7131</v>
          </cell>
          <cell r="B1848" t="str">
            <v>Productos en proceso de manufactura</v>
          </cell>
          <cell r="P1848">
            <v>0</v>
          </cell>
          <cell r="S1848">
            <v>0</v>
          </cell>
        </row>
        <row r="1849">
          <cell r="A1849">
            <v>7132</v>
          </cell>
          <cell r="B1849" t="str">
            <v>Productos extraídos en proceso de transformación</v>
          </cell>
          <cell r="P1849">
            <v>0</v>
          </cell>
          <cell r="S1849">
            <v>0</v>
          </cell>
        </row>
        <row r="1850">
          <cell r="A1850">
            <v>7133</v>
          </cell>
          <cell r="B1850" t="str">
            <v>Productos agropecuarios y piscícolas en proceso</v>
          </cell>
          <cell r="P1850">
            <v>0</v>
          </cell>
          <cell r="S1850">
            <v>0</v>
          </cell>
        </row>
        <row r="1851">
          <cell r="A1851">
            <v>7134</v>
          </cell>
          <cell r="B1851" t="str">
            <v>Productos inmuebles en proceso</v>
          </cell>
          <cell r="P1851">
            <v>0</v>
          </cell>
          <cell r="S1851">
            <v>0</v>
          </cell>
        </row>
        <row r="1852">
          <cell r="A1852">
            <v>7135</v>
          </cell>
          <cell r="B1852" t="str">
            <v>Existencias de servicios en proceso</v>
          </cell>
          <cell r="P1852">
            <v>0</v>
          </cell>
          <cell r="S1852">
            <v>0</v>
          </cell>
        </row>
        <row r="1853">
          <cell r="A1853">
            <v>7138</v>
          </cell>
          <cell r="B1853" t="str">
            <v>Otros productos en proceso</v>
          </cell>
          <cell r="P1853">
            <v>0</v>
          </cell>
          <cell r="S1853">
            <v>0</v>
          </cell>
        </row>
        <row r="1854">
          <cell r="A1854">
            <v>714</v>
          </cell>
          <cell r="B1854" t="str">
            <v>Variación de Envases y Embalajes</v>
          </cell>
          <cell r="P1854">
            <v>0</v>
          </cell>
          <cell r="S1854">
            <v>0</v>
          </cell>
        </row>
        <row r="1855">
          <cell r="A1855">
            <v>7141</v>
          </cell>
          <cell r="B1855" t="str">
            <v>Envases</v>
          </cell>
          <cell r="P1855">
            <v>0</v>
          </cell>
          <cell r="S1855">
            <v>0</v>
          </cell>
        </row>
        <row r="1856">
          <cell r="A1856">
            <v>7142</v>
          </cell>
          <cell r="B1856" t="str">
            <v>Embalajes</v>
          </cell>
          <cell r="P1856">
            <v>0</v>
          </cell>
          <cell r="S1856">
            <v>0</v>
          </cell>
        </row>
        <row r="1857">
          <cell r="A1857">
            <v>715</v>
          </cell>
          <cell r="B1857" t="str">
            <v>Variación de Existencias de Servicios</v>
          </cell>
          <cell r="P1857">
            <v>0</v>
          </cell>
          <cell r="S1857">
            <v>0</v>
          </cell>
        </row>
        <row r="1858">
          <cell r="A1858">
            <v>72</v>
          </cell>
          <cell r="B1858" t="str">
            <v>PRODUCCIÓN DE ACTIVO INMOVILIZADO</v>
          </cell>
          <cell r="P1858">
            <v>0</v>
          </cell>
          <cell r="S1858">
            <v>0</v>
          </cell>
        </row>
        <row r="1859">
          <cell r="A1859">
            <v>721</v>
          </cell>
          <cell r="B1859" t="str">
            <v>Inversiones Inmobiliarias</v>
          </cell>
          <cell r="P1859">
            <v>0</v>
          </cell>
          <cell r="S1859">
            <v>0</v>
          </cell>
        </row>
        <row r="1860">
          <cell r="A1860">
            <v>7211</v>
          </cell>
          <cell r="B1860" t="str">
            <v>Edificaciones</v>
          </cell>
          <cell r="P1860">
            <v>0</v>
          </cell>
          <cell r="S1860">
            <v>0</v>
          </cell>
        </row>
        <row r="1861">
          <cell r="A1861">
            <v>722</v>
          </cell>
          <cell r="B1861" t="str">
            <v>Inmuebles, Maquinaria y Equipo</v>
          </cell>
          <cell r="P1861">
            <v>0</v>
          </cell>
          <cell r="S1861">
            <v>0</v>
          </cell>
        </row>
        <row r="1862">
          <cell r="A1862">
            <v>7221</v>
          </cell>
          <cell r="B1862" t="str">
            <v>Edificaciones</v>
          </cell>
          <cell r="P1862">
            <v>0</v>
          </cell>
          <cell r="S1862">
            <v>0</v>
          </cell>
        </row>
        <row r="1863">
          <cell r="A1863">
            <v>7222</v>
          </cell>
          <cell r="B1863" t="str">
            <v>Maquinarias y otros equipos de explotación</v>
          </cell>
          <cell r="P1863">
            <v>0</v>
          </cell>
          <cell r="S1863">
            <v>0</v>
          </cell>
        </row>
        <row r="1864">
          <cell r="A1864">
            <v>7223</v>
          </cell>
          <cell r="B1864" t="str">
            <v>Equipo de transporte</v>
          </cell>
          <cell r="P1864">
            <v>0</v>
          </cell>
          <cell r="S1864">
            <v>0</v>
          </cell>
        </row>
        <row r="1865">
          <cell r="A1865">
            <v>7224</v>
          </cell>
          <cell r="B1865" t="str">
            <v>Muebles y enseres</v>
          </cell>
          <cell r="P1865">
            <v>0</v>
          </cell>
          <cell r="S1865">
            <v>0</v>
          </cell>
        </row>
        <row r="1866">
          <cell r="A1866">
            <v>7225</v>
          </cell>
          <cell r="B1866" t="str">
            <v>Equipos diversos</v>
          </cell>
          <cell r="P1866">
            <v>0</v>
          </cell>
          <cell r="S1866">
            <v>0</v>
          </cell>
        </row>
        <row r="1867">
          <cell r="A1867">
            <v>7226</v>
          </cell>
          <cell r="B1867" t="str">
            <v>Equipo de comunicación</v>
          </cell>
          <cell r="P1867">
            <v>0</v>
          </cell>
          <cell r="S1867">
            <v>0</v>
          </cell>
        </row>
        <row r="1868">
          <cell r="A1868">
            <v>7227</v>
          </cell>
          <cell r="B1868" t="str">
            <v>Equipo de seguridad</v>
          </cell>
          <cell r="P1868">
            <v>0</v>
          </cell>
          <cell r="S1868">
            <v>0</v>
          </cell>
        </row>
        <row r="1869">
          <cell r="A1869">
            <v>7228</v>
          </cell>
          <cell r="B1869" t="str">
            <v>Otros equipos</v>
          </cell>
          <cell r="P1869">
            <v>0</v>
          </cell>
          <cell r="S1869">
            <v>0</v>
          </cell>
        </row>
        <row r="1870">
          <cell r="A1870">
            <v>723</v>
          </cell>
          <cell r="B1870" t="str">
            <v>Intangibles</v>
          </cell>
          <cell r="P1870">
            <v>0</v>
          </cell>
          <cell r="S1870">
            <v>0</v>
          </cell>
        </row>
        <row r="1871">
          <cell r="A1871">
            <v>7231</v>
          </cell>
          <cell r="B1871" t="str">
            <v>Programas de computadora (software)</v>
          </cell>
          <cell r="P1871">
            <v>0</v>
          </cell>
          <cell r="S1871">
            <v>0</v>
          </cell>
        </row>
        <row r="1872">
          <cell r="A1872">
            <v>7232</v>
          </cell>
          <cell r="B1872" t="str">
            <v>Costos de exploración y desarrollo</v>
          </cell>
          <cell r="P1872">
            <v>0</v>
          </cell>
          <cell r="S1872">
            <v>0</v>
          </cell>
        </row>
        <row r="1873">
          <cell r="A1873">
            <v>7233</v>
          </cell>
          <cell r="B1873" t="str">
            <v>Fórmulas, diseños y prototipos</v>
          </cell>
          <cell r="P1873">
            <v>0</v>
          </cell>
          <cell r="S1873">
            <v>0</v>
          </cell>
        </row>
        <row r="1874">
          <cell r="A1874">
            <v>724</v>
          </cell>
          <cell r="B1874" t="str">
            <v>Activos Biológicos</v>
          </cell>
          <cell r="P1874">
            <v>0</v>
          </cell>
          <cell r="S1874">
            <v>0</v>
          </cell>
        </row>
        <row r="1875">
          <cell r="A1875">
            <v>7241</v>
          </cell>
          <cell r="B1875" t="str">
            <v>Activos biológicos en desarrollo de origen animal</v>
          </cell>
          <cell r="P1875">
            <v>0</v>
          </cell>
          <cell r="S1875">
            <v>0</v>
          </cell>
        </row>
        <row r="1876">
          <cell r="A1876">
            <v>7242</v>
          </cell>
          <cell r="B1876" t="str">
            <v>Activos biológicos en desarrollo de origen vegetal</v>
          </cell>
          <cell r="P1876">
            <v>0</v>
          </cell>
          <cell r="S1876">
            <v>0</v>
          </cell>
        </row>
        <row r="1877">
          <cell r="A1877">
            <v>725</v>
          </cell>
          <cell r="B1877" t="str">
            <v>Costos de Financiación Capitalizados</v>
          </cell>
          <cell r="P1877">
            <v>0</v>
          </cell>
          <cell r="S1877">
            <v>0</v>
          </cell>
        </row>
        <row r="1878">
          <cell r="A1878">
            <v>7251</v>
          </cell>
          <cell r="B1878" t="str">
            <v>Costos de financiación – inversiones inmobiliarias</v>
          </cell>
          <cell r="P1878">
            <v>0</v>
          </cell>
          <cell r="S1878">
            <v>0</v>
          </cell>
        </row>
        <row r="1879">
          <cell r="A1879">
            <v>72511</v>
          </cell>
          <cell r="B1879" t="str">
            <v>Costos de financiación – inversiones inmobiliarias – edificaciones</v>
          </cell>
          <cell r="P1879">
            <v>0</v>
          </cell>
          <cell r="S1879">
            <v>0</v>
          </cell>
        </row>
        <row r="1880">
          <cell r="A1880">
            <v>7252</v>
          </cell>
          <cell r="B1880" t="str">
            <v>Costos de financiación – inmuebles, maquinaria y equipo</v>
          </cell>
          <cell r="P1880">
            <v>0</v>
          </cell>
          <cell r="S1880">
            <v>0</v>
          </cell>
        </row>
        <row r="1881">
          <cell r="A1881">
            <v>72521</v>
          </cell>
          <cell r="B1881" t="str">
            <v>Edificaciones</v>
          </cell>
          <cell r="P1881">
            <v>0</v>
          </cell>
          <cell r="S1881">
            <v>0</v>
          </cell>
        </row>
        <row r="1882">
          <cell r="A1882">
            <v>72522</v>
          </cell>
          <cell r="B1882" t="str">
            <v>Maquinarias y otros equipos de explotación</v>
          </cell>
          <cell r="P1882">
            <v>0</v>
          </cell>
          <cell r="S1882">
            <v>0</v>
          </cell>
        </row>
        <row r="1883">
          <cell r="A1883">
            <v>7253</v>
          </cell>
          <cell r="B1883" t="str">
            <v>Costos de financiación – intangibles</v>
          </cell>
          <cell r="P1883">
            <v>0</v>
          </cell>
          <cell r="S1883">
            <v>0</v>
          </cell>
        </row>
        <row r="1884">
          <cell r="A1884">
            <v>7254</v>
          </cell>
          <cell r="B1884" t="str">
            <v>Costos de financiación – activos biológicos en desarrollo</v>
          </cell>
          <cell r="P1884">
            <v>0</v>
          </cell>
          <cell r="S1884">
            <v>0</v>
          </cell>
        </row>
        <row r="1885">
          <cell r="A1885">
            <v>72541</v>
          </cell>
          <cell r="B1885" t="str">
            <v>Activos biológicos de origen animal</v>
          </cell>
          <cell r="P1885">
            <v>0</v>
          </cell>
          <cell r="S1885">
            <v>0</v>
          </cell>
        </row>
        <row r="1886">
          <cell r="A1886">
            <v>72542</v>
          </cell>
          <cell r="B1886" t="str">
            <v>Activos biológicos de origen vegetal</v>
          </cell>
          <cell r="P1886">
            <v>0</v>
          </cell>
          <cell r="S1886">
            <v>0</v>
          </cell>
        </row>
        <row r="1887">
          <cell r="A1887">
            <v>73</v>
          </cell>
          <cell r="B1887" t="str">
            <v>DESCUENTOS, REBAJAS Y BONIFICACIONES OBTENIDOS</v>
          </cell>
          <cell r="P1887" t="str">
            <v>2D0403</v>
          </cell>
          <cell r="S1887">
            <v>0</v>
          </cell>
        </row>
        <row r="1888">
          <cell r="A1888">
            <v>731</v>
          </cell>
          <cell r="B1888" t="str">
            <v>Descuentos, Rebajas y Bonificaciones Obtenidos</v>
          </cell>
          <cell r="P1888" t="str">
            <v>2D0403</v>
          </cell>
          <cell r="S1888">
            <v>0</v>
          </cell>
        </row>
        <row r="1889">
          <cell r="A1889">
            <v>7311</v>
          </cell>
          <cell r="B1889" t="str">
            <v>Terceros</v>
          </cell>
          <cell r="P1889" t="str">
            <v>2D0403</v>
          </cell>
          <cell r="S1889">
            <v>0</v>
          </cell>
        </row>
        <row r="1890">
          <cell r="A1890">
            <v>7312</v>
          </cell>
          <cell r="B1890" t="str">
            <v>Relacionadas</v>
          </cell>
          <cell r="P1890" t="str">
            <v>2D0403</v>
          </cell>
          <cell r="S1890">
            <v>0</v>
          </cell>
        </row>
        <row r="1891">
          <cell r="A1891">
            <v>74</v>
          </cell>
          <cell r="B1891" t="str">
            <v>DESCUENTOS, REBAJAS Y BONIFICACIONES CONCEDIDOS</v>
          </cell>
          <cell r="P1891" t="str">
            <v>2D0101</v>
          </cell>
          <cell r="S1891">
            <v>0</v>
          </cell>
        </row>
        <row r="1892">
          <cell r="A1892">
            <v>741</v>
          </cell>
          <cell r="B1892" t="str">
            <v>Descuentos, Rebajas y Bonificaciones Concedidos</v>
          </cell>
          <cell r="P1892" t="str">
            <v>2D0101</v>
          </cell>
          <cell r="S1892">
            <v>0</v>
          </cell>
        </row>
        <row r="1893">
          <cell r="A1893">
            <v>7411</v>
          </cell>
          <cell r="B1893" t="str">
            <v>Terceros</v>
          </cell>
          <cell r="P1893" t="str">
            <v>2D0101</v>
          </cell>
          <cell r="S1893">
            <v>0</v>
          </cell>
        </row>
        <row r="1894">
          <cell r="A1894">
            <v>7412</v>
          </cell>
          <cell r="B1894" t="str">
            <v>Relacionadas</v>
          </cell>
          <cell r="P1894" t="str">
            <v>2D0101</v>
          </cell>
          <cell r="S1894">
            <v>0</v>
          </cell>
        </row>
        <row r="1895">
          <cell r="A1895">
            <v>75</v>
          </cell>
          <cell r="B1895" t="str">
            <v>OTROS INGRESOS DE GESTIÓN</v>
          </cell>
          <cell r="P1895">
            <v>0</v>
          </cell>
          <cell r="S1895">
            <v>0</v>
          </cell>
        </row>
        <row r="1896">
          <cell r="A1896">
            <v>751</v>
          </cell>
          <cell r="B1896" t="str">
            <v>Servicios en Beneficio del Personal</v>
          </cell>
          <cell r="P1896" t="str">
            <v>2D0403</v>
          </cell>
          <cell r="S1896">
            <v>0</v>
          </cell>
        </row>
        <row r="1897">
          <cell r="A1897">
            <v>752</v>
          </cell>
          <cell r="B1897" t="str">
            <v>Comisiones y Corretajes</v>
          </cell>
          <cell r="P1897" t="str">
            <v>2D0102</v>
          </cell>
          <cell r="S1897">
            <v>0</v>
          </cell>
        </row>
        <row r="1898">
          <cell r="A1898">
            <v>753</v>
          </cell>
          <cell r="B1898" t="str">
            <v>Regalías</v>
          </cell>
          <cell r="P1898" t="str">
            <v>2D0102</v>
          </cell>
          <cell r="S1898">
            <v>0</v>
          </cell>
        </row>
        <row r="1899">
          <cell r="A1899">
            <v>754</v>
          </cell>
          <cell r="B1899" t="str">
            <v>Alquileres</v>
          </cell>
          <cell r="P1899" t="str">
            <v>2D0102</v>
          </cell>
          <cell r="S1899">
            <v>0</v>
          </cell>
        </row>
        <row r="1900">
          <cell r="A1900">
            <v>7541</v>
          </cell>
          <cell r="B1900" t="str">
            <v>Terrenos</v>
          </cell>
          <cell r="P1900" t="str">
            <v>2D0102</v>
          </cell>
          <cell r="S1900">
            <v>0</v>
          </cell>
        </row>
        <row r="1901">
          <cell r="A1901">
            <v>7542</v>
          </cell>
          <cell r="B1901" t="str">
            <v>Edificaciones</v>
          </cell>
          <cell r="P1901" t="str">
            <v>2D0102</v>
          </cell>
          <cell r="S1901">
            <v>0</v>
          </cell>
        </row>
        <row r="1902">
          <cell r="A1902">
            <v>7543</v>
          </cell>
          <cell r="B1902" t="str">
            <v>Maquinarias y equipos de explotación</v>
          </cell>
          <cell r="P1902" t="str">
            <v>2D0102</v>
          </cell>
          <cell r="S1902">
            <v>0</v>
          </cell>
        </row>
        <row r="1903">
          <cell r="A1903">
            <v>7544</v>
          </cell>
          <cell r="B1903" t="str">
            <v>Equipo de transporte</v>
          </cell>
          <cell r="P1903" t="str">
            <v>2D0102</v>
          </cell>
          <cell r="S1903">
            <v>0</v>
          </cell>
        </row>
        <row r="1904">
          <cell r="A1904">
            <v>7545</v>
          </cell>
          <cell r="B1904" t="str">
            <v>Equipos diversos</v>
          </cell>
          <cell r="P1904" t="str">
            <v>2D0102</v>
          </cell>
          <cell r="S1904">
            <v>0</v>
          </cell>
        </row>
        <row r="1905">
          <cell r="A1905">
            <v>755</v>
          </cell>
          <cell r="B1905" t="str">
            <v>Recuperación de Cuentas de Valuación</v>
          </cell>
          <cell r="P1905" t="str">
            <v>2D0403</v>
          </cell>
          <cell r="S1905">
            <v>0</v>
          </cell>
        </row>
        <row r="1906">
          <cell r="A1906">
            <v>7551</v>
          </cell>
          <cell r="B1906" t="str">
            <v>Recuperación - cuentas de cobranza dudosa</v>
          </cell>
          <cell r="P1906" t="str">
            <v>2D0403</v>
          </cell>
          <cell r="S1906">
            <v>0</v>
          </cell>
        </row>
        <row r="1907">
          <cell r="A1907">
            <v>7552</v>
          </cell>
          <cell r="B1907" t="str">
            <v>Recuperación - desvalorización de existencias</v>
          </cell>
          <cell r="P1907" t="str">
            <v>2D0403</v>
          </cell>
          <cell r="S1907">
            <v>0</v>
          </cell>
        </row>
        <row r="1908">
          <cell r="A1908">
            <v>7553</v>
          </cell>
          <cell r="B1908" t="str">
            <v>Recuperación – desvalorización de inversiones mobiliarias</v>
          </cell>
          <cell r="P1908" t="str">
            <v>2D0403</v>
          </cell>
          <cell r="S1908">
            <v>0</v>
          </cell>
        </row>
        <row r="1909">
          <cell r="A1909">
            <v>756</v>
          </cell>
          <cell r="B1909" t="str">
            <v>Enajenación de Activos Inmovilizados</v>
          </cell>
          <cell r="P1909" t="str">
            <v>2D0407</v>
          </cell>
          <cell r="S1909">
            <v>0</v>
          </cell>
        </row>
        <row r="1910">
          <cell r="A1910">
            <v>7561</v>
          </cell>
          <cell r="B1910" t="str">
            <v>Inversiones inmobiliarias</v>
          </cell>
          <cell r="P1910" t="str">
            <v>2D0407</v>
          </cell>
          <cell r="S1910">
            <v>0</v>
          </cell>
        </row>
        <row r="1911">
          <cell r="A1911">
            <v>7562</v>
          </cell>
          <cell r="B1911" t="str">
            <v>Activos adquiridos en arrendamiento financiero</v>
          </cell>
          <cell r="P1911" t="str">
            <v>2D0407</v>
          </cell>
          <cell r="S1911">
            <v>0</v>
          </cell>
        </row>
        <row r="1912">
          <cell r="A1912">
            <v>7563</v>
          </cell>
          <cell r="B1912" t="str">
            <v>Inmuebles, maquinaria y equipo</v>
          </cell>
          <cell r="P1912" t="str">
            <v>2D0407</v>
          </cell>
          <cell r="S1912">
            <v>0</v>
          </cell>
        </row>
        <row r="1913">
          <cell r="A1913">
            <v>75631</v>
          </cell>
          <cell r="B1913" t="str">
            <v>Enajenación de muebles y enseres</v>
          </cell>
          <cell r="P1913" t="str">
            <v>2D0407</v>
          </cell>
          <cell r="S1913">
            <v>0</v>
          </cell>
        </row>
        <row r="1914">
          <cell r="A1914">
            <v>7564</v>
          </cell>
          <cell r="B1914" t="str">
            <v>Intangibles</v>
          </cell>
          <cell r="P1914" t="str">
            <v>2D0407</v>
          </cell>
          <cell r="S1914">
            <v>0</v>
          </cell>
        </row>
        <row r="1915">
          <cell r="A1915">
            <v>7565</v>
          </cell>
          <cell r="B1915" t="str">
            <v>Activos biológicos</v>
          </cell>
          <cell r="P1915" t="str">
            <v>2D0407</v>
          </cell>
          <cell r="S1915">
            <v>0</v>
          </cell>
        </row>
        <row r="1916">
          <cell r="A1916">
            <v>757</v>
          </cell>
          <cell r="B1916" t="str">
            <v>Recuperación de Deterioro de Cuentas de Activos Inmovilizados</v>
          </cell>
          <cell r="P1916" t="str">
            <v>2D0403</v>
          </cell>
          <cell r="S1916">
            <v>0</v>
          </cell>
        </row>
        <row r="1917">
          <cell r="A1917">
            <v>759</v>
          </cell>
          <cell r="B1917" t="str">
            <v>Otros Ingresos de Gestión</v>
          </cell>
          <cell r="P1917" t="str">
            <v>2D0403</v>
          </cell>
          <cell r="S1917">
            <v>0</v>
          </cell>
        </row>
        <row r="1918">
          <cell r="A1918">
            <v>7591</v>
          </cell>
          <cell r="B1918" t="str">
            <v>Subsidios gubernamentales</v>
          </cell>
          <cell r="P1918" t="str">
            <v>2D0403</v>
          </cell>
          <cell r="S1918">
            <v>0</v>
          </cell>
        </row>
        <row r="1919">
          <cell r="A1919">
            <v>76</v>
          </cell>
          <cell r="B1919" t="str">
            <v>GANANCIA POR MEDICIÓN DE ACTIVOS NO FINANCIEROS AL VALOR RAZONABLE</v>
          </cell>
          <cell r="P1919" t="str">
            <v>2D0403</v>
          </cell>
          <cell r="S1919">
            <v>0</v>
          </cell>
        </row>
        <row r="1920">
          <cell r="A1920">
            <v>761</v>
          </cell>
          <cell r="B1920" t="str">
            <v>Activo Realizable</v>
          </cell>
          <cell r="P1920" t="str">
            <v>2D0403</v>
          </cell>
          <cell r="S1920">
            <v>0</v>
          </cell>
        </row>
        <row r="1921">
          <cell r="A1921">
            <v>7611</v>
          </cell>
          <cell r="B1921" t="str">
            <v>Mercaderías</v>
          </cell>
          <cell r="P1921" t="str">
            <v>2D0403</v>
          </cell>
          <cell r="S1921">
            <v>0</v>
          </cell>
        </row>
        <row r="1922">
          <cell r="A1922">
            <v>7612</v>
          </cell>
          <cell r="B1922" t="str">
            <v>Productos en proceso</v>
          </cell>
          <cell r="P1922" t="str">
            <v>2D0403</v>
          </cell>
          <cell r="S1922">
            <v>0</v>
          </cell>
        </row>
        <row r="1923">
          <cell r="A1923">
            <v>7613</v>
          </cell>
          <cell r="B1923" t="str">
            <v>Activos no corrientes mantenidos para la venta</v>
          </cell>
          <cell r="P1923" t="str">
            <v>2D0403</v>
          </cell>
          <cell r="S1923">
            <v>0</v>
          </cell>
        </row>
        <row r="1924">
          <cell r="A1924">
            <v>762</v>
          </cell>
          <cell r="B1924" t="str">
            <v>Activo Inmovilizado</v>
          </cell>
          <cell r="P1924" t="str">
            <v>2D0403</v>
          </cell>
          <cell r="S1924">
            <v>0</v>
          </cell>
        </row>
        <row r="1925">
          <cell r="A1925">
            <v>7621</v>
          </cell>
          <cell r="B1925" t="str">
            <v>Inversiones inmobiliarias</v>
          </cell>
          <cell r="P1925" t="str">
            <v>2D0403</v>
          </cell>
          <cell r="S1925">
            <v>0</v>
          </cell>
        </row>
        <row r="1926">
          <cell r="A1926">
            <v>7622</v>
          </cell>
          <cell r="B1926" t="str">
            <v>Activos biológicos</v>
          </cell>
          <cell r="P1926" t="str">
            <v>2D0403</v>
          </cell>
          <cell r="S1926">
            <v>0</v>
          </cell>
        </row>
        <row r="1927">
          <cell r="A1927">
            <v>763</v>
          </cell>
          <cell r="B1927" t="str">
            <v>Participación en los Resultados de Subsidiarias y Asociadas Bajo el Método del Valor Patrimonial</v>
          </cell>
          <cell r="P1927" t="str">
            <v>2D0403</v>
          </cell>
          <cell r="S1927">
            <v>0</v>
          </cell>
        </row>
        <row r="1928">
          <cell r="A1928">
            <v>764</v>
          </cell>
          <cell r="B1928" t="str">
            <v>Ingresos por Participaciones en Negocios Conjuntos</v>
          </cell>
          <cell r="P1928" t="str">
            <v>2D0403</v>
          </cell>
          <cell r="S1928">
            <v>0</v>
          </cell>
        </row>
        <row r="1929">
          <cell r="A1929">
            <v>77</v>
          </cell>
          <cell r="B1929" t="str">
            <v>INGRESOS FINANCIEROS</v>
          </cell>
          <cell r="P1929" t="str">
            <v>2D0401</v>
          </cell>
          <cell r="S1929">
            <v>0</v>
          </cell>
        </row>
        <row r="1930">
          <cell r="A1930">
            <v>771</v>
          </cell>
          <cell r="B1930" t="str">
            <v>Ganancia por Instrumento Financiero Derivado</v>
          </cell>
          <cell r="P1930" t="str">
            <v>2D0401</v>
          </cell>
          <cell r="S1930">
            <v>0</v>
          </cell>
        </row>
        <row r="1931">
          <cell r="A1931">
            <v>772</v>
          </cell>
          <cell r="B1931" t="str">
            <v>Rendimientos Ganados</v>
          </cell>
          <cell r="P1931" t="str">
            <v>2D0401</v>
          </cell>
          <cell r="S1931">
            <v>0</v>
          </cell>
        </row>
        <row r="1932">
          <cell r="A1932">
            <v>7721</v>
          </cell>
          <cell r="B1932" t="str">
            <v>Depósitos en instituciones financieras</v>
          </cell>
          <cell r="P1932" t="str">
            <v>2D0401</v>
          </cell>
          <cell r="S1932">
            <v>0</v>
          </cell>
        </row>
        <row r="1933">
          <cell r="A1933">
            <v>7722</v>
          </cell>
          <cell r="B1933" t="str">
            <v>Cuentas por cobrar comerciales</v>
          </cell>
          <cell r="P1933" t="str">
            <v>2D0401</v>
          </cell>
          <cell r="S1933">
            <v>0</v>
          </cell>
        </row>
        <row r="1934">
          <cell r="A1934">
            <v>77221</v>
          </cell>
          <cell r="B1934" t="str">
            <v>Intereses comerciales</v>
          </cell>
          <cell r="P1934" t="str">
            <v>2D0401</v>
          </cell>
          <cell r="S1934">
            <v>0</v>
          </cell>
        </row>
        <row r="1935">
          <cell r="A1935">
            <v>7723</v>
          </cell>
          <cell r="B1935" t="str">
            <v>Préstamos otorgados</v>
          </cell>
          <cell r="P1935" t="str">
            <v>2D0401</v>
          </cell>
          <cell r="S1935">
            <v>0</v>
          </cell>
        </row>
        <row r="1936">
          <cell r="A1936">
            <v>7724</v>
          </cell>
          <cell r="B1936" t="str">
            <v>Inversiones a ser mantenidas hasta el vencimiento</v>
          </cell>
          <cell r="P1936" t="str">
            <v>2D0401</v>
          </cell>
          <cell r="S1936">
            <v>0</v>
          </cell>
        </row>
        <row r="1937">
          <cell r="A1937">
            <v>7725</v>
          </cell>
          <cell r="B1937" t="str">
            <v>Instrumentos financieros representativos de derecho patrimonial</v>
          </cell>
          <cell r="P1937" t="str">
            <v>2D0401</v>
          </cell>
          <cell r="S1937">
            <v>0</v>
          </cell>
        </row>
        <row r="1938">
          <cell r="A1938">
            <v>773</v>
          </cell>
          <cell r="B1938" t="str">
            <v>Dividendos</v>
          </cell>
          <cell r="P1938" t="str">
            <v>2D0401</v>
          </cell>
          <cell r="S1938">
            <v>0</v>
          </cell>
        </row>
        <row r="1939">
          <cell r="A1939">
            <v>774</v>
          </cell>
          <cell r="B1939" t="str">
            <v>ingresos en operaciones de factoraje (factoring)</v>
          </cell>
          <cell r="P1939" t="str">
            <v>2D0401</v>
          </cell>
          <cell r="S1939">
            <v>0</v>
          </cell>
        </row>
        <row r="1940">
          <cell r="A1940">
            <v>775</v>
          </cell>
          <cell r="B1940" t="str">
            <v>Descuentos Obtenidos por Pronto Pago</v>
          </cell>
          <cell r="P1940" t="str">
            <v>2D0401</v>
          </cell>
          <cell r="S1940">
            <v>0</v>
          </cell>
        </row>
        <row r="1941">
          <cell r="A1941">
            <v>776</v>
          </cell>
          <cell r="B1941" t="str">
            <v>Diferencia en Cambio</v>
          </cell>
          <cell r="P1941" t="str">
            <v>2D0401</v>
          </cell>
          <cell r="S1941">
            <v>0</v>
          </cell>
        </row>
        <row r="1942">
          <cell r="A1942">
            <v>777</v>
          </cell>
          <cell r="B1942" t="str">
            <v>ganancias por medicion de activos y pasivos financieros al valor razonable</v>
          </cell>
          <cell r="P1942" t="str">
            <v>2D0401</v>
          </cell>
          <cell r="S1942">
            <v>0</v>
          </cell>
        </row>
        <row r="1943">
          <cell r="A1943">
            <v>7771</v>
          </cell>
          <cell r="B1943" t="str">
            <v>Inversiones mantenidas para negociacion</v>
          </cell>
          <cell r="P1943" t="str">
            <v>2D0401</v>
          </cell>
          <cell r="S1943">
            <v>0</v>
          </cell>
        </row>
        <row r="1944">
          <cell r="A1944">
            <v>7772</v>
          </cell>
          <cell r="B1944" t="str">
            <v>Inversiones mantenidas para la venta</v>
          </cell>
          <cell r="P1944" t="str">
            <v>2D0401</v>
          </cell>
          <cell r="S1944">
            <v>0</v>
          </cell>
        </row>
        <row r="1945">
          <cell r="A1945">
            <v>7773</v>
          </cell>
          <cell r="B1945" t="str">
            <v>otras</v>
          </cell>
          <cell r="P1945" t="str">
            <v>2D0401</v>
          </cell>
          <cell r="S1945">
            <v>0</v>
          </cell>
        </row>
        <row r="1946">
          <cell r="A1946">
            <v>778</v>
          </cell>
          <cell r="B1946" t="str">
            <v>participacion en resultados de entidades relacionadas</v>
          </cell>
          <cell r="P1946" t="str">
            <v>2D0401</v>
          </cell>
          <cell r="S1946">
            <v>0</v>
          </cell>
        </row>
        <row r="1947">
          <cell r="A1947">
            <v>7781</v>
          </cell>
          <cell r="B1947" t="str">
            <v>participacion en resultados de subsidiarias y asociadas bajo el metodo de participacion patrimonial</v>
          </cell>
          <cell r="P1947" t="str">
            <v>2D0401</v>
          </cell>
          <cell r="S1947">
            <v>0</v>
          </cell>
        </row>
        <row r="1948">
          <cell r="A1948">
            <v>7782</v>
          </cell>
          <cell r="B1948" t="str">
            <v>Ingresos por Participaciones en Negocios Conjuntos</v>
          </cell>
          <cell r="P1948" t="str">
            <v>2D0401</v>
          </cell>
          <cell r="S1948">
            <v>0</v>
          </cell>
        </row>
        <row r="1949">
          <cell r="A1949">
            <v>779</v>
          </cell>
          <cell r="B1949" t="str">
            <v>Otros Ingresos Financieros</v>
          </cell>
          <cell r="P1949" t="str">
            <v>2D0401</v>
          </cell>
          <cell r="S1949">
            <v>0</v>
          </cell>
        </row>
        <row r="1950">
          <cell r="A1950">
            <v>7792</v>
          </cell>
          <cell r="B1950" t="str">
            <v>Ingresos financieros en medición a valor descontado</v>
          </cell>
          <cell r="P1950" t="str">
            <v>2D0401</v>
          </cell>
          <cell r="S1950">
            <v>0</v>
          </cell>
        </row>
        <row r="1951">
          <cell r="A1951">
            <v>78</v>
          </cell>
          <cell r="B1951" t="str">
            <v>CARGAS CUBIERTAS POR PROVISIONES</v>
          </cell>
          <cell r="P1951">
            <v>0</v>
          </cell>
          <cell r="S1951">
            <v>0</v>
          </cell>
        </row>
        <row r="1952">
          <cell r="A1952">
            <v>781</v>
          </cell>
          <cell r="B1952" t="str">
            <v>Cargas Cubiertas por Provisiones</v>
          </cell>
          <cell r="P1952">
            <v>0</v>
          </cell>
          <cell r="S1952">
            <v>0</v>
          </cell>
        </row>
        <row r="1953">
          <cell r="A1953">
            <v>79</v>
          </cell>
          <cell r="B1953" t="str">
            <v>CARGAS IMPUTABLES A CUENTAS DE COSTOS Y GASTOS</v>
          </cell>
          <cell r="P1953">
            <v>0</v>
          </cell>
          <cell r="S1953">
            <v>0</v>
          </cell>
        </row>
        <row r="1954">
          <cell r="A1954">
            <v>791</v>
          </cell>
          <cell r="B1954" t="str">
            <v>Cargas Imputables a Cuentas de Costos y Gastos</v>
          </cell>
          <cell r="P1954">
            <v>0</v>
          </cell>
          <cell r="S1954">
            <v>1000</v>
          </cell>
        </row>
        <row r="1955">
          <cell r="A1955">
            <v>79112</v>
          </cell>
          <cell r="B1955" t="str">
            <v>Cargas imputables a cuentas de gastos</v>
          </cell>
          <cell r="P1955">
            <v>0</v>
          </cell>
          <cell r="S1955">
            <v>0</v>
          </cell>
        </row>
        <row r="1956">
          <cell r="A1956">
            <v>792</v>
          </cell>
          <cell r="B1956" t="str">
            <v>Gastos Financieros Imputables a Cuentas de Existencias</v>
          </cell>
          <cell r="P1956">
            <v>0</v>
          </cell>
          <cell r="S1956">
            <v>0</v>
          </cell>
        </row>
        <row r="1957">
          <cell r="A1957">
            <v>80</v>
          </cell>
          <cell r="B1957" t="str">
            <v>MARGEN COMERCIAL</v>
          </cell>
          <cell r="P1957">
            <v>0</v>
          </cell>
          <cell r="S1957">
            <v>0</v>
          </cell>
        </row>
        <row r="1958">
          <cell r="A1958">
            <v>801</v>
          </cell>
          <cell r="B1958" t="str">
            <v>Margen Comercial</v>
          </cell>
          <cell r="P1958">
            <v>0</v>
          </cell>
          <cell r="S1958">
            <v>0</v>
          </cell>
        </row>
        <row r="1959">
          <cell r="A1959">
            <v>81</v>
          </cell>
          <cell r="B1959" t="str">
            <v>PRODUCCIÓN DEL EJERCICIO</v>
          </cell>
          <cell r="P1959">
            <v>0</v>
          </cell>
          <cell r="S1959">
            <v>0</v>
          </cell>
        </row>
        <row r="1960">
          <cell r="A1960">
            <v>811</v>
          </cell>
          <cell r="B1960" t="str">
            <v>Producción de Bienes</v>
          </cell>
          <cell r="P1960">
            <v>0</v>
          </cell>
          <cell r="S1960">
            <v>0</v>
          </cell>
        </row>
        <row r="1961">
          <cell r="A1961">
            <v>812</v>
          </cell>
          <cell r="B1961" t="str">
            <v>Producción de Servicios</v>
          </cell>
          <cell r="P1961">
            <v>0</v>
          </cell>
          <cell r="S1961">
            <v>0</v>
          </cell>
        </row>
        <row r="1962">
          <cell r="A1962">
            <v>813</v>
          </cell>
          <cell r="B1962" t="str">
            <v>Producción de Activo Inmovilizado</v>
          </cell>
          <cell r="P1962">
            <v>0</v>
          </cell>
          <cell r="S1962">
            <v>0</v>
          </cell>
        </row>
        <row r="1963">
          <cell r="A1963">
            <v>82</v>
          </cell>
          <cell r="B1963" t="str">
            <v>VALOR AGREGADO</v>
          </cell>
          <cell r="P1963">
            <v>0</v>
          </cell>
          <cell r="S1963">
            <v>0</v>
          </cell>
        </row>
        <row r="1964">
          <cell r="A1964">
            <v>821</v>
          </cell>
          <cell r="B1964" t="str">
            <v>Valor Agregado</v>
          </cell>
          <cell r="P1964">
            <v>0</v>
          </cell>
          <cell r="S1964">
            <v>0</v>
          </cell>
        </row>
        <row r="1965">
          <cell r="A1965">
            <v>83</v>
          </cell>
          <cell r="B1965" t="str">
            <v>EXCEDENTE BRUTO (INSUFICIENCIA BRUTA) DE EXPLOTACIÓN</v>
          </cell>
          <cell r="P1965">
            <v>0</v>
          </cell>
          <cell r="S1965">
            <v>0</v>
          </cell>
        </row>
        <row r="1966">
          <cell r="A1966">
            <v>831</v>
          </cell>
          <cell r="B1966" t="str">
            <v>Excedente Bruto (Insuficiencia Bruta) de Explotación</v>
          </cell>
          <cell r="P1966">
            <v>0</v>
          </cell>
          <cell r="S1966">
            <v>0</v>
          </cell>
        </row>
        <row r="1967">
          <cell r="A1967">
            <v>84</v>
          </cell>
          <cell r="B1967" t="str">
            <v>RESULTADO DE EXPLOTACIÓN</v>
          </cell>
          <cell r="P1967">
            <v>0</v>
          </cell>
          <cell r="S1967">
            <v>0</v>
          </cell>
        </row>
        <row r="1968">
          <cell r="A1968">
            <v>841</v>
          </cell>
          <cell r="B1968" t="str">
            <v>Resultado de Explotación</v>
          </cell>
          <cell r="P1968">
            <v>0</v>
          </cell>
          <cell r="S1968">
            <v>0</v>
          </cell>
        </row>
        <row r="1969">
          <cell r="A1969">
            <v>85</v>
          </cell>
          <cell r="B1969" t="str">
            <v>RESULTADO ANTES DE PARTICIPACIONES E IMPUESTOS</v>
          </cell>
          <cell r="P1969">
            <v>0</v>
          </cell>
          <cell r="S1969">
            <v>0</v>
          </cell>
        </row>
        <row r="1970">
          <cell r="A1970">
            <v>851</v>
          </cell>
          <cell r="B1970" t="str">
            <v>Resultado Antes de Participaciones e Impuestos</v>
          </cell>
          <cell r="P1970">
            <v>0</v>
          </cell>
          <cell r="S1970">
            <v>0</v>
          </cell>
        </row>
        <row r="1971">
          <cell r="A1971">
            <v>87</v>
          </cell>
          <cell r="B1971" t="str">
            <v>PARTICIPACIONES DE LOS TRABAJADORES</v>
          </cell>
          <cell r="P1971">
            <v>0</v>
          </cell>
          <cell r="S1971">
            <v>0</v>
          </cell>
        </row>
        <row r="1972">
          <cell r="A1972">
            <v>871</v>
          </cell>
          <cell r="B1972" t="str">
            <v>Participación de los Trabajadores - Corriente</v>
          </cell>
          <cell r="P1972">
            <v>0</v>
          </cell>
          <cell r="S1972">
            <v>0</v>
          </cell>
        </row>
        <row r="1973">
          <cell r="A1973">
            <v>872</v>
          </cell>
          <cell r="B1973" t="str">
            <v>Participación de los Trabajadores - Diferida</v>
          </cell>
          <cell r="P1973">
            <v>0</v>
          </cell>
          <cell r="S1973">
            <v>0</v>
          </cell>
        </row>
        <row r="1974">
          <cell r="A1974">
            <v>88</v>
          </cell>
          <cell r="B1974" t="str">
            <v>IMPUESTO A LA RENTA</v>
          </cell>
          <cell r="P1974">
            <v>0</v>
          </cell>
          <cell r="S1974">
            <v>0</v>
          </cell>
        </row>
        <row r="1975">
          <cell r="A1975">
            <v>881</v>
          </cell>
          <cell r="B1975" t="str">
            <v>Impuesto a la Renta - Corriente</v>
          </cell>
          <cell r="P1975">
            <v>0</v>
          </cell>
          <cell r="S1975">
            <v>0</v>
          </cell>
        </row>
        <row r="1976">
          <cell r="A1976">
            <v>882</v>
          </cell>
          <cell r="B1976" t="str">
            <v>Impuesto a la Renta - Diferido</v>
          </cell>
          <cell r="P1976">
            <v>0</v>
          </cell>
          <cell r="S1976">
            <v>0</v>
          </cell>
        </row>
        <row r="1977">
          <cell r="A1977">
            <v>89</v>
          </cell>
          <cell r="B1977" t="str">
            <v>DETERMINACIÓN DEL RESULTADO DEL EJERCICIO</v>
          </cell>
          <cell r="P1977">
            <v>0</v>
          </cell>
          <cell r="S1977">
            <v>0</v>
          </cell>
        </row>
        <row r="1978">
          <cell r="A1978">
            <v>891</v>
          </cell>
          <cell r="B1978" t="str">
            <v>Utilidad</v>
          </cell>
          <cell r="P1978">
            <v>0</v>
          </cell>
          <cell r="S1978">
            <v>0</v>
          </cell>
        </row>
        <row r="1979">
          <cell r="A1979">
            <v>892</v>
          </cell>
          <cell r="B1979" t="str">
            <v>Pérdida</v>
          </cell>
          <cell r="P1979">
            <v>0</v>
          </cell>
          <cell r="S1979">
            <v>0</v>
          </cell>
        </row>
        <row r="1980">
          <cell r="A1980">
            <v>9</v>
          </cell>
          <cell r="B1980" t="str">
            <v>CUENTAS ANALITICAS</v>
          </cell>
          <cell r="P1980">
            <v>0</v>
          </cell>
          <cell r="S1980">
            <v>0</v>
          </cell>
        </row>
        <row r="1981">
          <cell r="A1981">
            <v>98</v>
          </cell>
          <cell r="B1981" t="str">
            <v>Gastos de ventas</v>
          </cell>
          <cell r="P1981" t="str">
            <v>2D0302</v>
          </cell>
          <cell r="S1981">
            <v>0</v>
          </cell>
        </row>
        <row r="1982">
          <cell r="A1982">
            <v>99</v>
          </cell>
          <cell r="B1982" t="str">
            <v>GASTOS GENERALES</v>
          </cell>
          <cell r="P1982" t="str">
            <v>2D0301</v>
          </cell>
          <cell r="S1982">
            <v>0</v>
          </cell>
        </row>
        <row r="1983">
          <cell r="A1983">
            <v>96</v>
          </cell>
          <cell r="B1983" t="str">
            <v>COSTOS INDIRECTOS DE PRODUCCION DISTRIBUIBLES</v>
          </cell>
          <cell r="P1983">
            <v>0</v>
          </cell>
          <cell r="S1983">
            <v>0</v>
          </cell>
        </row>
        <row r="1984">
          <cell r="A1984">
            <v>93</v>
          </cell>
          <cell r="B1984" t="str">
            <v>Generacion electrica</v>
          </cell>
          <cell r="P1984">
            <v>0</v>
          </cell>
          <cell r="S1984">
            <v>0</v>
          </cell>
        </row>
        <row r="1985">
          <cell r="A1985">
            <v>90</v>
          </cell>
          <cell r="B1985" t="str">
            <v>Minado</v>
          </cell>
          <cell r="P1985">
            <v>0</v>
          </cell>
          <cell r="S1985">
            <v>0</v>
          </cell>
        </row>
        <row r="1986">
          <cell r="A1986">
            <v>91</v>
          </cell>
          <cell r="B1986" t="str">
            <v>Concentracion</v>
          </cell>
          <cell r="P1986">
            <v>0</v>
          </cell>
          <cell r="S1986">
            <v>0</v>
          </cell>
        </row>
        <row r="1987">
          <cell r="A1987">
            <v>911</v>
          </cell>
          <cell r="B1987" t="str">
            <v>Costos Direstos</v>
          </cell>
          <cell r="P1987">
            <v>0</v>
          </cell>
          <cell r="S1987">
            <v>0</v>
          </cell>
        </row>
        <row r="1988">
          <cell r="A1988">
            <v>9111</v>
          </cell>
          <cell r="B1988" t="str">
            <v>Suministros directos</v>
          </cell>
          <cell r="P1988">
            <v>0</v>
          </cell>
          <cell r="S1988">
            <v>0</v>
          </cell>
        </row>
        <row r="1989">
          <cell r="A1989">
            <v>9112</v>
          </cell>
          <cell r="B1989" t="str">
            <v>Mano de obra directa</v>
          </cell>
          <cell r="P1989">
            <v>0</v>
          </cell>
          <cell r="S1989">
            <v>0</v>
          </cell>
        </row>
        <row r="1990">
          <cell r="A1990">
            <v>9113</v>
          </cell>
          <cell r="B1990" t="str">
            <v>Alquileres</v>
          </cell>
          <cell r="P1990">
            <v>0</v>
          </cell>
          <cell r="S1990">
            <v>0</v>
          </cell>
        </row>
        <row r="1991">
          <cell r="A1991">
            <v>912</v>
          </cell>
          <cell r="B1991" t="str">
            <v>Costos Indirectos</v>
          </cell>
          <cell r="P1991">
            <v>0</v>
          </cell>
          <cell r="S1991">
            <v>0</v>
          </cell>
        </row>
        <row r="1992">
          <cell r="A1992">
            <v>9121</v>
          </cell>
          <cell r="B1992" t="str">
            <v>Suministros indirectos</v>
          </cell>
          <cell r="P1992">
            <v>0</v>
          </cell>
          <cell r="S1992">
            <v>0</v>
          </cell>
        </row>
        <row r="1993">
          <cell r="A1993">
            <v>9122</v>
          </cell>
          <cell r="B1993" t="str">
            <v>Mano de obra indirecta</v>
          </cell>
          <cell r="P1993">
            <v>0</v>
          </cell>
          <cell r="S1993">
            <v>0</v>
          </cell>
        </row>
        <row r="1994">
          <cell r="A1994">
            <v>9123</v>
          </cell>
          <cell r="B1994" t="str">
            <v>Mantenimiento y reparación</v>
          </cell>
          <cell r="P1994">
            <v>0</v>
          </cell>
          <cell r="S1994">
            <v>0</v>
          </cell>
        </row>
        <row r="1995">
          <cell r="A1995">
            <v>9124</v>
          </cell>
          <cell r="B1995" t="str">
            <v>Alquileres</v>
          </cell>
          <cell r="P1995">
            <v>0</v>
          </cell>
          <cell r="S1995">
            <v>0</v>
          </cell>
        </row>
        <row r="1996">
          <cell r="A1996">
            <v>9125</v>
          </cell>
          <cell r="B1996" t="str">
            <v>Depreciaciones y desvalorizaciones</v>
          </cell>
          <cell r="P1996">
            <v>0</v>
          </cell>
          <cell r="S1996">
            <v>0</v>
          </cell>
        </row>
        <row r="1997">
          <cell r="A1997">
            <v>9126</v>
          </cell>
          <cell r="B1997" t="str">
            <v>Otros costos indirectos</v>
          </cell>
          <cell r="P1997">
            <v>0</v>
          </cell>
          <cell r="S1997">
            <v>0</v>
          </cell>
        </row>
        <row r="1998">
          <cell r="A1998">
            <v>92</v>
          </cell>
          <cell r="B1998" t="str">
            <v>lixiviacion</v>
          </cell>
          <cell r="P1998">
            <v>0</v>
          </cell>
          <cell r="S1998">
            <v>0</v>
          </cell>
        </row>
        <row r="1999">
          <cell r="A1999">
            <v>920</v>
          </cell>
          <cell r="B1999" t="str">
            <v>Costo De Produccion</v>
          </cell>
          <cell r="P1999">
            <v>0</v>
          </cell>
          <cell r="S1999">
            <v>0</v>
          </cell>
        </row>
        <row r="2000">
          <cell r="A2000">
            <v>921</v>
          </cell>
          <cell r="B2000" t="str">
            <v>COSTO DE PRODUCCION</v>
          </cell>
          <cell r="P2000">
            <v>0</v>
          </cell>
          <cell r="S2000">
            <v>0</v>
          </cell>
        </row>
        <row r="2001">
          <cell r="A2001">
            <v>92101</v>
          </cell>
          <cell r="B2001" t="str">
            <v>MATERIA PRIMA</v>
          </cell>
          <cell r="P2001">
            <v>0</v>
          </cell>
          <cell r="S2001">
            <v>0</v>
          </cell>
        </row>
        <row r="2002">
          <cell r="A2002">
            <v>92102</v>
          </cell>
          <cell r="B2002" t="str">
            <v>SUMINISTROS</v>
          </cell>
          <cell r="P2002">
            <v>0</v>
          </cell>
          <cell r="S2002">
            <v>0</v>
          </cell>
        </row>
        <row r="2003">
          <cell r="A2003">
            <v>92103</v>
          </cell>
          <cell r="B2003" t="str">
            <v>ENVASES</v>
          </cell>
          <cell r="P2003">
            <v>0</v>
          </cell>
          <cell r="S2003">
            <v>0</v>
          </cell>
        </row>
        <row r="2004">
          <cell r="A2004">
            <v>92104</v>
          </cell>
          <cell r="B2004" t="str">
            <v>SALARIOS</v>
          </cell>
          <cell r="P2004">
            <v>0</v>
          </cell>
          <cell r="S2004">
            <v>0</v>
          </cell>
        </row>
        <row r="2005">
          <cell r="A2005">
            <v>92105</v>
          </cell>
          <cell r="B2005" t="str">
            <v>ESSALUD</v>
          </cell>
          <cell r="P2005">
            <v>0</v>
          </cell>
          <cell r="S2005">
            <v>0</v>
          </cell>
        </row>
        <row r="2006">
          <cell r="A2006">
            <v>92106</v>
          </cell>
          <cell r="B2006" t="str">
            <v>SENATI</v>
          </cell>
          <cell r="P2006">
            <v>0</v>
          </cell>
          <cell r="S2006">
            <v>0</v>
          </cell>
        </row>
        <row r="2007">
          <cell r="A2007">
            <v>92107</v>
          </cell>
          <cell r="B2007" t="str">
            <v>HONORARIOS</v>
          </cell>
          <cell r="P2007">
            <v>0</v>
          </cell>
          <cell r="S2007">
            <v>0</v>
          </cell>
        </row>
        <row r="2008">
          <cell r="A2008">
            <v>92108</v>
          </cell>
          <cell r="B2008" t="str">
            <v>ALQUILER DEL LOCAL</v>
          </cell>
          <cell r="P2008">
            <v>0</v>
          </cell>
          <cell r="S2008">
            <v>0</v>
          </cell>
        </row>
        <row r="2009">
          <cell r="A2009">
            <v>92109</v>
          </cell>
          <cell r="B2009" t="str">
            <v>LUZ</v>
          </cell>
          <cell r="P2009">
            <v>0</v>
          </cell>
          <cell r="S2009">
            <v>0</v>
          </cell>
        </row>
        <row r="2010">
          <cell r="A2010">
            <v>92110</v>
          </cell>
          <cell r="B2010" t="str">
            <v>AGUA</v>
          </cell>
          <cell r="P2010">
            <v>0</v>
          </cell>
          <cell r="S2010">
            <v>0</v>
          </cell>
        </row>
        <row r="2011">
          <cell r="A2011">
            <v>92111</v>
          </cell>
          <cell r="B2011" t="str">
            <v>SEGURO DE MAQUINA</v>
          </cell>
          <cell r="P2011">
            <v>0</v>
          </cell>
          <cell r="S2011">
            <v>0</v>
          </cell>
        </row>
        <row r="2012">
          <cell r="A2012">
            <v>92112</v>
          </cell>
          <cell r="B2012" t="str">
            <v>UTILES DE OFICINA</v>
          </cell>
          <cell r="P2012">
            <v>0</v>
          </cell>
          <cell r="S2012">
            <v>0</v>
          </cell>
        </row>
        <row r="2013">
          <cell r="A2013">
            <v>92113</v>
          </cell>
          <cell r="B2013" t="str">
            <v>COMBUSTIBLE</v>
          </cell>
          <cell r="P2013">
            <v>0</v>
          </cell>
          <cell r="S2013">
            <v>0</v>
          </cell>
        </row>
        <row r="2014">
          <cell r="A2014">
            <v>92114</v>
          </cell>
          <cell r="B2014" t="str">
            <v>DEPRECIACION</v>
          </cell>
          <cell r="P2014">
            <v>0</v>
          </cell>
          <cell r="S2014">
            <v>0</v>
          </cell>
        </row>
        <row r="2015">
          <cell r="A2015">
            <v>92115</v>
          </cell>
          <cell r="B2015" t="str">
            <v>UTILES DE LIMPIEZA</v>
          </cell>
          <cell r="P2015">
            <v>0</v>
          </cell>
          <cell r="S2015">
            <v>0</v>
          </cell>
        </row>
        <row r="2016">
          <cell r="A2016">
            <v>92117</v>
          </cell>
          <cell r="B2016" t="str">
            <v>MANTENIMIENTO</v>
          </cell>
          <cell r="P2016">
            <v>0</v>
          </cell>
          <cell r="S2016">
            <v>0</v>
          </cell>
        </row>
        <row r="2017">
          <cell r="A2017">
            <v>94</v>
          </cell>
          <cell r="B2017" t="str">
            <v>GASTOS DE ADMINISTRACION</v>
          </cell>
          <cell r="P2017" t="str">
            <v>2D0301</v>
          </cell>
          <cell r="S2017">
            <v>0</v>
          </cell>
        </row>
        <row r="2018">
          <cell r="A2018">
            <v>941</v>
          </cell>
          <cell r="B2018" t="str">
            <v>Gastos Administrativos</v>
          </cell>
          <cell r="P2018" t="str">
            <v>2D0301</v>
          </cell>
          <cell r="S2018">
            <v>0</v>
          </cell>
        </row>
        <row r="2019">
          <cell r="A2019">
            <v>943</v>
          </cell>
          <cell r="B2019" t="str">
            <v>MATERIA PRIMA</v>
          </cell>
          <cell r="P2019" t="str">
            <v>2D0301</v>
          </cell>
          <cell r="S2019">
            <v>0</v>
          </cell>
        </row>
        <row r="2020">
          <cell r="A2020">
            <v>94102</v>
          </cell>
          <cell r="B2020" t="str">
            <v>SUMINISTROS</v>
          </cell>
          <cell r="P2020" t="str">
            <v>2D0301</v>
          </cell>
          <cell r="S2020">
            <v>0</v>
          </cell>
        </row>
        <row r="2021">
          <cell r="A2021">
            <v>94103</v>
          </cell>
          <cell r="B2021" t="str">
            <v>ENVASES</v>
          </cell>
          <cell r="P2021" t="str">
            <v>2D0301</v>
          </cell>
          <cell r="S2021">
            <v>0</v>
          </cell>
        </row>
        <row r="2022">
          <cell r="A2022">
            <v>94104</v>
          </cell>
          <cell r="B2022" t="str">
            <v>SUELDO</v>
          </cell>
          <cell r="P2022" t="str">
            <v>2D0301</v>
          </cell>
          <cell r="S2022">
            <v>0</v>
          </cell>
        </row>
        <row r="2023">
          <cell r="A2023">
            <v>94105</v>
          </cell>
          <cell r="B2023" t="str">
            <v>ESSALUD</v>
          </cell>
          <cell r="P2023" t="str">
            <v>2D0301</v>
          </cell>
          <cell r="S2023">
            <v>0</v>
          </cell>
        </row>
        <row r="2024">
          <cell r="A2024">
            <v>94106</v>
          </cell>
          <cell r="B2024" t="str">
            <v>SENATI</v>
          </cell>
          <cell r="P2024" t="str">
            <v>2D0301</v>
          </cell>
          <cell r="S2024">
            <v>0</v>
          </cell>
        </row>
        <row r="2025">
          <cell r="A2025">
            <v>94107</v>
          </cell>
          <cell r="B2025" t="str">
            <v>HONORARIOS</v>
          </cell>
          <cell r="P2025" t="str">
            <v>2D0301</v>
          </cell>
          <cell r="S2025">
            <v>0</v>
          </cell>
        </row>
        <row r="2026">
          <cell r="A2026">
            <v>94108</v>
          </cell>
          <cell r="B2026" t="str">
            <v>ALQUILER DE OFICINA</v>
          </cell>
          <cell r="P2026" t="str">
            <v>2D0301</v>
          </cell>
          <cell r="S2026">
            <v>0</v>
          </cell>
        </row>
        <row r="2027">
          <cell r="A2027">
            <v>94109</v>
          </cell>
          <cell r="B2027" t="str">
            <v>LUZ</v>
          </cell>
          <cell r="P2027" t="str">
            <v>2D0301</v>
          </cell>
          <cell r="S2027">
            <v>0</v>
          </cell>
        </row>
        <row r="2028">
          <cell r="A2028">
            <v>94110</v>
          </cell>
          <cell r="B2028" t="str">
            <v>AGUA</v>
          </cell>
          <cell r="P2028" t="str">
            <v>2D0301</v>
          </cell>
          <cell r="S2028">
            <v>0</v>
          </cell>
        </row>
        <row r="2029">
          <cell r="A2029">
            <v>94111</v>
          </cell>
          <cell r="B2029" t="str">
            <v>SEGURO DE MAQUINA</v>
          </cell>
          <cell r="P2029" t="str">
            <v>2D0301</v>
          </cell>
          <cell r="S2029">
            <v>0</v>
          </cell>
        </row>
        <row r="2030">
          <cell r="A2030">
            <v>94112</v>
          </cell>
          <cell r="B2030" t="str">
            <v>UTILES DE OFICINA</v>
          </cell>
          <cell r="P2030" t="str">
            <v>2D0301</v>
          </cell>
          <cell r="S2030">
            <v>0</v>
          </cell>
        </row>
        <row r="2031">
          <cell r="A2031">
            <v>94113</v>
          </cell>
          <cell r="B2031" t="str">
            <v>COMBUSTIBLE</v>
          </cell>
          <cell r="P2031" t="str">
            <v>2D0301</v>
          </cell>
          <cell r="S2031">
            <v>0</v>
          </cell>
        </row>
        <row r="2032">
          <cell r="A2032">
            <v>95</v>
          </cell>
          <cell r="B2032" t="str">
            <v>GASTOS DE VENTAS</v>
          </cell>
          <cell r="P2032" t="str">
            <v>2D0302</v>
          </cell>
          <cell r="S2032">
            <v>0</v>
          </cell>
        </row>
        <row r="2033">
          <cell r="A2033">
            <v>951</v>
          </cell>
          <cell r="B2033" t="str">
            <v>Publicidad</v>
          </cell>
          <cell r="P2033" t="str">
            <v>2D0302</v>
          </cell>
          <cell r="S2033">
            <v>0</v>
          </cell>
        </row>
        <row r="2034">
          <cell r="A2034">
            <v>952</v>
          </cell>
          <cell r="B2034" t="str">
            <v>Comunicaciones</v>
          </cell>
          <cell r="P2034" t="str">
            <v>2D0302</v>
          </cell>
          <cell r="S2034">
            <v>0</v>
          </cell>
        </row>
        <row r="2035">
          <cell r="A2035">
            <v>953</v>
          </cell>
          <cell r="B2035" t="str">
            <v>Comisiones</v>
          </cell>
          <cell r="P2035" t="str">
            <v>2D0302</v>
          </cell>
          <cell r="S2035">
            <v>0</v>
          </cell>
        </row>
        <row r="2036">
          <cell r="A2036">
            <v>954</v>
          </cell>
          <cell r="B2036" t="str">
            <v>Sueldos y salarios</v>
          </cell>
          <cell r="P2036" t="str">
            <v>2D0302</v>
          </cell>
          <cell r="S2036">
            <v>0</v>
          </cell>
        </row>
        <row r="2037">
          <cell r="A2037">
            <v>955</v>
          </cell>
          <cell r="B2037" t="str">
            <v>Cargas sociales</v>
          </cell>
          <cell r="P2037" t="str">
            <v>2D0302</v>
          </cell>
          <cell r="S2037">
            <v>0</v>
          </cell>
        </row>
        <row r="2038">
          <cell r="A2038">
            <v>957</v>
          </cell>
          <cell r="B2038" t="str">
            <v>Depreciaciones</v>
          </cell>
          <cell r="P2038" t="str">
            <v>2D0302</v>
          </cell>
          <cell r="S2038">
            <v>0</v>
          </cell>
        </row>
        <row r="2039">
          <cell r="A2039">
            <v>97</v>
          </cell>
          <cell r="B2039" t="str">
            <v>GASTOS FINANCIEROS</v>
          </cell>
          <cell r="P2039">
            <v>0</v>
          </cell>
          <cell r="S2039">
            <v>0</v>
          </cell>
        </row>
        <row r="2040">
          <cell r="A2040">
            <v>971</v>
          </cell>
          <cell r="B2040" t="str">
            <v>Materias primas</v>
          </cell>
          <cell r="P2040">
            <v>0</v>
          </cell>
          <cell r="S2040">
            <v>0</v>
          </cell>
        </row>
        <row r="2041">
          <cell r="A2041">
            <v>972</v>
          </cell>
          <cell r="B2041" t="str">
            <v>Materias auxiliares, envases y embalajes</v>
          </cell>
          <cell r="P2041">
            <v>0</v>
          </cell>
          <cell r="S2041">
            <v>0</v>
          </cell>
        </row>
        <row r="2042">
          <cell r="A2042">
            <v>973</v>
          </cell>
          <cell r="B2042" t="str">
            <v>Productos en procesos</v>
          </cell>
          <cell r="P2042">
            <v>0</v>
          </cell>
          <cell r="S2042">
            <v>0</v>
          </cell>
        </row>
        <row r="2043">
          <cell r="A2043">
            <v>974</v>
          </cell>
          <cell r="B2043" t="str">
            <v>Productos terminados</v>
          </cell>
          <cell r="P2043">
            <v>0</v>
          </cell>
          <cell r="S2043">
            <v>0</v>
          </cell>
        </row>
        <row r="2044">
          <cell r="A2044">
            <v>975</v>
          </cell>
          <cell r="B2044" t="str">
            <v>Existencias por recibir</v>
          </cell>
          <cell r="P2044">
            <v>0</v>
          </cell>
          <cell r="S2044">
            <v>0</v>
          </cell>
        </row>
        <row r="2045">
          <cell r="A2045">
            <v>976</v>
          </cell>
          <cell r="B2045" t="str">
            <v>Repuestos, accesorios y herramientas</v>
          </cell>
          <cell r="P2045">
            <v>0</v>
          </cell>
          <cell r="S2045">
            <v>0</v>
          </cell>
        </row>
        <row r="2046">
          <cell r="A2046">
            <v>977</v>
          </cell>
          <cell r="B2046" t="str">
            <v>Subproductos</v>
          </cell>
          <cell r="P2046">
            <v>0</v>
          </cell>
          <cell r="S2046">
            <v>0</v>
          </cell>
        </row>
        <row r="2047">
          <cell r="A2047">
            <v>978</v>
          </cell>
          <cell r="B2047" t="str">
            <v>Desechos y defectuosos</v>
          </cell>
          <cell r="P2047">
            <v>0</v>
          </cell>
          <cell r="S2047">
            <v>0</v>
          </cell>
        </row>
        <row r="2048">
          <cell r="A2048">
            <v>979</v>
          </cell>
          <cell r="B2048" t="str">
            <v>Devoluciones</v>
          </cell>
          <cell r="P2048">
            <v>0</v>
          </cell>
          <cell r="S2048">
            <v>0</v>
          </cell>
        </row>
        <row r="2049">
          <cell r="A2049" t="str">
            <v>01</v>
          </cell>
          <cell r="B2049" t="str">
            <v>BIENES Y VALORES ENTREGADOS</v>
          </cell>
        </row>
        <row r="2050">
          <cell r="A2050" t="str">
            <v>011</v>
          </cell>
          <cell r="B2050" t="str">
            <v>Bienes en préstamo, custodia no capitalizables</v>
          </cell>
        </row>
        <row r="2051">
          <cell r="A2051" t="str">
            <v>0111</v>
          </cell>
          <cell r="B2051" t="str">
            <v>Bienes en préstamo</v>
          </cell>
        </row>
        <row r="2052">
          <cell r="A2052" t="str">
            <v>0112</v>
          </cell>
          <cell r="B2052" t="str">
            <v>Bienes en custodia</v>
          </cell>
        </row>
        <row r="2053">
          <cell r="A2053" t="str">
            <v>012</v>
          </cell>
          <cell r="B2053" t="str">
            <v>Valores y bienes entregados en garantía</v>
          </cell>
        </row>
        <row r="2054">
          <cell r="A2054" t="str">
            <v>0121</v>
          </cell>
          <cell r="B2054" t="str">
            <v>Cartas fianza</v>
          </cell>
        </row>
        <row r="2055">
          <cell r="A2055" t="str">
            <v>0122</v>
          </cell>
          <cell r="B2055" t="str">
            <v>Cuentas por cobrar</v>
          </cell>
        </row>
        <row r="2056">
          <cell r="A2056" t="str">
            <v>0123</v>
          </cell>
          <cell r="B2056" t="str">
            <v xml:space="preserve">Existencias </v>
          </cell>
        </row>
        <row r="2057">
          <cell r="A2057" t="str">
            <v>0124</v>
          </cell>
          <cell r="B2057" t="str">
            <v>lnversión mobiliaria</v>
          </cell>
        </row>
        <row r="2058">
          <cell r="A2058" t="str">
            <v>0125</v>
          </cell>
          <cell r="B2058" t="str">
            <v>Inversión inmobiliaria</v>
          </cell>
        </row>
        <row r="2059">
          <cell r="A2059" t="str">
            <v>0126</v>
          </cell>
          <cell r="B2059" t="str">
            <v>Inmuebles, maquinaria y equipo</v>
          </cell>
        </row>
        <row r="2060">
          <cell r="A2060" t="str">
            <v>0127</v>
          </cell>
          <cell r="B2060" t="str">
            <v>Intangibles</v>
          </cell>
        </row>
        <row r="2061">
          <cell r="A2061" t="str">
            <v>0128</v>
          </cell>
          <cell r="B2061" t="str">
            <v>Activos Biológicos</v>
          </cell>
        </row>
        <row r="2062">
          <cell r="A2062" t="str">
            <v>013</v>
          </cell>
          <cell r="B2062" t="str">
            <v>Activos Realizables entregados en consignación</v>
          </cell>
        </row>
        <row r="2063">
          <cell r="A2063" t="str">
            <v>02</v>
          </cell>
          <cell r="B2063" t="str">
            <v>DERECHOS SOBRE INSTRU­MENTOS FINANCIEROS</v>
          </cell>
        </row>
        <row r="2064">
          <cell r="A2064" t="str">
            <v>021</v>
          </cell>
          <cell r="B2064" t="str">
            <v>Primarios</v>
          </cell>
        </row>
        <row r="2065">
          <cell r="A2065" t="str">
            <v>0211</v>
          </cell>
          <cell r="B2065" t="str">
            <v>Inversiones manteni­das hasta para negociación</v>
          </cell>
        </row>
        <row r="2066">
          <cell r="A2066" t="str">
            <v>0212</v>
          </cell>
          <cell r="B2066" t="str">
            <v>Inverslonesdlsponi- bles para la venta</v>
          </cell>
        </row>
        <row r="2067">
          <cell r="A2067" t="str">
            <v>0213</v>
          </cell>
          <cell r="B2067" t="str">
            <v>Inversiones a ser mantenidas has el vencimiento</v>
          </cell>
        </row>
        <row r="2068">
          <cell r="A2068" t="str">
            <v>022</v>
          </cell>
          <cell r="B2068" t="str">
            <v>Derivados</v>
          </cell>
        </row>
        <row r="2069">
          <cell r="A2069" t="str">
            <v>0221</v>
          </cell>
          <cell r="B2069" t="str">
            <v>Contratos a futuro</v>
          </cell>
        </row>
        <row r="2070">
          <cell r="A2070" t="str">
            <v>0222</v>
          </cell>
          <cell r="B2070" t="str">
            <v>Contratos a término (forward)</v>
          </cell>
        </row>
        <row r="2071">
          <cell r="A2071" t="str">
            <v>0223</v>
          </cell>
          <cell r="B2071" t="str">
            <v>Permutas financieras (swap)</v>
          </cell>
        </row>
        <row r="2072">
          <cell r="A2072" t="str">
            <v>0224</v>
          </cell>
          <cell r="B2072" t="str">
            <v>Contratos de opción</v>
          </cell>
        </row>
        <row r="2073">
          <cell r="A2073" t="str">
            <v>03</v>
          </cell>
          <cell r="B2073" t="str">
            <v>OTRAS CUENTAS ED ORDEN DEUDORAS</v>
          </cell>
        </row>
        <row r="2074">
          <cell r="A2074" t="str">
            <v>031</v>
          </cell>
          <cell r="B2074" t="str">
            <v>Contratos aprobados</v>
          </cell>
        </row>
        <row r="2075">
          <cell r="A2075" t="str">
            <v>0311</v>
          </cell>
          <cell r="B2075" t="str">
            <v>Contratas en Ejecución</v>
          </cell>
        </row>
        <row r="2076">
          <cell r="A2076" t="str">
            <v>0312</v>
          </cell>
          <cell r="B2076" t="str">
            <v>Contratosen trámite</v>
          </cell>
        </row>
        <row r="2077">
          <cell r="A2077" t="str">
            <v>032</v>
          </cell>
          <cell r="B2077" t="str">
            <v>Bienes dados de baja</v>
          </cell>
        </row>
        <row r="2078">
          <cell r="A2078" t="str">
            <v>0321</v>
          </cell>
          <cell r="B2078" t="str">
            <v>Suministros</v>
          </cell>
        </row>
        <row r="2079">
          <cell r="A2079" t="str">
            <v>0322</v>
          </cell>
          <cell r="B2079" t="str">
            <v>Inmuebles, maquina­ria y equipo</v>
          </cell>
        </row>
        <row r="2080">
          <cell r="A2080" t="str">
            <v>039</v>
          </cell>
          <cell r="B2080" t="str">
            <v>Diversas</v>
          </cell>
        </row>
        <row r="2081">
          <cell r="A2081" t="str">
            <v>04</v>
          </cell>
          <cell r="B2081" t="str">
            <v>DEUDORAS POR CONTRA CUENTAS DE ORDEN ACREEDORAS</v>
          </cell>
        </row>
        <row r="2082">
          <cell r="A2082" t="str">
            <v>06</v>
          </cell>
          <cell r="B2082" t="str">
            <v>BIENES Y VALORES RECIBIDOS</v>
          </cell>
        </row>
        <row r="2083">
          <cell r="A2083" t="str">
            <v>061</v>
          </cell>
          <cell r="B2083" t="str">
            <v>Bienes recibidos en préstamo y custodia</v>
          </cell>
        </row>
        <row r="2084">
          <cell r="A2084" t="str">
            <v>0611</v>
          </cell>
          <cell r="B2084" t="str">
            <v>Bienes recibidos en préstamo</v>
          </cell>
        </row>
        <row r="2085">
          <cell r="A2085" t="str">
            <v>0612</v>
          </cell>
          <cell r="B2085" t="str">
            <v>Bienes recibidos en custodia</v>
          </cell>
        </row>
        <row r="2086">
          <cell r="A2086" t="str">
            <v>062</v>
          </cell>
          <cell r="B2086" t="str">
            <v>Valores y bienes recibidos en garantía</v>
          </cell>
        </row>
        <row r="2087">
          <cell r="A2087" t="str">
            <v>0621</v>
          </cell>
          <cell r="B2087" t="str">
            <v>Cartas fianzas</v>
          </cell>
        </row>
        <row r="2088">
          <cell r="A2088" t="str">
            <v>0622</v>
          </cell>
          <cell r="B2088" t="str">
            <v>Cuentas por cobrar</v>
          </cell>
        </row>
        <row r="2089">
          <cell r="A2089" t="str">
            <v>0623</v>
          </cell>
          <cell r="B2089" t="str">
            <v>Existencias</v>
          </cell>
        </row>
        <row r="2090">
          <cell r="A2090" t="str">
            <v>0624</v>
          </cell>
          <cell r="B2090" t="str">
            <v>Inversión mobiliaria</v>
          </cell>
        </row>
        <row r="2091">
          <cell r="A2091" t="str">
            <v>0625</v>
          </cell>
          <cell r="B2091" t="str">
            <v>Inversión inmobiliaria</v>
          </cell>
        </row>
        <row r="2092">
          <cell r="A2092" t="str">
            <v>0626</v>
          </cell>
          <cell r="B2092" t="str">
            <v>Inmuebles, maquinaria y equipo</v>
          </cell>
        </row>
        <row r="2093">
          <cell r="A2093" t="str">
            <v>0627</v>
          </cell>
          <cell r="B2093" t="str">
            <v>Intangibles</v>
          </cell>
        </row>
        <row r="2094">
          <cell r="A2094" t="str">
            <v>0628</v>
          </cell>
          <cell r="B2094" t="str">
            <v>Activos biológicos</v>
          </cell>
        </row>
        <row r="2095">
          <cell r="A2095" t="str">
            <v>063</v>
          </cell>
          <cell r="B2095" t="str">
            <v>Activos realizables recibido en consignación</v>
          </cell>
        </row>
        <row r="2096">
          <cell r="A2096" t="str">
            <v>07</v>
          </cell>
          <cell r="B2096" t="str">
            <v>COMPROMISOS SOBRE INSTRUMENTOS FINANCIEROS</v>
          </cell>
        </row>
        <row r="2097">
          <cell r="A2097" t="str">
            <v>071</v>
          </cell>
          <cell r="B2097" t="str">
            <v>Primarios</v>
          </cell>
        </row>
        <row r="2098">
          <cell r="A2098" t="str">
            <v>0711</v>
          </cell>
          <cell r="B2098" t="str">
            <v>Inversiones mantenidas para negociación</v>
          </cell>
        </row>
        <row r="2099">
          <cell r="A2099" t="str">
            <v>0712</v>
          </cell>
          <cell r="B2099" t="str">
            <v>Inversiones disponibles para la venta</v>
          </cell>
        </row>
        <row r="2100">
          <cell r="A2100" t="str">
            <v>0713</v>
          </cell>
          <cell r="B2100" t="str">
            <v>Inversiones a ser mantenidas hasta el vencimiento</v>
          </cell>
        </row>
        <row r="2101">
          <cell r="A2101" t="str">
            <v>072</v>
          </cell>
          <cell r="B2101" t="str">
            <v>Derivados</v>
          </cell>
        </row>
        <row r="2102">
          <cell r="A2102" t="str">
            <v>0721</v>
          </cell>
          <cell r="B2102" t="str">
            <v>Contratos a futuro</v>
          </cell>
        </row>
        <row r="2103">
          <cell r="A2103" t="str">
            <v>0722</v>
          </cell>
          <cell r="B2103" t="str">
            <v>Contratos a término (forward)</v>
          </cell>
        </row>
        <row r="2104">
          <cell r="A2104" t="str">
            <v>0723</v>
          </cell>
          <cell r="B2104" t="str">
            <v>Permutas financieras (swap)</v>
          </cell>
        </row>
        <row r="2105">
          <cell r="A2105" t="str">
            <v>0724</v>
          </cell>
          <cell r="B2105" t="str">
            <v>Contratos de opción</v>
          </cell>
        </row>
        <row r="2106">
          <cell r="A2106" t="str">
            <v>08</v>
          </cell>
          <cell r="B2106" t="str">
            <v>OTRAS CUENTAS DE ORDEN ACREEDORAS</v>
          </cell>
        </row>
        <row r="2107">
          <cell r="A2107" t="str">
            <v>089</v>
          </cell>
          <cell r="B2107" t="str">
            <v>Diversas</v>
          </cell>
        </row>
        <row r="2108">
          <cell r="A2108" t="str">
            <v>09</v>
          </cell>
          <cell r="B2108" t="str">
            <v>ACREEDORAS POR CONTRA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>
        <row r="9">
          <cell r="J9">
            <v>10411</v>
          </cell>
          <cell r="L9">
            <v>10000000</v>
          </cell>
        </row>
        <row r="10">
          <cell r="J10">
            <v>20111</v>
          </cell>
          <cell r="L10">
            <v>50000</v>
          </cell>
        </row>
        <row r="11">
          <cell r="J11">
            <v>50111</v>
          </cell>
          <cell r="M11">
            <v>10050000</v>
          </cell>
        </row>
        <row r="12">
          <cell r="J12">
            <v>60111</v>
          </cell>
          <cell r="L12">
            <v>120000</v>
          </cell>
        </row>
        <row r="13">
          <cell r="J13">
            <v>40111</v>
          </cell>
          <cell r="L13">
            <v>21600</v>
          </cell>
        </row>
        <row r="14">
          <cell r="J14">
            <v>4212</v>
          </cell>
          <cell r="M14">
            <v>141600</v>
          </cell>
        </row>
        <row r="15">
          <cell r="J15">
            <v>20111</v>
          </cell>
          <cell r="L15">
            <v>120000</v>
          </cell>
        </row>
        <row r="16">
          <cell r="J16">
            <v>6111</v>
          </cell>
          <cell r="M16">
            <v>120000</v>
          </cell>
        </row>
        <row r="17">
          <cell r="J17">
            <v>4212</v>
          </cell>
          <cell r="L17">
            <v>7080</v>
          </cell>
        </row>
        <row r="18">
          <cell r="J18">
            <v>40111</v>
          </cell>
          <cell r="M18">
            <v>1080</v>
          </cell>
        </row>
        <row r="19">
          <cell r="J19">
            <v>60111</v>
          </cell>
          <cell r="M19">
            <v>6000</v>
          </cell>
        </row>
        <row r="20">
          <cell r="J20">
            <v>6111</v>
          </cell>
          <cell r="L20">
            <v>6000</v>
          </cell>
        </row>
        <row r="21">
          <cell r="J21">
            <v>20111</v>
          </cell>
          <cell r="M21">
            <v>6000</v>
          </cell>
        </row>
        <row r="22">
          <cell r="J22">
            <v>1212</v>
          </cell>
          <cell r="L22">
            <v>1062000</v>
          </cell>
        </row>
        <row r="23">
          <cell r="J23">
            <v>40111</v>
          </cell>
          <cell r="M23">
            <v>162000</v>
          </cell>
        </row>
        <row r="24">
          <cell r="J24">
            <v>70111</v>
          </cell>
          <cell r="M24">
            <v>900000</v>
          </cell>
        </row>
        <row r="25">
          <cell r="J25">
            <v>70111</v>
          </cell>
          <cell r="L25">
            <v>810000</v>
          </cell>
        </row>
        <row r="26">
          <cell r="J26">
            <v>40111</v>
          </cell>
          <cell r="L26">
            <v>145800</v>
          </cell>
        </row>
        <row r="27">
          <cell r="J27">
            <v>1212</v>
          </cell>
          <cell r="M27">
            <v>955800</v>
          </cell>
        </row>
        <row r="28">
          <cell r="J28">
            <v>60111</v>
          </cell>
          <cell r="L28">
            <v>5000</v>
          </cell>
        </row>
        <row r="29">
          <cell r="J29">
            <v>40111</v>
          </cell>
          <cell r="L29">
            <v>900</v>
          </cell>
        </row>
        <row r="30">
          <cell r="J30">
            <v>4212</v>
          </cell>
          <cell r="M30">
            <v>5900</v>
          </cell>
        </row>
        <row r="31">
          <cell r="J31">
            <v>20111</v>
          </cell>
          <cell r="L31">
            <v>5000</v>
          </cell>
        </row>
        <row r="32">
          <cell r="J32">
            <v>6111</v>
          </cell>
          <cell r="M32">
            <v>5000</v>
          </cell>
        </row>
        <row r="33">
          <cell r="J33">
            <v>69111</v>
          </cell>
          <cell r="L33">
            <v>1000</v>
          </cell>
        </row>
        <row r="34">
          <cell r="J34">
            <v>20111</v>
          </cell>
          <cell r="M34">
            <v>1000</v>
          </cell>
        </row>
        <row r="35">
          <cell r="J35">
            <v>6111</v>
          </cell>
          <cell r="L35">
            <v>1000</v>
          </cell>
        </row>
        <row r="36">
          <cell r="J36">
            <v>791</v>
          </cell>
          <cell r="M36">
            <v>1000</v>
          </cell>
        </row>
      </sheetData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</sheetDataSet>
  </externalBook>
</externalLink>
</file>

<file path=xl/tables/table1.xml><?xml version="1.0" encoding="utf-8"?>
<table xmlns="http://schemas.openxmlformats.org/spreadsheetml/2006/main" id="1" name="PLANCONTABLE" displayName="PLANCONTABLE" ref="A3:B2098" totalsRowShown="0" headerRowBorderDxfId="2" tableBorderDxfId="1">
  <tableColumns count="2">
    <tableColumn id="1" name="1" dataDxfId="0"/>
    <tableColumn id="2" name="ACTIVO DISPONIBLE Y EXIGIBLE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1.xml"/><Relationship Id="rId17" Type="http://schemas.openxmlformats.org/officeDocument/2006/relationships/ctrlProp" Target="../ctrlProps/ctrlProp6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D1:ZZ17"/>
  <sheetViews>
    <sheetView showGridLines="0" showRowColHeaders="0" tabSelected="1" workbookViewId="0">
      <selection activeCell="F21" sqref="F21"/>
    </sheetView>
  </sheetViews>
  <sheetFormatPr baseColWidth="10" defaultRowHeight="15" x14ac:dyDescent="0.25"/>
  <cols>
    <col min="702" max="702" width="12" bestFit="1" customWidth="1"/>
  </cols>
  <sheetData>
    <row r="1" spans="4:702" x14ac:dyDescent="0.25">
      <c r="ZZ1" s="85" t="s">
        <v>1103</v>
      </c>
    </row>
    <row r="2" spans="4:702" x14ac:dyDescent="0.25">
      <c r="ZZ2" s="85">
        <v>20109999999</v>
      </c>
    </row>
    <row r="3" spans="4:702" x14ac:dyDescent="0.25">
      <c r="ZZ3" s="85">
        <v>2015</v>
      </c>
    </row>
    <row r="4" spans="4:702" x14ac:dyDescent="0.25">
      <c r="ZZ4" s="85" t="s">
        <v>1116</v>
      </c>
    </row>
    <row r="5" spans="4:702" x14ac:dyDescent="0.25">
      <c r="D5" s="91"/>
      <c r="E5" s="91"/>
      <c r="F5" s="91"/>
      <c r="G5" s="91"/>
      <c r="H5" s="91"/>
      <c r="I5" s="91"/>
      <c r="J5" s="91"/>
      <c r="ZZ5" s="85"/>
    </row>
    <row r="6" spans="4:702" x14ac:dyDescent="0.25">
      <c r="D6" s="91"/>
      <c r="E6" s="91"/>
      <c r="F6" s="91"/>
      <c r="G6" s="91"/>
      <c r="H6" s="91"/>
      <c r="I6" s="91"/>
      <c r="J6" s="91"/>
      <c r="ZZ6" s="85"/>
    </row>
    <row r="7" spans="4:702" x14ac:dyDescent="0.25">
      <c r="D7" s="91"/>
      <c r="E7" s="91"/>
      <c r="F7" s="91"/>
      <c r="G7" s="91"/>
      <c r="H7" s="91"/>
      <c r="I7" s="91"/>
      <c r="J7" s="91"/>
    </row>
    <row r="8" spans="4:702" x14ac:dyDescent="0.25">
      <c r="D8" s="91"/>
      <c r="E8" s="91"/>
      <c r="F8" s="91"/>
      <c r="G8" s="91"/>
      <c r="H8" s="91"/>
      <c r="I8" s="91"/>
      <c r="J8" s="91"/>
    </row>
    <row r="9" spans="4:702" x14ac:dyDescent="0.25">
      <c r="D9" s="91"/>
      <c r="E9" s="91"/>
      <c r="F9" s="91"/>
      <c r="G9" s="91"/>
      <c r="H9" s="91"/>
      <c r="I9" s="91"/>
      <c r="J9" s="91"/>
    </row>
    <row r="10" spans="4:702" x14ac:dyDescent="0.25">
      <c r="D10" s="91"/>
      <c r="E10" s="91"/>
      <c r="F10" s="91"/>
      <c r="G10" s="91"/>
      <c r="H10" s="91"/>
      <c r="I10" s="91"/>
      <c r="J10" s="91"/>
    </row>
    <row r="11" spans="4:702" x14ac:dyDescent="0.25">
      <c r="D11" s="91"/>
      <c r="E11" s="91"/>
      <c r="F11" s="91"/>
      <c r="G11" s="91"/>
      <c r="H11" s="91"/>
      <c r="I11" s="91"/>
      <c r="J11" s="91"/>
    </row>
    <row r="12" spans="4:702" x14ac:dyDescent="0.25">
      <c r="D12" s="91"/>
      <c r="E12" s="91"/>
      <c r="F12" s="91"/>
      <c r="G12" s="91"/>
      <c r="H12" s="91"/>
      <c r="I12" s="91"/>
      <c r="J12" s="91"/>
    </row>
    <row r="13" spans="4:702" x14ac:dyDescent="0.25">
      <c r="D13" s="91"/>
      <c r="E13" s="91"/>
      <c r="F13" s="91"/>
      <c r="G13" s="91"/>
      <c r="H13" s="91"/>
      <c r="I13" s="91"/>
      <c r="J13" s="91"/>
    </row>
    <row r="14" spans="4:702" x14ac:dyDescent="0.25">
      <c r="D14" s="91"/>
      <c r="E14" s="91"/>
      <c r="F14" s="91"/>
      <c r="G14" s="91"/>
      <c r="H14" s="91"/>
      <c r="I14" s="91"/>
      <c r="J14" s="91"/>
    </row>
    <row r="15" spans="4:702" x14ac:dyDescent="0.25">
      <c r="D15" s="91"/>
      <c r="E15" s="91"/>
      <c r="F15" s="91"/>
      <c r="G15" s="91"/>
      <c r="H15" s="91"/>
      <c r="I15" s="91"/>
      <c r="J15" s="91"/>
    </row>
    <row r="16" spans="4:702" x14ac:dyDescent="0.25">
      <c r="D16" s="91"/>
      <c r="E16" s="91"/>
      <c r="F16" s="91"/>
      <c r="G16" s="91"/>
      <c r="H16" s="91"/>
      <c r="I16" s="91"/>
      <c r="J16" s="91"/>
    </row>
    <row r="17" spans="4:10" x14ac:dyDescent="0.25">
      <c r="D17" s="91"/>
      <c r="E17" s="91"/>
      <c r="F17" s="91"/>
      <c r="G17" s="91"/>
      <c r="H17" s="91"/>
      <c r="I17" s="91"/>
      <c r="J17" s="91"/>
    </row>
  </sheetData>
  <sheetProtection sheet="1" objects="1" scenarios="1" selectLockedCells="1" selectUn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3" r:id="rId4" name="TextBox1">
          <controlPr defaultSize="0" autoLine="0" r:id="rId5">
            <anchor moveWithCells="1">
              <from>
                <xdr:col>5</xdr:col>
                <xdr:colOff>419100</xdr:colOff>
                <xdr:row>6</xdr:row>
                <xdr:rowOff>114300</xdr:rowOff>
              </from>
              <to>
                <xdr:col>9</xdr:col>
                <xdr:colOff>257175</xdr:colOff>
                <xdr:row>7</xdr:row>
                <xdr:rowOff>152400</xdr:rowOff>
              </to>
            </anchor>
          </controlPr>
        </control>
      </mc:Choice>
      <mc:Fallback>
        <control shapeId="1033" r:id="rId4" name="TextBox1"/>
      </mc:Fallback>
    </mc:AlternateContent>
    <mc:AlternateContent xmlns:mc="http://schemas.openxmlformats.org/markup-compatibility/2006">
      <mc:Choice Requires="x14">
        <control shapeId="1034" r:id="rId6" name="TextBox2">
          <controlPr defaultSize="0" autoLine="0" r:id="rId7">
            <anchor moveWithCells="1">
              <from>
                <xdr:col>5</xdr:col>
                <xdr:colOff>447675</xdr:colOff>
                <xdr:row>8</xdr:row>
                <xdr:rowOff>95250</xdr:rowOff>
              </from>
              <to>
                <xdr:col>9</xdr:col>
                <xdr:colOff>285750</xdr:colOff>
                <xdr:row>9</xdr:row>
                <xdr:rowOff>133350</xdr:rowOff>
              </to>
            </anchor>
          </controlPr>
        </control>
      </mc:Choice>
      <mc:Fallback>
        <control shapeId="1034" r:id="rId6" name="TextBox2"/>
      </mc:Fallback>
    </mc:AlternateContent>
    <mc:AlternateContent xmlns:mc="http://schemas.openxmlformats.org/markup-compatibility/2006">
      <mc:Choice Requires="x14">
        <control shapeId="1035" r:id="rId8" name="ComboBox1">
          <controlPr defaultSize="0" autoLine="0" r:id="rId9">
            <anchor moveWithCells="1">
              <from>
                <xdr:col>6</xdr:col>
                <xdr:colOff>9525</xdr:colOff>
                <xdr:row>12</xdr:row>
                <xdr:rowOff>152400</xdr:rowOff>
              </from>
              <to>
                <xdr:col>7</xdr:col>
                <xdr:colOff>66675</xdr:colOff>
                <xdr:row>14</xdr:row>
                <xdr:rowOff>9525</xdr:rowOff>
              </to>
            </anchor>
          </controlPr>
        </control>
      </mc:Choice>
      <mc:Fallback>
        <control shapeId="1035" r:id="rId8" name="ComboBox1"/>
      </mc:Fallback>
    </mc:AlternateContent>
    <mc:AlternateContent xmlns:mc="http://schemas.openxmlformats.org/markup-compatibility/2006">
      <mc:Choice Requires="x14">
        <control shapeId="1037" r:id="rId10" name="TextBox3">
          <controlPr defaultSize="0" autoLine="0" r:id="rId11">
            <anchor moveWithCells="1">
              <from>
                <xdr:col>8</xdr:col>
                <xdr:colOff>276225</xdr:colOff>
                <xdr:row>12</xdr:row>
                <xdr:rowOff>142875</xdr:rowOff>
              </from>
              <to>
                <xdr:col>9</xdr:col>
                <xdr:colOff>257175</xdr:colOff>
                <xdr:row>13</xdr:row>
                <xdr:rowOff>171450</xdr:rowOff>
              </to>
            </anchor>
          </controlPr>
        </control>
      </mc:Choice>
      <mc:Fallback>
        <control shapeId="1037" r:id="rId10" name="TextBox3"/>
      </mc:Fallback>
    </mc:AlternateContent>
    <mc:AlternateContent xmlns:mc="http://schemas.openxmlformats.org/markup-compatibility/2006">
      <mc:Choice Requires="x14">
        <control shapeId="1025" r:id="rId12" name="Group Box 1">
          <controlPr defaultSize="0" autoFill="0" autoPict="0">
            <anchor moveWithCells="1">
              <from>
                <xdr:col>3</xdr:col>
                <xdr:colOff>152400</xdr:colOff>
                <xdr:row>4</xdr:row>
                <xdr:rowOff>104775</xdr:rowOff>
              </from>
              <to>
                <xdr:col>9</xdr:col>
                <xdr:colOff>571500</xdr:colOff>
                <xdr:row>16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13" name="Label 2">
          <controlPr defaultSize="0" autoFill="0" autoLine="0" autoPict="0">
            <anchor moveWithCells="1" sizeWithCells="1">
              <from>
                <xdr:col>3</xdr:col>
                <xdr:colOff>523875</xdr:colOff>
                <xdr:row>6</xdr:row>
                <xdr:rowOff>104775</xdr:rowOff>
              </from>
              <to>
                <xdr:col>5</xdr:col>
                <xdr:colOff>342900</xdr:colOff>
                <xdr:row>7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4" name="Label 3">
          <controlPr defaultSize="0" autoFill="0" autoLine="0" autoPict="0">
            <anchor moveWithCells="1" sizeWithCells="1">
              <from>
                <xdr:col>3</xdr:col>
                <xdr:colOff>514350</xdr:colOff>
                <xdr:row>8</xdr:row>
                <xdr:rowOff>161925</xdr:rowOff>
              </from>
              <to>
                <xdr:col>4</xdr:col>
                <xdr:colOff>352425</xdr:colOff>
                <xdr:row>9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15" name="Label 4">
          <controlPr defaultSize="0" autoFill="0" autoLine="0" autoPict="0">
            <anchor moveWithCells="1" sizeWithCells="1">
              <from>
                <xdr:col>3</xdr:col>
                <xdr:colOff>514350</xdr:colOff>
                <xdr:row>12</xdr:row>
                <xdr:rowOff>180975</xdr:rowOff>
              </from>
              <to>
                <xdr:col>5</xdr:col>
                <xdr:colOff>323850</xdr:colOff>
                <xdr:row>13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6" name="Label 5">
          <controlPr defaultSize="0" autoFill="0" autoLine="0" autoPict="0">
            <anchor moveWithCells="1" sizeWithCells="1">
              <from>
                <xdr:col>5</xdr:col>
                <xdr:colOff>495300</xdr:colOff>
                <xdr:row>12</xdr:row>
                <xdr:rowOff>180975</xdr:rowOff>
              </from>
              <to>
                <xdr:col>6</xdr:col>
                <xdr:colOff>400050</xdr:colOff>
                <xdr:row>13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17" name="Label 6">
          <controlPr defaultSize="0" autoFill="0" autoLine="0" autoPict="0">
            <anchor moveWithCells="1" sizeWithCells="1">
              <from>
                <xdr:col>7</xdr:col>
                <xdr:colOff>600075</xdr:colOff>
                <xdr:row>12</xdr:row>
                <xdr:rowOff>180975</xdr:rowOff>
              </from>
              <to>
                <xdr:col>8</xdr:col>
                <xdr:colOff>190500</xdr:colOff>
                <xdr:row>13</xdr:row>
                <xdr:rowOff>161925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2099"/>
  <sheetViews>
    <sheetView workbookViewId="0">
      <selection activeCell="B10" sqref="B10"/>
    </sheetView>
  </sheetViews>
  <sheetFormatPr baseColWidth="10" defaultRowHeight="15" x14ac:dyDescent="0.25"/>
  <cols>
    <col min="1" max="1" width="15" style="44" bestFit="1" customWidth="1"/>
    <col min="2" max="2" width="61.5703125" style="45" customWidth="1"/>
  </cols>
  <sheetData>
    <row r="1" spans="1:2" ht="18" x14ac:dyDescent="0.25">
      <c r="A1" s="94" t="s">
        <v>0</v>
      </c>
      <c r="B1" s="95"/>
    </row>
    <row r="2" spans="1:2" x14ac:dyDescent="0.25">
      <c r="A2" s="1" t="s">
        <v>1</v>
      </c>
      <c r="B2" s="2" t="s">
        <v>2</v>
      </c>
    </row>
    <row r="3" spans="1:2" x14ac:dyDescent="0.25">
      <c r="A3" s="3" t="s">
        <v>3</v>
      </c>
      <c r="B3" s="4" t="s">
        <v>4</v>
      </c>
    </row>
    <row r="4" spans="1:2" x14ac:dyDescent="0.25">
      <c r="A4" s="5">
        <v>10</v>
      </c>
      <c r="B4" s="6" t="s">
        <v>5</v>
      </c>
    </row>
    <row r="5" spans="1:2" x14ac:dyDescent="0.25">
      <c r="A5" s="7">
        <v>101</v>
      </c>
      <c r="B5" s="8" t="s">
        <v>6</v>
      </c>
    </row>
    <row r="6" spans="1:2" x14ac:dyDescent="0.25">
      <c r="A6" s="9">
        <v>1011</v>
      </c>
      <c r="B6" s="8" t="s">
        <v>7</v>
      </c>
    </row>
    <row r="7" spans="1:2" x14ac:dyDescent="0.25">
      <c r="A7" s="10">
        <v>10111</v>
      </c>
      <c r="B7" s="8" t="s">
        <v>8</v>
      </c>
    </row>
    <row r="8" spans="1:2" x14ac:dyDescent="0.25">
      <c r="A8" s="7">
        <v>102</v>
      </c>
      <c r="B8" s="8" t="s">
        <v>9</v>
      </c>
    </row>
    <row r="9" spans="1:2" x14ac:dyDescent="0.25">
      <c r="A9" s="7">
        <v>103</v>
      </c>
      <c r="B9" s="8" t="s">
        <v>10</v>
      </c>
    </row>
    <row r="10" spans="1:2" x14ac:dyDescent="0.25">
      <c r="A10" s="7">
        <v>104</v>
      </c>
      <c r="B10" s="8" t="s">
        <v>11</v>
      </c>
    </row>
    <row r="11" spans="1:2" x14ac:dyDescent="0.25">
      <c r="A11" s="9">
        <v>1041</v>
      </c>
      <c r="B11" s="8" t="s">
        <v>12</v>
      </c>
    </row>
    <row r="12" spans="1:2" x14ac:dyDescent="0.25">
      <c r="A12" s="10">
        <v>10411</v>
      </c>
      <c r="B12" s="8" t="s">
        <v>13</v>
      </c>
    </row>
    <row r="13" spans="1:2" x14ac:dyDescent="0.25">
      <c r="A13" s="10">
        <v>10412</v>
      </c>
      <c r="B13" s="8" t="s">
        <v>14</v>
      </c>
    </row>
    <row r="14" spans="1:2" x14ac:dyDescent="0.25">
      <c r="A14" s="10">
        <v>10413</v>
      </c>
      <c r="B14" s="8" t="s">
        <v>15</v>
      </c>
    </row>
    <row r="15" spans="1:2" x14ac:dyDescent="0.25">
      <c r="A15" s="10">
        <v>10414</v>
      </c>
      <c r="B15" s="8" t="s">
        <v>16</v>
      </c>
    </row>
    <row r="16" spans="1:2" x14ac:dyDescent="0.25">
      <c r="A16" s="10">
        <v>10415</v>
      </c>
      <c r="B16" s="8" t="s">
        <v>17</v>
      </c>
    </row>
    <row r="17" spans="1:2" x14ac:dyDescent="0.25">
      <c r="A17" s="10">
        <v>10416</v>
      </c>
      <c r="B17" s="8" t="s">
        <v>18</v>
      </c>
    </row>
    <row r="18" spans="1:2" x14ac:dyDescent="0.25">
      <c r="A18" s="10">
        <v>10417</v>
      </c>
      <c r="B18" s="8" t="s">
        <v>13</v>
      </c>
    </row>
    <row r="19" spans="1:2" x14ac:dyDescent="0.25">
      <c r="A19" s="10">
        <v>10418</v>
      </c>
      <c r="B19" s="8" t="s">
        <v>16</v>
      </c>
    </row>
    <row r="20" spans="1:2" x14ac:dyDescent="0.25">
      <c r="A20" s="10">
        <v>10419</v>
      </c>
      <c r="B20" s="8" t="s">
        <v>15</v>
      </c>
    </row>
    <row r="21" spans="1:2" x14ac:dyDescent="0.25">
      <c r="A21" s="9">
        <v>1042</v>
      </c>
      <c r="B21" s="8" t="s">
        <v>19</v>
      </c>
    </row>
    <row r="22" spans="1:2" x14ac:dyDescent="0.25">
      <c r="A22" s="10">
        <v>10421</v>
      </c>
      <c r="B22" s="8" t="s">
        <v>20</v>
      </c>
    </row>
    <row r="23" spans="1:2" x14ac:dyDescent="0.25">
      <c r="A23" s="7">
        <v>105</v>
      </c>
      <c r="B23" s="8" t="s">
        <v>21</v>
      </c>
    </row>
    <row r="24" spans="1:2" x14ac:dyDescent="0.25">
      <c r="A24" s="9">
        <v>1051</v>
      </c>
      <c r="B24" s="8" t="s">
        <v>22</v>
      </c>
    </row>
    <row r="25" spans="1:2" x14ac:dyDescent="0.25">
      <c r="A25" s="7">
        <v>106</v>
      </c>
      <c r="B25" s="8" t="s">
        <v>23</v>
      </c>
    </row>
    <row r="26" spans="1:2" x14ac:dyDescent="0.25">
      <c r="A26" s="9">
        <v>1061</v>
      </c>
      <c r="B26" s="8" t="s">
        <v>24</v>
      </c>
    </row>
    <row r="27" spans="1:2" x14ac:dyDescent="0.25">
      <c r="A27" s="9">
        <v>1062</v>
      </c>
      <c r="B27" s="8" t="s">
        <v>25</v>
      </c>
    </row>
    <row r="28" spans="1:2" x14ac:dyDescent="0.25">
      <c r="A28" s="7">
        <v>107</v>
      </c>
      <c r="B28" s="8" t="s">
        <v>26</v>
      </c>
    </row>
    <row r="29" spans="1:2" x14ac:dyDescent="0.25">
      <c r="A29" s="9">
        <v>1071</v>
      </c>
      <c r="B29" s="8" t="s">
        <v>27</v>
      </c>
    </row>
    <row r="30" spans="1:2" x14ac:dyDescent="0.25">
      <c r="A30" s="11">
        <v>11</v>
      </c>
      <c r="B30" s="12" t="s">
        <v>28</v>
      </c>
    </row>
    <row r="31" spans="1:2" x14ac:dyDescent="0.25">
      <c r="A31" s="7">
        <v>111</v>
      </c>
      <c r="B31" s="8" t="s">
        <v>29</v>
      </c>
    </row>
    <row r="32" spans="1:2" x14ac:dyDescent="0.25">
      <c r="A32" s="9">
        <v>1111</v>
      </c>
      <c r="B32" s="8" t="s">
        <v>30</v>
      </c>
    </row>
    <row r="33" spans="1:2" x14ac:dyDescent="0.25">
      <c r="A33" s="10">
        <v>11111</v>
      </c>
      <c r="B33" s="8" t="s">
        <v>31</v>
      </c>
    </row>
    <row r="34" spans="1:2" x14ac:dyDescent="0.25">
      <c r="A34" s="10">
        <v>11112</v>
      </c>
      <c r="B34" s="8" t="s">
        <v>32</v>
      </c>
    </row>
    <row r="35" spans="1:2" x14ac:dyDescent="0.25">
      <c r="A35" s="9">
        <v>1112</v>
      </c>
      <c r="B35" s="8" t="s">
        <v>33</v>
      </c>
    </row>
    <row r="36" spans="1:2" x14ac:dyDescent="0.25">
      <c r="A36" s="10">
        <v>11121</v>
      </c>
      <c r="B36" s="8" t="s">
        <v>31</v>
      </c>
    </row>
    <row r="37" spans="1:2" x14ac:dyDescent="0.25">
      <c r="A37" s="10">
        <v>11122</v>
      </c>
      <c r="B37" s="8" t="s">
        <v>32</v>
      </c>
    </row>
    <row r="38" spans="1:2" x14ac:dyDescent="0.25">
      <c r="A38" s="9">
        <v>1113</v>
      </c>
      <c r="B38" s="8" t="s">
        <v>34</v>
      </c>
    </row>
    <row r="39" spans="1:2" x14ac:dyDescent="0.25">
      <c r="A39" s="10">
        <v>11131</v>
      </c>
      <c r="B39" s="8" t="s">
        <v>31</v>
      </c>
    </row>
    <row r="40" spans="1:2" x14ac:dyDescent="0.25">
      <c r="A40" s="10">
        <v>11132</v>
      </c>
      <c r="B40" s="8" t="s">
        <v>32</v>
      </c>
    </row>
    <row r="41" spans="1:2" x14ac:dyDescent="0.25">
      <c r="A41" s="9">
        <v>1114</v>
      </c>
      <c r="B41" s="8" t="s">
        <v>35</v>
      </c>
    </row>
    <row r="42" spans="1:2" x14ac:dyDescent="0.25">
      <c r="A42" s="10">
        <v>11141</v>
      </c>
      <c r="B42" s="8" t="s">
        <v>31</v>
      </c>
    </row>
    <row r="43" spans="1:2" x14ac:dyDescent="0.25">
      <c r="A43" s="10">
        <v>11142</v>
      </c>
      <c r="B43" s="8" t="s">
        <v>32</v>
      </c>
    </row>
    <row r="44" spans="1:2" x14ac:dyDescent="0.25">
      <c r="A44" s="9">
        <v>1115</v>
      </c>
      <c r="B44" s="8" t="s">
        <v>36</v>
      </c>
    </row>
    <row r="45" spans="1:2" x14ac:dyDescent="0.25">
      <c r="A45" s="10">
        <v>11151</v>
      </c>
      <c r="B45" s="8" t="s">
        <v>31</v>
      </c>
    </row>
    <row r="46" spans="1:2" x14ac:dyDescent="0.25">
      <c r="A46" s="10">
        <v>11152</v>
      </c>
      <c r="B46" s="8" t="s">
        <v>32</v>
      </c>
    </row>
    <row r="47" spans="1:2" x14ac:dyDescent="0.25">
      <c r="A47" s="7">
        <v>112</v>
      </c>
      <c r="B47" s="8" t="s">
        <v>37</v>
      </c>
    </row>
    <row r="48" spans="1:2" x14ac:dyDescent="0.25">
      <c r="A48" s="9">
        <v>1121</v>
      </c>
      <c r="B48" s="8" t="s">
        <v>30</v>
      </c>
    </row>
    <row r="49" spans="1:2" x14ac:dyDescent="0.25">
      <c r="A49" s="10">
        <v>11211</v>
      </c>
      <c r="B49" s="8" t="s">
        <v>31</v>
      </c>
    </row>
    <row r="50" spans="1:2" x14ac:dyDescent="0.25">
      <c r="A50" s="10">
        <v>11212</v>
      </c>
      <c r="B50" s="8" t="s">
        <v>32</v>
      </c>
    </row>
    <row r="51" spans="1:2" x14ac:dyDescent="0.25">
      <c r="A51" s="9">
        <v>1122</v>
      </c>
      <c r="B51" s="8" t="s">
        <v>33</v>
      </c>
    </row>
    <row r="52" spans="1:2" x14ac:dyDescent="0.25">
      <c r="A52" s="10">
        <v>11221</v>
      </c>
      <c r="B52" s="8" t="s">
        <v>31</v>
      </c>
    </row>
    <row r="53" spans="1:2" x14ac:dyDescent="0.25">
      <c r="A53" s="10">
        <v>11222</v>
      </c>
      <c r="B53" s="8" t="s">
        <v>32</v>
      </c>
    </row>
    <row r="54" spans="1:2" x14ac:dyDescent="0.25">
      <c r="A54" s="9">
        <v>1123</v>
      </c>
      <c r="B54" s="8" t="s">
        <v>34</v>
      </c>
    </row>
    <row r="55" spans="1:2" x14ac:dyDescent="0.25">
      <c r="A55" s="10">
        <v>11231</v>
      </c>
      <c r="B55" s="8" t="s">
        <v>31</v>
      </c>
    </row>
    <row r="56" spans="1:2" x14ac:dyDescent="0.25">
      <c r="A56" s="10">
        <v>11232</v>
      </c>
      <c r="B56" s="8" t="s">
        <v>32</v>
      </c>
    </row>
    <row r="57" spans="1:2" x14ac:dyDescent="0.25">
      <c r="A57" s="9">
        <v>1124</v>
      </c>
      <c r="B57" s="8" t="s">
        <v>35</v>
      </c>
    </row>
    <row r="58" spans="1:2" x14ac:dyDescent="0.25">
      <c r="A58" s="10">
        <v>11241</v>
      </c>
      <c r="B58" s="8" t="s">
        <v>31</v>
      </c>
    </row>
    <row r="59" spans="1:2" x14ac:dyDescent="0.25">
      <c r="A59" s="10">
        <v>11242</v>
      </c>
      <c r="B59" s="8" t="s">
        <v>32</v>
      </c>
    </row>
    <row r="60" spans="1:2" x14ac:dyDescent="0.25">
      <c r="A60" s="7">
        <v>113</v>
      </c>
      <c r="B60" s="8" t="s">
        <v>38</v>
      </c>
    </row>
    <row r="61" spans="1:2" x14ac:dyDescent="0.25">
      <c r="A61" s="9">
        <v>1131</v>
      </c>
      <c r="B61" s="8" t="s">
        <v>39</v>
      </c>
    </row>
    <row r="62" spans="1:2" x14ac:dyDescent="0.25">
      <c r="A62" s="10">
        <v>11311</v>
      </c>
      <c r="B62" s="8" t="s">
        <v>31</v>
      </c>
    </row>
    <row r="63" spans="1:2" x14ac:dyDescent="0.25">
      <c r="A63" s="10">
        <v>11312</v>
      </c>
      <c r="B63" s="8" t="s">
        <v>32</v>
      </c>
    </row>
    <row r="64" spans="1:2" x14ac:dyDescent="0.25">
      <c r="A64" s="9">
        <v>1132</v>
      </c>
      <c r="B64" s="8" t="s">
        <v>40</v>
      </c>
    </row>
    <row r="65" spans="1:2" x14ac:dyDescent="0.25">
      <c r="A65" s="10">
        <v>11321</v>
      </c>
      <c r="B65" s="8" t="s">
        <v>31</v>
      </c>
    </row>
    <row r="66" spans="1:2" x14ac:dyDescent="0.25">
      <c r="A66" s="10">
        <v>11322</v>
      </c>
      <c r="B66" s="8" t="s">
        <v>32</v>
      </c>
    </row>
    <row r="67" spans="1:2" x14ac:dyDescent="0.25">
      <c r="A67" s="11">
        <v>12</v>
      </c>
      <c r="B67" s="12" t="s">
        <v>41</v>
      </c>
    </row>
    <row r="68" spans="1:2" x14ac:dyDescent="0.25">
      <c r="A68" s="7">
        <v>121</v>
      </c>
      <c r="B68" s="8" t="s">
        <v>42</v>
      </c>
    </row>
    <row r="69" spans="1:2" x14ac:dyDescent="0.25">
      <c r="A69" s="9">
        <v>1211</v>
      </c>
      <c r="B69" s="8" t="s">
        <v>43</v>
      </c>
    </row>
    <row r="70" spans="1:2" x14ac:dyDescent="0.25">
      <c r="A70" s="9">
        <v>1212</v>
      </c>
      <c r="B70" s="8" t="s">
        <v>44</v>
      </c>
    </row>
    <row r="71" spans="1:2" x14ac:dyDescent="0.25">
      <c r="A71" s="10">
        <v>12121</v>
      </c>
      <c r="B71" s="8" t="s">
        <v>45</v>
      </c>
    </row>
    <row r="72" spans="1:2" x14ac:dyDescent="0.25">
      <c r="A72" s="9">
        <v>1213</v>
      </c>
      <c r="B72" s="8" t="s">
        <v>46</v>
      </c>
    </row>
    <row r="73" spans="1:2" x14ac:dyDescent="0.25">
      <c r="A73" s="9">
        <v>1214</v>
      </c>
      <c r="B73" s="8" t="s">
        <v>47</v>
      </c>
    </row>
    <row r="74" spans="1:2" x14ac:dyDescent="0.25">
      <c r="A74" s="7">
        <v>122</v>
      </c>
      <c r="B74" s="8" t="s">
        <v>48</v>
      </c>
    </row>
    <row r="75" spans="1:2" x14ac:dyDescent="0.25">
      <c r="A75" s="7">
        <v>123</v>
      </c>
      <c r="B75" s="8" t="s">
        <v>49</v>
      </c>
    </row>
    <row r="76" spans="1:2" x14ac:dyDescent="0.25">
      <c r="A76" s="9">
        <v>1231</v>
      </c>
      <c r="B76" s="8" t="s">
        <v>50</v>
      </c>
    </row>
    <row r="77" spans="1:2" x14ac:dyDescent="0.25">
      <c r="A77" s="10">
        <v>12311</v>
      </c>
      <c r="B77" s="8" t="s">
        <v>51</v>
      </c>
    </row>
    <row r="78" spans="1:2" x14ac:dyDescent="0.25">
      <c r="A78" s="9">
        <v>1232</v>
      </c>
      <c r="B78" s="8" t="s">
        <v>46</v>
      </c>
    </row>
    <row r="79" spans="1:2" x14ac:dyDescent="0.25">
      <c r="A79" s="9">
        <v>1233</v>
      </c>
      <c r="B79" s="8" t="s">
        <v>47</v>
      </c>
    </row>
    <row r="80" spans="1:2" x14ac:dyDescent="0.25">
      <c r="A80" s="11">
        <v>13</v>
      </c>
      <c r="B80" s="12" t="s">
        <v>52</v>
      </c>
    </row>
    <row r="81" spans="1:2" x14ac:dyDescent="0.25">
      <c r="A81" s="7">
        <v>131</v>
      </c>
      <c r="B81" s="8" t="s">
        <v>42</v>
      </c>
    </row>
    <row r="82" spans="1:2" x14ac:dyDescent="0.25">
      <c r="A82" s="9">
        <v>1311</v>
      </c>
      <c r="B82" s="8" t="s">
        <v>43</v>
      </c>
    </row>
    <row r="83" spans="1:2" x14ac:dyDescent="0.25">
      <c r="A83" s="10">
        <v>13111</v>
      </c>
      <c r="B83" s="8" t="s">
        <v>53</v>
      </c>
    </row>
    <row r="84" spans="1:2" x14ac:dyDescent="0.25">
      <c r="A84" s="10">
        <v>13112</v>
      </c>
      <c r="B84" s="8" t="s">
        <v>54</v>
      </c>
    </row>
    <row r="85" spans="1:2" x14ac:dyDescent="0.25">
      <c r="A85" s="10">
        <v>13113</v>
      </c>
      <c r="B85" s="8" t="s">
        <v>55</v>
      </c>
    </row>
    <row r="86" spans="1:2" x14ac:dyDescent="0.25">
      <c r="A86" s="10">
        <v>13114</v>
      </c>
      <c r="B86" s="8" t="s">
        <v>56</v>
      </c>
    </row>
    <row r="87" spans="1:2" x14ac:dyDescent="0.25">
      <c r="A87" s="10">
        <v>13115</v>
      </c>
      <c r="B87" s="8" t="s">
        <v>57</v>
      </c>
    </row>
    <row r="88" spans="1:2" x14ac:dyDescent="0.25">
      <c r="A88" s="9">
        <v>1312</v>
      </c>
      <c r="B88" s="8" t="s">
        <v>44</v>
      </c>
    </row>
    <row r="89" spans="1:2" x14ac:dyDescent="0.25">
      <c r="A89" s="10">
        <v>13121</v>
      </c>
      <c r="B89" s="8" t="s">
        <v>53</v>
      </c>
    </row>
    <row r="90" spans="1:2" x14ac:dyDescent="0.25">
      <c r="A90" s="10">
        <v>13122</v>
      </c>
      <c r="B90" s="8" t="s">
        <v>54</v>
      </c>
    </row>
    <row r="91" spans="1:2" x14ac:dyDescent="0.25">
      <c r="A91" s="10">
        <v>13123</v>
      </c>
      <c r="B91" s="8" t="s">
        <v>55</v>
      </c>
    </row>
    <row r="92" spans="1:2" x14ac:dyDescent="0.25">
      <c r="A92" s="10">
        <v>13124</v>
      </c>
      <c r="B92" s="8" t="s">
        <v>56</v>
      </c>
    </row>
    <row r="93" spans="1:2" x14ac:dyDescent="0.25">
      <c r="A93" s="9">
        <v>1313</v>
      </c>
      <c r="B93" s="8" t="s">
        <v>46</v>
      </c>
    </row>
    <row r="94" spans="1:2" x14ac:dyDescent="0.25">
      <c r="A94" s="10">
        <v>13131</v>
      </c>
      <c r="B94" s="8" t="s">
        <v>53</v>
      </c>
    </row>
    <row r="95" spans="1:2" x14ac:dyDescent="0.25">
      <c r="A95" s="10">
        <v>13132</v>
      </c>
      <c r="B95" s="8" t="s">
        <v>54</v>
      </c>
    </row>
    <row r="96" spans="1:2" x14ac:dyDescent="0.25">
      <c r="A96" s="10">
        <v>13133</v>
      </c>
      <c r="B96" s="8" t="s">
        <v>55</v>
      </c>
    </row>
    <row r="97" spans="1:2" x14ac:dyDescent="0.25">
      <c r="A97" s="10">
        <v>13134</v>
      </c>
      <c r="B97" s="8" t="s">
        <v>56</v>
      </c>
    </row>
    <row r="98" spans="1:2" x14ac:dyDescent="0.25">
      <c r="A98" s="10">
        <v>13135</v>
      </c>
      <c r="B98" s="8" t="s">
        <v>57</v>
      </c>
    </row>
    <row r="99" spans="1:2" x14ac:dyDescent="0.25">
      <c r="A99" s="9">
        <v>1314</v>
      </c>
      <c r="B99" s="8" t="s">
        <v>47</v>
      </c>
    </row>
    <row r="100" spans="1:2" x14ac:dyDescent="0.25">
      <c r="A100" s="10">
        <v>13141</v>
      </c>
      <c r="B100" s="8" t="s">
        <v>53</v>
      </c>
    </row>
    <row r="101" spans="1:2" x14ac:dyDescent="0.25">
      <c r="A101" s="10">
        <v>13142</v>
      </c>
      <c r="B101" s="8" t="s">
        <v>54</v>
      </c>
    </row>
    <row r="102" spans="1:2" x14ac:dyDescent="0.25">
      <c r="A102" s="10">
        <v>13143</v>
      </c>
      <c r="B102" s="8" t="s">
        <v>55</v>
      </c>
    </row>
    <row r="103" spans="1:2" x14ac:dyDescent="0.25">
      <c r="A103" s="10">
        <v>13144</v>
      </c>
      <c r="B103" s="8" t="s">
        <v>56</v>
      </c>
    </row>
    <row r="104" spans="1:2" x14ac:dyDescent="0.25">
      <c r="A104" s="10">
        <v>13145</v>
      </c>
      <c r="B104" s="8" t="s">
        <v>57</v>
      </c>
    </row>
    <row r="105" spans="1:2" x14ac:dyDescent="0.25">
      <c r="A105" s="7">
        <v>132</v>
      </c>
      <c r="B105" s="8" t="s">
        <v>58</v>
      </c>
    </row>
    <row r="106" spans="1:2" x14ac:dyDescent="0.25">
      <c r="A106" s="9">
        <v>1321</v>
      </c>
      <c r="B106" s="8" t="s">
        <v>59</v>
      </c>
    </row>
    <row r="107" spans="1:2" x14ac:dyDescent="0.25">
      <c r="A107" s="10">
        <v>13211</v>
      </c>
      <c r="B107" s="8" t="s">
        <v>53</v>
      </c>
    </row>
    <row r="108" spans="1:2" x14ac:dyDescent="0.25">
      <c r="A108" s="10">
        <v>13212</v>
      </c>
      <c r="B108" s="8" t="s">
        <v>54</v>
      </c>
    </row>
    <row r="109" spans="1:2" x14ac:dyDescent="0.25">
      <c r="A109" s="10">
        <v>13213</v>
      </c>
      <c r="B109" s="8" t="s">
        <v>55</v>
      </c>
    </row>
    <row r="110" spans="1:2" x14ac:dyDescent="0.25">
      <c r="A110" s="10">
        <v>13214</v>
      </c>
      <c r="B110" s="8" t="s">
        <v>56</v>
      </c>
    </row>
    <row r="111" spans="1:2" x14ac:dyDescent="0.25">
      <c r="A111" s="10">
        <v>13215</v>
      </c>
      <c r="B111" s="8" t="s">
        <v>57</v>
      </c>
    </row>
    <row r="112" spans="1:2" x14ac:dyDescent="0.25">
      <c r="A112" s="7">
        <v>133</v>
      </c>
      <c r="B112" s="8" t="s">
        <v>49</v>
      </c>
    </row>
    <row r="113" spans="1:2" x14ac:dyDescent="0.25">
      <c r="A113" s="9">
        <v>1331</v>
      </c>
      <c r="B113" s="8" t="s">
        <v>50</v>
      </c>
    </row>
    <row r="114" spans="1:2" x14ac:dyDescent="0.25">
      <c r="A114" s="10">
        <v>13311</v>
      </c>
      <c r="B114" s="8" t="s">
        <v>53</v>
      </c>
    </row>
    <row r="115" spans="1:2" x14ac:dyDescent="0.25">
      <c r="A115" s="10">
        <v>13312</v>
      </c>
      <c r="B115" s="8" t="s">
        <v>54</v>
      </c>
    </row>
    <row r="116" spans="1:2" x14ac:dyDescent="0.25">
      <c r="A116" s="10">
        <v>13313</v>
      </c>
      <c r="B116" s="8" t="s">
        <v>55</v>
      </c>
    </row>
    <row r="117" spans="1:2" x14ac:dyDescent="0.25">
      <c r="A117" s="10">
        <v>13314</v>
      </c>
      <c r="B117" s="8" t="s">
        <v>56</v>
      </c>
    </row>
    <row r="118" spans="1:2" x14ac:dyDescent="0.25">
      <c r="A118" s="10">
        <v>13315</v>
      </c>
      <c r="B118" s="8" t="s">
        <v>57</v>
      </c>
    </row>
    <row r="119" spans="1:2" x14ac:dyDescent="0.25">
      <c r="A119" s="9">
        <v>1332</v>
      </c>
      <c r="B119" s="8" t="s">
        <v>46</v>
      </c>
    </row>
    <row r="120" spans="1:2" x14ac:dyDescent="0.25">
      <c r="A120" s="10">
        <v>13321</v>
      </c>
      <c r="B120" s="8" t="s">
        <v>53</v>
      </c>
    </row>
    <row r="121" spans="1:2" x14ac:dyDescent="0.25">
      <c r="A121" s="10">
        <v>13322</v>
      </c>
      <c r="B121" s="8" t="s">
        <v>54</v>
      </c>
    </row>
    <row r="122" spans="1:2" x14ac:dyDescent="0.25">
      <c r="A122" s="10">
        <v>13323</v>
      </c>
      <c r="B122" s="8" t="s">
        <v>55</v>
      </c>
    </row>
    <row r="123" spans="1:2" x14ac:dyDescent="0.25">
      <c r="A123" s="10">
        <v>13324</v>
      </c>
      <c r="B123" s="8" t="s">
        <v>56</v>
      </c>
    </row>
    <row r="124" spans="1:2" x14ac:dyDescent="0.25">
      <c r="A124" s="10">
        <v>13325</v>
      </c>
      <c r="B124" s="8" t="s">
        <v>57</v>
      </c>
    </row>
    <row r="125" spans="1:2" x14ac:dyDescent="0.25">
      <c r="A125" s="9">
        <v>1333</v>
      </c>
      <c r="B125" s="8" t="s">
        <v>47</v>
      </c>
    </row>
    <row r="126" spans="1:2" x14ac:dyDescent="0.25">
      <c r="A126" s="10">
        <v>13331</v>
      </c>
      <c r="B126" s="8" t="s">
        <v>53</v>
      </c>
    </row>
    <row r="127" spans="1:2" x14ac:dyDescent="0.25">
      <c r="A127" s="10">
        <v>13332</v>
      </c>
      <c r="B127" s="8" t="s">
        <v>54</v>
      </c>
    </row>
    <row r="128" spans="1:2" x14ac:dyDescent="0.25">
      <c r="A128" s="10">
        <v>13333</v>
      </c>
      <c r="B128" s="8" t="s">
        <v>55</v>
      </c>
    </row>
    <row r="129" spans="1:2" x14ac:dyDescent="0.25">
      <c r="A129" s="10">
        <v>13334</v>
      </c>
      <c r="B129" s="8" t="s">
        <v>56</v>
      </c>
    </row>
    <row r="130" spans="1:2" x14ac:dyDescent="0.25">
      <c r="A130" s="10">
        <v>13335</v>
      </c>
      <c r="B130" s="8" t="s">
        <v>57</v>
      </c>
    </row>
    <row r="131" spans="1:2" x14ac:dyDescent="0.25">
      <c r="A131" s="11">
        <v>14</v>
      </c>
      <c r="B131" s="12" t="s">
        <v>60</v>
      </c>
    </row>
    <row r="132" spans="1:2" x14ac:dyDescent="0.25">
      <c r="A132" s="7">
        <v>141</v>
      </c>
      <c r="B132" s="8" t="s">
        <v>61</v>
      </c>
    </row>
    <row r="133" spans="1:2" x14ac:dyDescent="0.25">
      <c r="A133" s="9">
        <v>1411</v>
      </c>
      <c r="B133" s="8" t="s">
        <v>62</v>
      </c>
    </row>
    <row r="134" spans="1:2" x14ac:dyDescent="0.25">
      <c r="A134" s="9">
        <v>1412</v>
      </c>
      <c r="B134" s="8" t="s">
        <v>63</v>
      </c>
    </row>
    <row r="135" spans="1:2" x14ac:dyDescent="0.25">
      <c r="A135" s="9">
        <v>1413</v>
      </c>
      <c r="B135" s="8" t="s">
        <v>64</v>
      </c>
    </row>
    <row r="136" spans="1:2" x14ac:dyDescent="0.25">
      <c r="A136" s="9">
        <v>1419</v>
      </c>
      <c r="B136" s="8" t="s">
        <v>65</v>
      </c>
    </row>
    <row r="137" spans="1:2" x14ac:dyDescent="0.25">
      <c r="A137" s="7">
        <v>142</v>
      </c>
      <c r="B137" s="8" t="s">
        <v>66</v>
      </c>
    </row>
    <row r="138" spans="1:2" x14ac:dyDescent="0.25">
      <c r="A138" s="9">
        <v>1421</v>
      </c>
      <c r="B138" s="8" t="s">
        <v>67</v>
      </c>
    </row>
    <row r="139" spans="1:2" x14ac:dyDescent="0.25">
      <c r="A139" s="10">
        <v>14211</v>
      </c>
      <c r="B139" s="8" t="s">
        <v>67</v>
      </c>
    </row>
    <row r="140" spans="1:2" x14ac:dyDescent="0.25">
      <c r="A140" s="9">
        <v>1422</v>
      </c>
      <c r="B140" s="8" t="s">
        <v>62</v>
      </c>
    </row>
    <row r="141" spans="1:2" x14ac:dyDescent="0.25">
      <c r="A141" s="7">
        <v>143</v>
      </c>
      <c r="B141" s="8" t="s">
        <v>68</v>
      </c>
    </row>
    <row r="142" spans="1:2" x14ac:dyDescent="0.25">
      <c r="A142" s="9">
        <v>1431</v>
      </c>
      <c r="B142" s="8" t="s">
        <v>62</v>
      </c>
    </row>
    <row r="143" spans="1:2" x14ac:dyDescent="0.25">
      <c r="A143" s="9">
        <v>1432</v>
      </c>
      <c r="B143" s="8" t="s">
        <v>69</v>
      </c>
    </row>
    <row r="144" spans="1:2" x14ac:dyDescent="0.25">
      <c r="A144" s="9">
        <v>1433</v>
      </c>
      <c r="B144" s="8" t="s">
        <v>64</v>
      </c>
    </row>
    <row r="145" spans="1:2" x14ac:dyDescent="0.25">
      <c r="A145" s="7">
        <v>144</v>
      </c>
      <c r="B145" s="8" t="s">
        <v>70</v>
      </c>
    </row>
    <row r="146" spans="1:2" x14ac:dyDescent="0.25">
      <c r="A146" s="9">
        <v>1441</v>
      </c>
      <c r="B146" s="8" t="s">
        <v>62</v>
      </c>
    </row>
    <row r="147" spans="1:2" x14ac:dyDescent="0.25">
      <c r="A147" s="9">
        <v>1442</v>
      </c>
      <c r="B147" s="8" t="s">
        <v>71</v>
      </c>
    </row>
    <row r="148" spans="1:2" x14ac:dyDescent="0.25">
      <c r="A148" s="9">
        <v>1443</v>
      </c>
      <c r="B148" s="8" t="s">
        <v>64</v>
      </c>
    </row>
    <row r="149" spans="1:2" x14ac:dyDescent="0.25">
      <c r="A149" s="7">
        <v>148</v>
      </c>
      <c r="B149" s="8" t="s">
        <v>72</v>
      </c>
    </row>
    <row r="150" spans="1:2" x14ac:dyDescent="0.25">
      <c r="A150" s="11">
        <v>16</v>
      </c>
      <c r="B150" s="12" t="s">
        <v>73</v>
      </c>
    </row>
    <row r="151" spans="1:2" x14ac:dyDescent="0.25">
      <c r="A151" s="7">
        <v>161</v>
      </c>
      <c r="B151" s="8" t="s">
        <v>62</v>
      </c>
    </row>
    <row r="152" spans="1:2" x14ac:dyDescent="0.25">
      <c r="A152" s="9">
        <v>1611</v>
      </c>
      <c r="B152" s="8" t="s">
        <v>74</v>
      </c>
    </row>
    <row r="153" spans="1:2" x14ac:dyDescent="0.25">
      <c r="A153" s="9">
        <v>1612</v>
      </c>
      <c r="B153" s="8" t="s">
        <v>75</v>
      </c>
    </row>
    <row r="154" spans="1:2" x14ac:dyDescent="0.25">
      <c r="A154" s="7">
        <v>162</v>
      </c>
      <c r="B154" s="8" t="s">
        <v>76</v>
      </c>
    </row>
    <row r="155" spans="1:2" x14ac:dyDescent="0.25">
      <c r="A155" s="9">
        <v>1621</v>
      </c>
      <c r="B155" s="8" t="s">
        <v>77</v>
      </c>
    </row>
    <row r="156" spans="1:2" x14ac:dyDescent="0.25">
      <c r="A156" s="9">
        <v>1622</v>
      </c>
      <c r="B156" s="8" t="s">
        <v>78</v>
      </c>
    </row>
    <row r="157" spans="1:2" x14ac:dyDescent="0.25">
      <c r="A157" s="9">
        <v>1623</v>
      </c>
      <c r="B157" s="8" t="s">
        <v>79</v>
      </c>
    </row>
    <row r="158" spans="1:2" x14ac:dyDescent="0.25">
      <c r="A158" s="9">
        <v>1624</v>
      </c>
      <c r="B158" s="8" t="s">
        <v>80</v>
      </c>
    </row>
    <row r="159" spans="1:2" x14ac:dyDescent="0.25">
      <c r="A159" s="9">
        <v>1629</v>
      </c>
      <c r="B159" s="8" t="s">
        <v>81</v>
      </c>
    </row>
    <row r="160" spans="1:2" x14ac:dyDescent="0.25">
      <c r="A160" s="7">
        <v>163</v>
      </c>
      <c r="B160" s="8" t="s">
        <v>82</v>
      </c>
    </row>
    <row r="161" spans="1:2" x14ac:dyDescent="0.25">
      <c r="A161" s="9">
        <v>1631</v>
      </c>
      <c r="B161" s="8" t="s">
        <v>83</v>
      </c>
    </row>
    <row r="162" spans="1:2" x14ac:dyDescent="0.25">
      <c r="A162" s="9">
        <v>1632</v>
      </c>
      <c r="B162" s="8" t="s">
        <v>84</v>
      </c>
    </row>
    <row r="163" spans="1:2" x14ac:dyDescent="0.25">
      <c r="A163" s="9">
        <v>1633</v>
      </c>
      <c r="B163" s="8" t="s">
        <v>85</v>
      </c>
    </row>
    <row r="164" spans="1:2" x14ac:dyDescent="0.25">
      <c r="A164" s="7">
        <v>164</v>
      </c>
      <c r="B164" s="8" t="s">
        <v>86</v>
      </c>
    </row>
    <row r="165" spans="1:2" x14ac:dyDescent="0.25">
      <c r="A165" s="9">
        <v>1641</v>
      </c>
      <c r="B165" s="8" t="s">
        <v>87</v>
      </c>
    </row>
    <row r="166" spans="1:2" x14ac:dyDescent="0.25">
      <c r="A166" s="9">
        <v>1642</v>
      </c>
      <c r="B166" s="8" t="s">
        <v>88</v>
      </c>
    </row>
    <row r="167" spans="1:2" x14ac:dyDescent="0.25">
      <c r="A167" s="9">
        <v>1644</v>
      </c>
      <c r="B167" s="8" t="s">
        <v>89</v>
      </c>
    </row>
    <row r="168" spans="1:2" x14ac:dyDescent="0.25">
      <c r="A168" s="9">
        <v>1649</v>
      </c>
      <c r="B168" s="8" t="s">
        <v>90</v>
      </c>
    </row>
    <row r="169" spans="1:2" x14ac:dyDescent="0.25">
      <c r="A169" s="7">
        <v>165</v>
      </c>
      <c r="B169" s="8" t="s">
        <v>91</v>
      </c>
    </row>
    <row r="170" spans="1:2" x14ac:dyDescent="0.25">
      <c r="A170" s="9">
        <v>1651</v>
      </c>
      <c r="B170" s="8" t="s">
        <v>92</v>
      </c>
    </row>
    <row r="171" spans="1:2" x14ac:dyDescent="0.25">
      <c r="A171" s="9">
        <v>1652</v>
      </c>
      <c r="B171" s="8" t="s">
        <v>93</v>
      </c>
    </row>
    <row r="172" spans="1:2" x14ac:dyDescent="0.25">
      <c r="A172" s="9">
        <v>1653</v>
      </c>
      <c r="B172" s="8" t="s">
        <v>94</v>
      </c>
    </row>
    <row r="173" spans="1:2" x14ac:dyDescent="0.25">
      <c r="A173" s="10">
        <v>16531</v>
      </c>
      <c r="B173" s="8" t="s">
        <v>95</v>
      </c>
    </row>
    <row r="174" spans="1:2" x14ac:dyDescent="0.25">
      <c r="A174" s="9">
        <v>1654</v>
      </c>
      <c r="B174" s="8" t="s">
        <v>96</v>
      </c>
    </row>
    <row r="175" spans="1:2" x14ac:dyDescent="0.25">
      <c r="A175" s="9">
        <v>1655</v>
      </c>
      <c r="B175" s="8" t="s">
        <v>97</v>
      </c>
    </row>
    <row r="176" spans="1:2" x14ac:dyDescent="0.25">
      <c r="A176" s="7">
        <v>166</v>
      </c>
      <c r="B176" s="8" t="s">
        <v>98</v>
      </c>
    </row>
    <row r="177" spans="1:2" x14ac:dyDescent="0.25">
      <c r="A177" s="9">
        <v>1661</v>
      </c>
      <c r="B177" s="8" t="s">
        <v>99</v>
      </c>
    </row>
    <row r="178" spans="1:2" x14ac:dyDescent="0.25">
      <c r="A178" s="9">
        <v>1662</v>
      </c>
      <c r="B178" s="8" t="s">
        <v>100</v>
      </c>
    </row>
    <row r="179" spans="1:2" x14ac:dyDescent="0.25">
      <c r="A179" s="10">
        <v>16621</v>
      </c>
      <c r="B179" s="8" t="s">
        <v>101</v>
      </c>
    </row>
    <row r="180" spans="1:2" x14ac:dyDescent="0.25">
      <c r="A180" s="10">
        <v>16622</v>
      </c>
      <c r="B180" s="8" t="s">
        <v>102</v>
      </c>
    </row>
    <row r="181" spans="1:2" x14ac:dyDescent="0.25">
      <c r="A181" s="7">
        <v>168</v>
      </c>
      <c r="B181" s="8" t="s">
        <v>103</v>
      </c>
    </row>
    <row r="182" spans="1:2" x14ac:dyDescent="0.25">
      <c r="A182" s="9">
        <v>1681</v>
      </c>
      <c r="B182" s="8" t="s">
        <v>104</v>
      </c>
    </row>
    <row r="183" spans="1:2" x14ac:dyDescent="0.25">
      <c r="A183" s="9">
        <v>1682</v>
      </c>
      <c r="B183" s="8" t="s">
        <v>105</v>
      </c>
    </row>
    <row r="184" spans="1:2" x14ac:dyDescent="0.25">
      <c r="A184" s="11">
        <v>17</v>
      </c>
      <c r="B184" s="12" t="s">
        <v>106</v>
      </c>
    </row>
    <row r="185" spans="1:2" x14ac:dyDescent="0.25">
      <c r="A185" s="7">
        <v>171</v>
      </c>
      <c r="B185" s="8" t="s">
        <v>62</v>
      </c>
    </row>
    <row r="186" spans="1:2" x14ac:dyDescent="0.25">
      <c r="A186" s="9">
        <v>1711</v>
      </c>
      <c r="B186" s="8" t="s">
        <v>74</v>
      </c>
    </row>
    <row r="187" spans="1:2" x14ac:dyDescent="0.25">
      <c r="A187" s="10">
        <v>17111</v>
      </c>
      <c r="B187" s="8" t="s">
        <v>53</v>
      </c>
    </row>
    <row r="188" spans="1:2" x14ac:dyDescent="0.25">
      <c r="A188" s="10">
        <v>17112</v>
      </c>
      <c r="B188" s="8" t="s">
        <v>54</v>
      </c>
    </row>
    <row r="189" spans="1:2" x14ac:dyDescent="0.25">
      <c r="A189" s="10">
        <v>17113</v>
      </c>
      <c r="B189" s="8" t="s">
        <v>55</v>
      </c>
    </row>
    <row r="190" spans="1:2" x14ac:dyDescent="0.25">
      <c r="A190" s="10">
        <v>17114</v>
      </c>
      <c r="B190" s="13" t="s">
        <v>56</v>
      </c>
    </row>
    <row r="191" spans="1:2" x14ac:dyDescent="0.25">
      <c r="A191" s="10">
        <v>17115</v>
      </c>
      <c r="B191" s="13" t="s">
        <v>57</v>
      </c>
    </row>
    <row r="192" spans="1:2" x14ac:dyDescent="0.25">
      <c r="A192" s="9">
        <v>1712</v>
      </c>
      <c r="B192" s="8" t="s">
        <v>75</v>
      </c>
    </row>
    <row r="193" spans="1:2" x14ac:dyDescent="0.25">
      <c r="A193" s="10">
        <v>17121</v>
      </c>
      <c r="B193" s="13" t="s">
        <v>53</v>
      </c>
    </row>
    <row r="194" spans="1:2" x14ac:dyDescent="0.25">
      <c r="A194" s="10">
        <v>17122</v>
      </c>
      <c r="B194" s="8" t="s">
        <v>54</v>
      </c>
    </row>
    <row r="195" spans="1:2" x14ac:dyDescent="0.25">
      <c r="A195" s="10">
        <v>17123</v>
      </c>
      <c r="B195" s="8" t="s">
        <v>55</v>
      </c>
    </row>
    <row r="196" spans="1:2" x14ac:dyDescent="0.25">
      <c r="A196" s="10">
        <v>17124</v>
      </c>
      <c r="B196" s="8" t="s">
        <v>56</v>
      </c>
    </row>
    <row r="197" spans="1:2" x14ac:dyDescent="0.25">
      <c r="A197" s="10">
        <v>17125</v>
      </c>
      <c r="B197" s="8" t="s">
        <v>57</v>
      </c>
    </row>
    <row r="198" spans="1:2" x14ac:dyDescent="0.25">
      <c r="A198" s="7">
        <v>173</v>
      </c>
      <c r="B198" s="8" t="s">
        <v>82</v>
      </c>
    </row>
    <row r="199" spans="1:2" x14ac:dyDescent="0.25">
      <c r="A199" s="9">
        <v>1731</v>
      </c>
      <c r="B199" s="8" t="s">
        <v>83</v>
      </c>
    </row>
    <row r="200" spans="1:2" x14ac:dyDescent="0.25">
      <c r="A200" s="10">
        <v>17311</v>
      </c>
      <c r="B200" s="8" t="s">
        <v>53</v>
      </c>
    </row>
    <row r="201" spans="1:2" x14ac:dyDescent="0.25">
      <c r="A201" s="10">
        <v>17312</v>
      </c>
      <c r="B201" s="8" t="s">
        <v>54</v>
      </c>
    </row>
    <row r="202" spans="1:2" x14ac:dyDescent="0.25">
      <c r="A202" s="10">
        <v>17313</v>
      </c>
      <c r="B202" s="8" t="s">
        <v>55</v>
      </c>
    </row>
    <row r="203" spans="1:2" x14ac:dyDescent="0.25">
      <c r="A203" s="10">
        <v>17314</v>
      </c>
      <c r="B203" s="13" t="s">
        <v>56</v>
      </c>
    </row>
    <row r="204" spans="1:2" x14ac:dyDescent="0.25">
      <c r="A204" s="10">
        <v>17315</v>
      </c>
      <c r="B204" s="13" t="s">
        <v>57</v>
      </c>
    </row>
    <row r="205" spans="1:2" x14ac:dyDescent="0.25">
      <c r="A205" s="9">
        <v>1732</v>
      </c>
      <c r="B205" s="13" t="s">
        <v>84</v>
      </c>
    </row>
    <row r="206" spans="1:2" x14ac:dyDescent="0.25">
      <c r="A206" s="10">
        <v>17321</v>
      </c>
      <c r="B206" s="8" t="s">
        <v>53</v>
      </c>
    </row>
    <row r="207" spans="1:2" x14ac:dyDescent="0.25">
      <c r="A207" s="10">
        <v>17322</v>
      </c>
      <c r="B207" s="8" t="s">
        <v>54</v>
      </c>
    </row>
    <row r="208" spans="1:2" x14ac:dyDescent="0.25">
      <c r="A208" s="10">
        <v>17323</v>
      </c>
      <c r="B208" s="8" t="s">
        <v>55</v>
      </c>
    </row>
    <row r="209" spans="1:2" x14ac:dyDescent="0.25">
      <c r="A209" s="10">
        <v>17324</v>
      </c>
      <c r="B209" s="8" t="s">
        <v>56</v>
      </c>
    </row>
    <row r="210" spans="1:2" x14ac:dyDescent="0.25">
      <c r="A210" s="10">
        <v>17325</v>
      </c>
      <c r="B210" s="8" t="s">
        <v>57</v>
      </c>
    </row>
    <row r="211" spans="1:2" x14ac:dyDescent="0.25">
      <c r="A211" s="9">
        <v>1733</v>
      </c>
      <c r="B211" s="8" t="s">
        <v>85</v>
      </c>
    </row>
    <row r="212" spans="1:2" x14ac:dyDescent="0.25">
      <c r="A212" s="10">
        <v>17331</v>
      </c>
      <c r="B212" s="8" t="s">
        <v>53</v>
      </c>
    </row>
    <row r="213" spans="1:2" x14ac:dyDescent="0.25">
      <c r="A213" s="10">
        <v>17332</v>
      </c>
      <c r="B213" s="8" t="s">
        <v>54</v>
      </c>
    </row>
    <row r="214" spans="1:2" x14ac:dyDescent="0.25">
      <c r="A214" s="10">
        <v>17333</v>
      </c>
      <c r="B214" s="8" t="s">
        <v>55</v>
      </c>
    </row>
    <row r="215" spans="1:2" x14ac:dyDescent="0.25">
      <c r="A215" s="10">
        <v>17334</v>
      </c>
      <c r="B215" s="8" t="s">
        <v>57</v>
      </c>
    </row>
    <row r="216" spans="1:2" x14ac:dyDescent="0.25">
      <c r="A216" s="7">
        <v>174</v>
      </c>
      <c r="B216" s="8" t="s">
        <v>86</v>
      </c>
    </row>
    <row r="217" spans="1:2" x14ac:dyDescent="0.25">
      <c r="A217" s="7">
        <v>175</v>
      </c>
      <c r="B217" s="8" t="s">
        <v>91</v>
      </c>
    </row>
    <row r="218" spans="1:2" x14ac:dyDescent="0.25">
      <c r="A218" s="9">
        <v>1751</v>
      </c>
      <c r="B218" s="8" t="s">
        <v>92</v>
      </c>
    </row>
    <row r="219" spans="1:2" x14ac:dyDescent="0.25">
      <c r="A219" s="9">
        <v>1752</v>
      </c>
      <c r="B219" s="8" t="s">
        <v>93</v>
      </c>
    </row>
    <row r="220" spans="1:2" x14ac:dyDescent="0.25">
      <c r="A220" s="9">
        <v>1753</v>
      </c>
      <c r="B220" s="8" t="s">
        <v>94</v>
      </c>
    </row>
    <row r="221" spans="1:2" x14ac:dyDescent="0.25">
      <c r="A221" s="9">
        <v>1754</v>
      </c>
      <c r="B221" s="8" t="s">
        <v>96</v>
      </c>
    </row>
    <row r="222" spans="1:2" x14ac:dyDescent="0.25">
      <c r="A222" s="9">
        <v>1755</v>
      </c>
      <c r="B222" s="8" t="s">
        <v>97</v>
      </c>
    </row>
    <row r="223" spans="1:2" x14ac:dyDescent="0.25">
      <c r="A223" s="7">
        <v>176</v>
      </c>
      <c r="B223" s="8" t="s">
        <v>98</v>
      </c>
    </row>
    <row r="224" spans="1:2" x14ac:dyDescent="0.25">
      <c r="A224" s="7">
        <v>178</v>
      </c>
      <c r="B224" s="8" t="s">
        <v>107</v>
      </c>
    </row>
    <row r="225" spans="1:2" x14ac:dyDescent="0.25">
      <c r="A225" s="11">
        <v>18</v>
      </c>
      <c r="B225" s="12" t="s">
        <v>108</v>
      </c>
    </row>
    <row r="226" spans="1:2" x14ac:dyDescent="0.25">
      <c r="A226" s="7">
        <v>181</v>
      </c>
      <c r="B226" s="8" t="s">
        <v>109</v>
      </c>
    </row>
    <row r="227" spans="1:2" x14ac:dyDescent="0.25">
      <c r="A227" s="7">
        <v>182</v>
      </c>
      <c r="B227" s="8" t="s">
        <v>110</v>
      </c>
    </row>
    <row r="228" spans="1:2" x14ac:dyDescent="0.25">
      <c r="A228" s="9">
        <v>1821</v>
      </c>
      <c r="B228" s="8" t="s">
        <v>111</v>
      </c>
    </row>
    <row r="229" spans="1:2" x14ac:dyDescent="0.25">
      <c r="A229" s="10">
        <v>18211</v>
      </c>
      <c r="B229" s="8" t="s">
        <v>112</v>
      </c>
    </row>
    <row r="230" spans="1:2" x14ac:dyDescent="0.25">
      <c r="A230" s="10">
        <v>18212</v>
      </c>
      <c r="B230" s="8" t="s">
        <v>113</v>
      </c>
    </row>
    <row r="231" spans="1:2" x14ac:dyDescent="0.25">
      <c r="A231" s="9">
        <v>1822</v>
      </c>
      <c r="B231" s="8" t="s">
        <v>114</v>
      </c>
    </row>
    <row r="232" spans="1:2" x14ac:dyDescent="0.25">
      <c r="A232" s="9">
        <v>1823</v>
      </c>
      <c r="B232" s="8" t="s">
        <v>115</v>
      </c>
    </row>
    <row r="233" spans="1:2" x14ac:dyDescent="0.25">
      <c r="A233" s="9">
        <v>1825</v>
      </c>
      <c r="B233" s="8" t="s">
        <v>116</v>
      </c>
    </row>
    <row r="234" spans="1:2" x14ac:dyDescent="0.25">
      <c r="A234" s="7">
        <v>183</v>
      </c>
      <c r="B234" s="8" t="s">
        <v>117</v>
      </c>
    </row>
    <row r="235" spans="1:2" x14ac:dyDescent="0.25">
      <c r="A235" s="9">
        <v>1831</v>
      </c>
      <c r="B235" s="8" t="s">
        <v>118</v>
      </c>
    </row>
    <row r="236" spans="1:2" x14ac:dyDescent="0.25">
      <c r="A236" s="10">
        <v>18311</v>
      </c>
      <c r="B236" s="8" t="s">
        <v>119</v>
      </c>
    </row>
    <row r="237" spans="1:2" x14ac:dyDescent="0.25">
      <c r="A237" s="7">
        <v>184</v>
      </c>
      <c r="B237" s="8" t="s">
        <v>120</v>
      </c>
    </row>
    <row r="238" spans="1:2" x14ac:dyDescent="0.25">
      <c r="A238" s="7">
        <v>185</v>
      </c>
      <c r="B238" s="8" t="s">
        <v>121</v>
      </c>
    </row>
    <row r="239" spans="1:2" x14ac:dyDescent="0.25">
      <c r="A239" s="7">
        <v>189</v>
      </c>
      <c r="B239" s="8" t="s">
        <v>122</v>
      </c>
    </row>
    <row r="240" spans="1:2" x14ac:dyDescent="0.25">
      <c r="A240" s="9">
        <v>1891</v>
      </c>
      <c r="B240" s="8" t="s">
        <v>123</v>
      </c>
    </row>
    <row r="241" spans="1:2" x14ac:dyDescent="0.25">
      <c r="A241" s="9">
        <v>1893</v>
      </c>
      <c r="B241" s="8" t="s">
        <v>124</v>
      </c>
    </row>
    <row r="242" spans="1:2" x14ac:dyDescent="0.25">
      <c r="A242" s="11">
        <v>19</v>
      </c>
      <c r="B242" s="12" t="s">
        <v>125</v>
      </c>
    </row>
    <row r="243" spans="1:2" x14ac:dyDescent="0.25">
      <c r="A243" s="7">
        <v>191</v>
      </c>
      <c r="B243" s="8" t="s">
        <v>126</v>
      </c>
    </row>
    <row r="244" spans="1:2" x14ac:dyDescent="0.25">
      <c r="A244" s="9">
        <v>1911</v>
      </c>
      <c r="B244" s="8" t="s">
        <v>127</v>
      </c>
    </row>
    <row r="245" spans="1:2" x14ac:dyDescent="0.25">
      <c r="A245" s="9">
        <v>1913</v>
      </c>
      <c r="B245" s="8" t="s">
        <v>128</v>
      </c>
    </row>
    <row r="246" spans="1:2" x14ac:dyDescent="0.25">
      <c r="A246" s="7">
        <v>192</v>
      </c>
      <c r="B246" s="8" t="s">
        <v>129</v>
      </c>
    </row>
    <row r="247" spans="1:2" x14ac:dyDescent="0.25">
      <c r="A247" s="9">
        <v>1921</v>
      </c>
      <c r="B247" s="8" t="s">
        <v>127</v>
      </c>
    </row>
    <row r="248" spans="1:2" x14ac:dyDescent="0.25">
      <c r="A248" s="9">
        <v>1922</v>
      </c>
      <c r="B248" s="8" t="s">
        <v>128</v>
      </c>
    </row>
    <row r="249" spans="1:2" x14ac:dyDescent="0.25">
      <c r="A249" s="7">
        <v>193</v>
      </c>
      <c r="B249" s="8" t="s">
        <v>130</v>
      </c>
    </row>
    <row r="250" spans="1:2" x14ac:dyDescent="0.25">
      <c r="A250" s="9">
        <v>1931</v>
      </c>
      <c r="B250" s="8" t="s">
        <v>61</v>
      </c>
    </row>
    <row r="251" spans="1:2" x14ac:dyDescent="0.25">
      <c r="A251" s="9">
        <v>1932</v>
      </c>
      <c r="B251" s="8" t="s">
        <v>131</v>
      </c>
    </row>
    <row r="252" spans="1:2" x14ac:dyDescent="0.25">
      <c r="A252" s="9">
        <v>1933</v>
      </c>
      <c r="B252" s="8" t="s">
        <v>68</v>
      </c>
    </row>
    <row r="253" spans="1:2" x14ac:dyDescent="0.25">
      <c r="A253" s="9">
        <v>1934</v>
      </c>
      <c r="B253" s="8" t="s">
        <v>70</v>
      </c>
    </row>
    <row r="254" spans="1:2" x14ac:dyDescent="0.25">
      <c r="A254" s="9">
        <v>1938</v>
      </c>
      <c r="B254" s="8" t="s">
        <v>72</v>
      </c>
    </row>
    <row r="255" spans="1:2" x14ac:dyDescent="0.25">
      <c r="A255" s="7">
        <v>194</v>
      </c>
      <c r="B255" s="8" t="s">
        <v>132</v>
      </c>
    </row>
    <row r="256" spans="1:2" x14ac:dyDescent="0.25">
      <c r="A256" s="9">
        <v>1941</v>
      </c>
      <c r="B256" s="8" t="s">
        <v>62</v>
      </c>
    </row>
    <row r="257" spans="1:2" x14ac:dyDescent="0.25">
      <c r="A257" s="9">
        <v>1942</v>
      </c>
      <c r="B257" s="8" t="s">
        <v>133</v>
      </c>
    </row>
    <row r="258" spans="1:2" x14ac:dyDescent="0.25">
      <c r="A258" s="9">
        <v>1943</v>
      </c>
      <c r="B258" s="8" t="s">
        <v>134</v>
      </c>
    </row>
    <row r="259" spans="1:2" x14ac:dyDescent="0.25">
      <c r="A259" s="9">
        <v>1944</v>
      </c>
      <c r="B259" s="8" t="s">
        <v>135</v>
      </c>
    </row>
    <row r="260" spans="1:2" x14ac:dyDescent="0.25">
      <c r="A260" s="9">
        <v>1945</v>
      </c>
      <c r="B260" s="8" t="s">
        <v>136</v>
      </c>
    </row>
    <row r="261" spans="1:2" x14ac:dyDescent="0.25">
      <c r="A261" s="9">
        <v>1946</v>
      </c>
      <c r="B261" s="8" t="s">
        <v>137</v>
      </c>
    </row>
    <row r="262" spans="1:2" x14ac:dyDescent="0.25">
      <c r="A262" s="9">
        <v>1949</v>
      </c>
      <c r="B262" s="8" t="s">
        <v>105</v>
      </c>
    </row>
    <row r="263" spans="1:2" x14ac:dyDescent="0.25">
      <c r="A263" s="7">
        <v>195</v>
      </c>
      <c r="B263" s="8" t="s">
        <v>138</v>
      </c>
    </row>
    <row r="264" spans="1:2" x14ac:dyDescent="0.25">
      <c r="A264" s="9">
        <v>1951</v>
      </c>
      <c r="B264" s="8" t="s">
        <v>62</v>
      </c>
    </row>
    <row r="265" spans="1:2" x14ac:dyDescent="0.25">
      <c r="A265" s="9">
        <v>1953</v>
      </c>
      <c r="B265" s="8" t="s">
        <v>139</v>
      </c>
    </row>
    <row r="266" spans="1:2" x14ac:dyDescent="0.25">
      <c r="A266" s="9">
        <v>1954</v>
      </c>
      <c r="B266" s="8" t="s">
        <v>135</v>
      </c>
    </row>
    <row r="267" spans="1:2" x14ac:dyDescent="0.25">
      <c r="A267" s="9">
        <v>1955</v>
      </c>
      <c r="B267" s="8" t="s">
        <v>136</v>
      </c>
    </row>
    <row r="268" spans="1:2" x14ac:dyDescent="0.25">
      <c r="A268" s="9">
        <v>1956</v>
      </c>
      <c r="B268" s="8" t="s">
        <v>137</v>
      </c>
    </row>
    <row r="269" spans="1:2" x14ac:dyDescent="0.25">
      <c r="A269" s="9">
        <v>1958</v>
      </c>
      <c r="B269" s="8" t="s">
        <v>105</v>
      </c>
    </row>
    <row r="270" spans="1:2" x14ac:dyDescent="0.25">
      <c r="A270" s="11">
        <v>20</v>
      </c>
      <c r="B270" s="12" t="s">
        <v>140</v>
      </c>
    </row>
    <row r="271" spans="1:2" x14ac:dyDescent="0.25">
      <c r="A271" s="7">
        <v>201</v>
      </c>
      <c r="B271" s="8" t="s">
        <v>141</v>
      </c>
    </row>
    <row r="272" spans="1:2" x14ac:dyDescent="0.25">
      <c r="A272" s="9">
        <v>2011</v>
      </c>
      <c r="B272" s="13" t="s">
        <v>142</v>
      </c>
    </row>
    <row r="273" spans="1:2" x14ac:dyDescent="0.25">
      <c r="A273" s="10">
        <v>20111</v>
      </c>
      <c r="B273" s="13" t="s">
        <v>143</v>
      </c>
    </row>
    <row r="274" spans="1:2" x14ac:dyDescent="0.25">
      <c r="A274" s="10">
        <v>20112</v>
      </c>
      <c r="B274" s="13" t="s">
        <v>32</v>
      </c>
    </row>
    <row r="275" spans="1:2" x14ac:dyDescent="0.25">
      <c r="A275" s="7">
        <v>202</v>
      </c>
      <c r="B275" s="8" t="s">
        <v>144</v>
      </c>
    </row>
    <row r="276" spans="1:2" x14ac:dyDescent="0.25">
      <c r="A276" s="7">
        <v>203</v>
      </c>
      <c r="B276" s="8" t="s">
        <v>145</v>
      </c>
    </row>
    <row r="277" spans="1:2" x14ac:dyDescent="0.25">
      <c r="A277" s="9">
        <v>2031</v>
      </c>
      <c r="B277" s="8" t="s">
        <v>146</v>
      </c>
    </row>
    <row r="278" spans="1:2" x14ac:dyDescent="0.25">
      <c r="A278" s="9">
        <v>2032</v>
      </c>
      <c r="B278" s="8" t="s">
        <v>147</v>
      </c>
    </row>
    <row r="279" spans="1:2" x14ac:dyDescent="0.25">
      <c r="A279" s="7">
        <v>204</v>
      </c>
      <c r="B279" s="8" t="s">
        <v>148</v>
      </c>
    </row>
    <row r="280" spans="1:2" x14ac:dyDescent="0.25">
      <c r="A280" s="7">
        <v>208</v>
      </c>
      <c r="B280" s="8" t="s">
        <v>149</v>
      </c>
    </row>
    <row r="281" spans="1:2" x14ac:dyDescent="0.25">
      <c r="A281" s="11">
        <v>21</v>
      </c>
      <c r="B281" s="12" t="s">
        <v>150</v>
      </c>
    </row>
    <row r="282" spans="1:2" x14ac:dyDescent="0.25">
      <c r="A282" s="7">
        <v>211</v>
      </c>
      <c r="B282" s="8" t="s">
        <v>151</v>
      </c>
    </row>
    <row r="283" spans="1:2" x14ac:dyDescent="0.25">
      <c r="A283" s="7">
        <v>212</v>
      </c>
      <c r="B283" s="8" t="s">
        <v>152</v>
      </c>
    </row>
    <row r="284" spans="1:2" x14ac:dyDescent="0.25">
      <c r="A284" s="7">
        <v>2124</v>
      </c>
      <c r="B284" s="8" t="s">
        <v>153</v>
      </c>
    </row>
    <row r="285" spans="1:2" x14ac:dyDescent="0.25">
      <c r="A285" s="7">
        <v>2123</v>
      </c>
      <c r="B285" s="8" t="s">
        <v>154</v>
      </c>
    </row>
    <row r="286" spans="1:2" x14ac:dyDescent="0.25">
      <c r="A286" s="7">
        <v>2122</v>
      </c>
      <c r="B286" s="8" t="s">
        <v>155</v>
      </c>
    </row>
    <row r="287" spans="1:2" x14ac:dyDescent="0.25">
      <c r="A287" s="7">
        <v>2121</v>
      </c>
      <c r="B287" s="8" t="s">
        <v>156</v>
      </c>
    </row>
    <row r="288" spans="1:2" x14ac:dyDescent="0.25">
      <c r="A288" s="7">
        <v>213</v>
      </c>
      <c r="B288" s="8" t="s">
        <v>157</v>
      </c>
    </row>
    <row r="289" spans="1:2" x14ac:dyDescent="0.25">
      <c r="A289" s="9">
        <v>2131</v>
      </c>
      <c r="B289" s="8" t="s">
        <v>146</v>
      </c>
    </row>
    <row r="290" spans="1:2" x14ac:dyDescent="0.25">
      <c r="A290" s="10">
        <v>21311</v>
      </c>
      <c r="B290" s="8" t="s">
        <v>31</v>
      </c>
    </row>
    <row r="291" spans="1:2" x14ac:dyDescent="0.25">
      <c r="A291" s="10">
        <v>21312</v>
      </c>
      <c r="B291" s="8" t="s">
        <v>32</v>
      </c>
    </row>
    <row r="292" spans="1:2" x14ac:dyDescent="0.25">
      <c r="A292" s="9">
        <v>2132</v>
      </c>
      <c r="B292" s="8" t="s">
        <v>147</v>
      </c>
    </row>
    <row r="293" spans="1:2" x14ac:dyDescent="0.25">
      <c r="A293" s="10">
        <v>21321</v>
      </c>
      <c r="B293" s="8" t="s">
        <v>31</v>
      </c>
    </row>
    <row r="294" spans="1:2" x14ac:dyDescent="0.25">
      <c r="A294" s="10">
        <v>21322</v>
      </c>
      <c r="B294" s="8" t="s">
        <v>32</v>
      </c>
    </row>
    <row r="295" spans="1:2" x14ac:dyDescent="0.25">
      <c r="A295" s="7">
        <v>214</v>
      </c>
      <c r="B295" s="8" t="s">
        <v>158</v>
      </c>
    </row>
    <row r="296" spans="1:2" x14ac:dyDescent="0.25">
      <c r="A296" s="7">
        <v>215</v>
      </c>
      <c r="B296" s="8" t="s">
        <v>159</v>
      </c>
    </row>
    <row r="297" spans="1:2" x14ac:dyDescent="0.25">
      <c r="A297" s="7">
        <v>217</v>
      </c>
      <c r="B297" s="8" t="s">
        <v>160</v>
      </c>
    </row>
    <row r="298" spans="1:2" x14ac:dyDescent="0.25">
      <c r="A298" s="7">
        <v>218</v>
      </c>
      <c r="B298" s="8" t="s">
        <v>161</v>
      </c>
    </row>
    <row r="299" spans="1:2" x14ac:dyDescent="0.25">
      <c r="A299" s="11">
        <v>22</v>
      </c>
      <c r="B299" s="12" t="s">
        <v>162</v>
      </c>
    </row>
    <row r="300" spans="1:2" x14ac:dyDescent="0.25">
      <c r="A300" s="7">
        <v>221</v>
      </c>
      <c r="B300" s="8" t="s">
        <v>163</v>
      </c>
    </row>
    <row r="301" spans="1:2" x14ac:dyDescent="0.25">
      <c r="A301" s="7">
        <v>222</v>
      </c>
      <c r="B301" s="8" t="s">
        <v>164</v>
      </c>
    </row>
    <row r="302" spans="1:2" x14ac:dyDescent="0.25">
      <c r="A302" s="11">
        <v>23</v>
      </c>
      <c r="B302" s="12" t="s">
        <v>165</v>
      </c>
    </row>
    <row r="303" spans="1:2" x14ac:dyDescent="0.25">
      <c r="A303" s="7">
        <v>231</v>
      </c>
      <c r="B303" s="8" t="s">
        <v>166</v>
      </c>
    </row>
    <row r="304" spans="1:2" x14ac:dyDescent="0.25">
      <c r="A304" s="7">
        <v>232</v>
      </c>
      <c r="B304" s="8" t="s">
        <v>167</v>
      </c>
    </row>
    <row r="305" spans="1:2" x14ac:dyDescent="0.25">
      <c r="A305" s="7">
        <v>233</v>
      </c>
      <c r="B305" s="8" t="s">
        <v>168</v>
      </c>
    </row>
    <row r="306" spans="1:2" x14ac:dyDescent="0.25">
      <c r="A306" s="9">
        <v>2331</v>
      </c>
      <c r="B306" s="8" t="s">
        <v>146</v>
      </c>
    </row>
    <row r="307" spans="1:2" x14ac:dyDescent="0.25">
      <c r="A307" s="10">
        <v>23311</v>
      </c>
      <c r="B307" s="8" t="s">
        <v>31</v>
      </c>
    </row>
    <row r="308" spans="1:2" x14ac:dyDescent="0.25">
      <c r="A308" s="10">
        <v>23312</v>
      </c>
      <c r="B308" s="8" t="s">
        <v>32</v>
      </c>
    </row>
    <row r="309" spans="1:2" x14ac:dyDescent="0.25">
      <c r="A309" s="9">
        <v>2332</v>
      </c>
      <c r="B309" s="8" t="s">
        <v>147</v>
      </c>
    </row>
    <row r="310" spans="1:2" x14ac:dyDescent="0.25">
      <c r="A310" s="10">
        <v>23321</v>
      </c>
      <c r="B310" s="8" t="s">
        <v>31</v>
      </c>
    </row>
    <row r="311" spans="1:2" x14ac:dyDescent="0.25">
      <c r="A311" s="10">
        <v>23322</v>
      </c>
      <c r="B311" s="8" t="s">
        <v>32</v>
      </c>
    </row>
    <row r="312" spans="1:2" x14ac:dyDescent="0.25">
      <c r="A312" s="7">
        <v>234</v>
      </c>
      <c r="B312" s="8" t="s">
        <v>169</v>
      </c>
    </row>
    <row r="313" spans="1:2" x14ac:dyDescent="0.25">
      <c r="A313" s="7">
        <v>235</v>
      </c>
      <c r="B313" s="8" t="s">
        <v>170</v>
      </c>
    </row>
    <row r="314" spans="1:2" x14ac:dyDescent="0.25">
      <c r="A314" s="7">
        <v>237</v>
      </c>
      <c r="B314" s="8" t="s">
        <v>171</v>
      </c>
    </row>
    <row r="315" spans="1:2" x14ac:dyDescent="0.25">
      <c r="A315" s="7">
        <v>238</v>
      </c>
      <c r="B315" s="8" t="s">
        <v>172</v>
      </c>
    </row>
    <row r="316" spans="1:2" x14ac:dyDescent="0.25">
      <c r="A316" s="11">
        <v>24</v>
      </c>
      <c r="B316" s="12" t="s">
        <v>173</v>
      </c>
    </row>
    <row r="317" spans="1:2" x14ac:dyDescent="0.25">
      <c r="A317" s="7">
        <v>241</v>
      </c>
      <c r="B317" s="8" t="s">
        <v>174</v>
      </c>
    </row>
    <row r="318" spans="1:2" x14ac:dyDescent="0.25">
      <c r="A318" s="7">
        <v>242</v>
      </c>
      <c r="B318" s="8" t="s">
        <v>175</v>
      </c>
    </row>
    <row r="319" spans="1:2" x14ac:dyDescent="0.25">
      <c r="A319" s="7">
        <v>243</v>
      </c>
      <c r="B319" s="8" t="s">
        <v>176</v>
      </c>
    </row>
    <row r="320" spans="1:2" x14ac:dyDescent="0.25">
      <c r="A320" s="7">
        <v>244</v>
      </c>
      <c r="B320" s="8" t="s">
        <v>177</v>
      </c>
    </row>
    <row r="321" spans="1:2" x14ac:dyDescent="0.25">
      <c r="A321" s="11">
        <v>25</v>
      </c>
      <c r="B321" s="12" t="s">
        <v>178</v>
      </c>
    </row>
    <row r="322" spans="1:2" x14ac:dyDescent="0.25">
      <c r="A322" s="7">
        <v>251</v>
      </c>
      <c r="B322" s="8" t="s">
        <v>179</v>
      </c>
    </row>
    <row r="323" spans="1:2" x14ac:dyDescent="0.25">
      <c r="A323" s="7">
        <v>252</v>
      </c>
      <c r="B323" s="8" t="s">
        <v>180</v>
      </c>
    </row>
    <row r="324" spans="1:2" x14ac:dyDescent="0.25">
      <c r="A324" s="9">
        <v>2521</v>
      </c>
      <c r="B324" s="8" t="s">
        <v>181</v>
      </c>
    </row>
    <row r="325" spans="1:2" x14ac:dyDescent="0.25">
      <c r="A325" s="9">
        <v>25211</v>
      </c>
      <c r="B325" s="8" t="s">
        <v>182</v>
      </c>
    </row>
    <row r="326" spans="1:2" x14ac:dyDescent="0.25">
      <c r="A326" s="9">
        <v>2522</v>
      </c>
      <c r="B326" s="8" t="s">
        <v>183</v>
      </c>
    </row>
    <row r="327" spans="1:2" x14ac:dyDescent="0.25">
      <c r="A327" s="9">
        <v>25221</v>
      </c>
      <c r="B327" s="8" t="s">
        <v>184</v>
      </c>
    </row>
    <row r="328" spans="1:2" x14ac:dyDescent="0.25">
      <c r="A328" s="9">
        <v>2523</v>
      </c>
      <c r="B328" s="8" t="s">
        <v>185</v>
      </c>
    </row>
    <row r="329" spans="1:2" x14ac:dyDescent="0.25">
      <c r="A329" s="9">
        <v>2524</v>
      </c>
      <c r="B329" s="8" t="s">
        <v>186</v>
      </c>
    </row>
    <row r="330" spans="1:2" x14ac:dyDescent="0.25">
      <c r="A330" s="10">
        <v>25241</v>
      </c>
      <c r="B330" s="8" t="s">
        <v>187</v>
      </c>
    </row>
    <row r="331" spans="1:2" x14ac:dyDescent="0.25">
      <c r="A331" s="7">
        <v>253</v>
      </c>
      <c r="B331" s="8" t="s">
        <v>188</v>
      </c>
    </row>
    <row r="332" spans="1:2" x14ac:dyDescent="0.25">
      <c r="A332" s="7">
        <v>2536</v>
      </c>
      <c r="B332" s="8" t="s">
        <v>189</v>
      </c>
    </row>
    <row r="333" spans="1:2" x14ac:dyDescent="0.25">
      <c r="A333" s="7">
        <v>2535</v>
      </c>
      <c r="B333" s="8" t="s">
        <v>190</v>
      </c>
    </row>
    <row r="334" spans="1:2" x14ac:dyDescent="0.25">
      <c r="A334" s="7">
        <v>2534</v>
      </c>
      <c r="B334" s="8" t="s">
        <v>191</v>
      </c>
    </row>
    <row r="335" spans="1:2" x14ac:dyDescent="0.25">
      <c r="A335" s="7">
        <v>2533</v>
      </c>
      <c r="B335" s="8" t="s">
        <v>192</v>
      </c>
    </row>
    <row r="336" spans="1:2" x14ac:dyDescent="0.25">
      <c r="A336" s="7">
        <v>2532</v>
      </c>
      <c r="B336" s="8" t="s">
        <v>193</v>
      </c>
    </row>
    <row r="337" spans="1:2" x14ac:dyDescent="0.25">
      <c r="A337" s="7">
        <v>2531</v>
      </c>
      <c r="B337" s="8" t="s">
        <v>194</v>
      </c>
    </row>
    <row r="338" spans="1:2" x14ac:dyDescent="0.25">
      <c r="A338" s="11">
        <v>26</v>
      </c>
      <c r="B338" s="12" t="s">
        <v>195</v>
      </c>
    </row>
    <row r="339" spans="1:2" x14ac:dyDescent="0.25">
      <c r="A339" s="7">
        <v>261</v>
      </c>
      <c r="B339" s="8" t="s">
        <v>196</v>
      </c>
    </row>
    <row r="340" spans="1:2" x14ac:dyDescent="0.25">
      <c r="A340" s="7">
        <v>262</v>
      </c>
      <c r="B340" s="8" t="s">
        <v>197</v>
      </c>
    </row>
    <row r="341" spans="1:2" x14ac:dyDescent="0.25">
      <c r="A341" s="11">
        <v>27</v>
      </c>
      <c r="B341" s="12" t="s">
        <v>198</v>
      </c>
    </row>
    <row r="342" spans="1:2" x14ac:dyDescent="0.25">
      <c r="A342" s="7">
        <v>271</v>
      </c>
      <c r="B342" s="8" t="s">
        <v>199</v>
      </c>
    </row>
    <row r="343" spans="1:2" x14ac:dyDescent="0.25">
      <c r="A343" s="9">
        <v>2711</v>
      </c>
      <c r="B343" s="8" t="s">
        <v>200</v>
      </c>
    </row>
    <row r="344" spans="1:2" x14ac:dyDescent="0.25">
      <c r="A344" s="10">
        <v>27111</v>
      </c>
      <c r="B344" s="8" t="s">
        <v>32</v>
      </c>
    </row>
    <row r="345" spans="1:2" x14ac:dyDescent="0.25">
      <c r="A345" s="10">
        <v>27112</v>
      </c>
      <c r="B345" s="8" t="s">
        <v>31</v>
      </c>
    </row>
    <row r="346" spans="1:2" x14ac:dyDescent="0.25">
      <c r="A346" s="10">
        <v>27113</v>
      </c>
      <c r="B346" s="8" t="s">
        <v>201</v>
      </c>
    </row>
    <row r="347" spans="1:2" x14ac:dyDescent="0.25">
      <c r="A347" s="9">
        <v>2712</v>
      </c>
      <c r="B347" s="8" t="s">
        <v>202</v>
      </c>
    </row>
    <row r="348" spans="1:2" x14ac:dyDescent="0.25">
      <c r="A348" s="10">
        <v>27121</v>
      </c>
      <c r="B348" s="8" t="s">
        <v>32</v>
      </c>
    </row>
    <row r="349" spans="1:2" x14ac:dyDescent="0.25">
      <c r="A349" s="10">
        <v>27122</v>
      </c>
      <c r="B349" s="8" t="s">
        <v>31</v>
      </c>
    </row>
    <row r="350" spans="1:2" x14ac:dyDescent="0.25">
      <c r="A350" s="10">
        <v>27123</v>
      </c>
      <c r="B350" s="8" t="s">
        <v>201</v>
      </c>
    </row>
    <row r="351" spans="1:2" x14ac:dyDescent="0.25">
      <c r="A351" s="10">
        <v>27124</v>
      </c>
      <c r="B351" s="8" t="s">
        <v>203</v>
      </c>
    </row>
    <row r="352" spans="1:2" x14ac:dyDescent="0.25">
      <c r="A352" s="7">
        <v>272</v>
      </c>
      <c r="B352" s="8" t="s">
        <v>204</v>
      </c>
    </row>
    <row r="353" spans="1:2" x14ac:dyDescent="0.25">
      <c r="A353" s="9">
        <v>2721</v>
      </c>
      <c r="B353" s="8" t="s">
        <v>200</v>
      </c>
    </row>
    <row r="354" spans="1:2" x14ac:dyDescent="0.25">
      <c r="A354" s="10">
        <v>27211</v>
      </c>
      <c r="B354" s="8" t="s">
        <v>32</v>
      </c>
    </row>
    <row r="355" spans="1:2" x14ac:dyDescent="0.25">
      <c r="A355" s="10">
        <v>27212</v>
      </c>
      <c r="B355" s="8" t="s">
        <v>31</v>
      </c>
    </row>
    <row r="356" spans="1:2" x14ac:dyDescent="0.25">
      <c r="A356" s="10">
        <v>27213</v>
      </c>
      <c r="B356" s="8" t="s">
        <v>201</v>
      </c>
    </row>
    <row r="357" spans="1:2" x14ac:dyDescent="0.25">
      <c r="A357" s="9">
        <v>2722</v>
      </c>
      <c r="B357" s="8" t="s">
        <v>202</v>
      </c>
    </row>
    <row r="358" spans="1:2" x14ac:dyDescent="0.25">
      <c r="A358" s="10">
        <v>27221</v>
      </c>
      <c r="B358" s="8" t="s">
        <v>205</v>
      </c>
    </row>
    <row r="359" spans="1:2" x14ac:dyDescent="0.25">
      <c r="A359" s="10">
        <v>27222</v>
      </c>
      <c r="B359" s="8" t="s">
        <v>201</v>
      </c>
    </row>
    <row r="360" spans="1:2" x14ac:dyDescent="0.25">
      <c r="A360" s="10">
        <v>27223</v>
      </c>
      <c r="B360" s="8" t="s">
        <v>203</v>
      </c>
    </row>
    <row r="361" spans="1:2" x14ac:dyDescent="0.25">
      <c r="A361" s="9">
        <v>2723</v>
      </c>
      <c r="B361" s="8" t="s">
        <v>206</v>
      </c>
    </row>
    <row r="362" spans="1:2" x14ac:dyDescent="0.25">
      <c r="A362" s="10">
        <v>27231</v>
      </c>
      <c r="B362" s="8" t="s">
        <v>205</v>
      </c>
    </row>
    <row r="363" spans="1:2" x14ac:dyDescent="0.25">
      <c r="A363" s="10">
        <v>27232</v>
      </c>
      <c r="B363" s="8" t="s">
        <v>201</v>
      </c>
    </row>
    <row r="364" spans="1:2" x14ac:dyDescent="0.25">
      <c r="A364" s="10">
        <v>27233</v>
      </c>
      <c r="B364" s="8" t="s">
        <v>203</v>
      </c>
    </row>
    <row r="365" spans="1:2" x14ac:dyDescent="0.25">
      <c r="A365" s="9">
        <v>2724</v>
      </c>
      <c r="B365" s="8" t="s">
        <v>207</v>
      </c>
    </row>
    <row r="366" spans="1:2" x14ac:dyDescent="0.25">
      <c r="A366" s="10">
        <v>27241</v>
      </c>
      <c r="B366" s="8" t="s">
        <v>31</v>
      </c>
    </row>
    <row r="367" spans="1:2" x14ac:dyDescent="0.25">
      <c r="A367" s="10">
        <v>27242</v>
      </c>
      <c r="B367" s="8" t="s">
        <v>201</v>
      </c>
    </row>
    <row r="368" spans="1:2" x14ac:dyDescent="0.25">
      <c r="A368" s="9">
        <v>2725</v>
      </c>
      <c r="B368" s="8" t="s">
        <v>208</v>
      </c>
    </row>
    <row r="369" spans="1:2" x14ac:dyDescent="0.25">
      <c r="A369" s="10">
        <v>27251</v>
      </c>
      <c r="B369" s="8" t="s">
        <v>209</v>
      </c>
    </row>
    <row r="370" spans="1:2" x14ac:dyDescent="0.25">
      <c r="A370" s="10">
        <v>27252</v>
      </c>
      <c r="B370" s="8" t="s">
        <v>201</v>
      </c>
    </row>
    <row r="371" spans="1:2" x14ac:dyDescent="0.25">
      <c r="A371" s="9">
        <v>2726</v>
      </c>
      <c r="B371" s="8" t="s">
        <v>210</v>
      </c>
    </row>
    <row r="372" spans="1:2" x14ac:dyDescent="0.25">
      <c r="A372" s="10">
        <v>27261</v>
      </c>
      <c r="B372" s="8" t="s">
        <v>31</v>
      </c>
    </row>
    <row r="373" spans="1:2" x14ac:dyDescent="0.25">
      <c r="A373" s="10">
        <v>27262</v>
      </c>
      <c r="B373" s="8" t="s">
        <v>201</v>
      </c>
    </row>
    <row r="374" spans="1:2" x14ac:dyDescent="0.25">
      <c r="A374" s="9">
        <v>2727</v>
      </c>
      <c r="B374" s="8" t="s">
        <v>211</v>
      </c>
    </row>
    <row r="375" spans="1:2" x14ac:dyDescent="0.25">
      <c r="A375" s="10">
        <v>27271</v>
      </c>
      <c r="B375" s="8" t="s">
        <v>31</v>
      </c>
    </row>
    <row r="376" spans="1:2" x14ac:dyDescent="0.25">
      <c r="A376" s="10">
        <v>27272</v>
      </c>
      <c r="B376" s="8" t="s">
        <v>201</v>
      </c>
    </row>
    <row r="377" spans="1:2" x14ac:dyDescent="0.25">
      <c r="A377" s="7">
        <v>273</v>
      </c>
      <c r="B377" s="8" t="s">
        <v>96</v>
      </c>
    </row>
    <row r="378" spans="1:2" x14ac:dyDescent="0.25">
      <c r="A378" s="9">
        <v>2731</v>
      </c>
      <c r="B378" s="8" t="s">
        <v>212</v>
      </c>
    </row>
    <row r="379" spans="1:2" x14ac:dyDescent="0.25">
      <c r="A379" s="10">
        <v>27311</v>
      </c>
      <c r="B379" s="8" t="s">
        <v>31</v>
      </c>
    </row>
    <row r="380" spans="1:2" x14ac:dyDescent="0.25">
      <c r="A380" s="10">
        <v>27312</v>
      </c>
      <c r="B380" s="8" t="s">
        <v>201</v>
      </c>
    </row>
    <row r="381" spans="1:2" x14ac:dyDescent="0.25">
      <c r="A381" s="9">
        <v>2732</v>
      </c>
      <c r="B381" s="8" t="s">
        <v>213</v>
      </c>
    </row>
    <row r="382" spans="1:2" x14ac:dyDescent="0.25">
      <c r="A382" s="10">
        <v>27321</v>
      </c>
      <c r="B382" s="8" t="s">
        <v>31</v>
      </c>
    </row>
    <row r="383" spans="1:2" x14ac:dyDescent="0.25">
      <c r="A383" s="10">
        <v>27322</v>
      </c>
      <c r="B383" s="8" t="s">
        <v>201</v>
      </c>
    </row>
    <row r="384" spans="1:2" x14ac:dyDescent="0.25">
      <c r="A384" s="9">
        <v>2733</v>
      </c>
      <c r="B384" s="8" t="s">
        <v>214</v>
      </c>
    </row>
    <row r="385" spans="1:2" x14ac:dyDescent="0.25">
      <c r="A385" s="10">
        <v>27331</v>
      </c>
      <c r="B385" s="8" t="s">
        <v>31</v>
      </c>
    </row>
    <row r="386" spans="1:2" x14ac:dyDescent="0.25">
      <c r="A386" s="10">
        <v>27332</v>
      </c>
      <c r="B386" s="8" t="s">
        <v>201</v>
      </c>
    </row>
    <row r="387" spans="1:2" x14ac:dyDescent="0.25">
      <c r="A387" s="9">
        <v>2734</v>
      </c>
      <c r="B387" s="8" t="s">
        <v>215</v>
      </c>
    </row>
    <row r="388" spans="1:2" x14ac:dyDescent="0.25">
      <c r="A388" s="10">
        <v>27341</v>
      </c>
      <c r="B388" s="8" t="s">
        <v>31</v>
      </c>
    </row>
    <row r="389" spans="1:2" x14ac:dyDescent="0.25">
      <c r="A389" s="10">
        <v>27342</v>
      </c>
      <c r="B389" s="8" t="s">
        <v>201</v>
      </c>
    </row>
    <row r="390" spans="1:2" x14ac:dyDescent="0.25">
      <c r="A390" s="9">
        <v>2735</v>
      </c>
      <c r="B390" s="8" t="s">
        <v>216</v>
      </c>
    </row>
    <row r="391" spans="1:2" x14ac:dyDescent="0.25">
      <c r="A391" s="10">
        <v>27351</v>
      </c>
      <c r="B391" s="8" t="s">
        <v>31</v>
      </c>
    </row>
    <row r="392" spans="1:2" x14ac:dyDescent="0.25">
      <c r="A392" s="10">
        <v>27352</v>
      </c>
      <c r="B392" s="8" t="s">
        <v>201</v>
      </c>
    </row>
    <row r="393" spans="1:2" x14ac:dyDescent="0.25">
      <c r="A393" s="9">
        <v>2736</v>
      </c>
      <c r="B393" s="8" t="s">
        <v>217</v>
      </c>
    </row>
    <row r="394" spans="1:2" x14ac:dyDescent="0.25">
      <c r="A394" s="10">
        <v>27361</v>
      </c>
      <c r="B394" s="8" t="s">
        <v>31</v>
      </c>
    </row>
    <row r="395" spans="1:2" x14ac:dyDescent="0.25">
      <c r="A395" s="9">
        <v>2739</v>
      </c>
      <c r="B395" s="8" t="s">
        <v>218</v>
      </c>
    </row>
    <row r="396" spans="1:2" x14ac:dyDescent="0.25">
      <c r="A396" s="10">
        <v>27391</v>
      </c>
      <c r="B396" s="8" t="s">
        <v>31</v>
      </c>
    </row>
    <row r="397" spans="1:2" x14ac:dyDescent="0.25">
      <c r="A397" s="7">
        <v>274</v>
      </c>
      <c r="B397" s="8" t="s">
        <v>219</v>
      </c>
    </row>
    <row r="398" spans="1:2" x14ac:dyDescent="0.25">
      <c r="A398" s="9">
        <v>2741</v>
      </c>
      <c r="B398" s="8" t="s">
        <v>220</v>
      </c>
    </row>
    <row r="399" spans="1:2" x14ac:dyDescent="0.25">
      <c r="A399" s="10">
        <v>27411</v>
      </c>
      <c r="B399" s="8" t="s">
        <v>32</v>
      </c>
    </row>
    <row r="400" spans="1:2" x14ac:dyDescent="0.25">
      <c r="A400" s="10">
        <v>27412</v>
      </c>
      <c r="B400" s="8" t="s">
        <v>31</v>
      </c>
    </row>
    <row r="401" spans="1:2" x14ac:dyDescent="0.25">
      <c r="A401" s="10">
        <v>27413</v>
      </c>
      <c r="B401" s="8" t="s">
        <v>203</v>
      </c>
    </row>
    <row r="402" spans="1:2" x14ac:dyDescent="0.25">
      <c r="A402" s="9">
        <v>2742</v>
      </c>
      <c r="B402" s="8" t="s">
        <v>221</v>
      </c>
    </row>
    <row r="403" spans="1:2" x14ac:dyDescent="0.25">
      <c r="A403" s="10">
        <v>27421</v>
      </c>
      <c r="B403" s="8" t="s">
        <v>32</v>
      </c>
    </row>
    <row r="404" spans="1:2" x14ac:dyDescent="0.25">
      <c r="A404" s="10">
        <v>27422</v>
      </c>
      <c r="B404" s="8" t="s">
        <v>31</v>
      </c>
    </row>
    <row r="405" spans="1:2" x14ac:dyDescent="0.25">
      <c r="A405" s="10">
        <v>27423</v>
      </c>
      <c r="B405" s="8" t="s">
        <v>203</v>
      </c>
    </row>
    <row r="406" spans="1:2" x14ac:dyDescent="0.25">
      <c r="A406" s="7">
        <v>275</v>
      </c>
      <c r="B406" s="8" t="s">
        <v>222</v>
      </c>
    </row>
    <row r="407" spans="1:2" x14ac:dyDescent="0.25">
      <c r="A407" s="9">
        <v>2752</v>
      </c>
      <c r="B407" s="8" t="s">
        <v>202</v>
      </c>
    </row>
    <row r="408" spans="1:2" x14ac:dyDescent="0.25">
      <c r="A408" s="10">
        <v>27521</v>
      </c>
      <c r="B408" s="8" t="s">
        <v>32</v>
      </c>
    </row>
    <row r="409" spans="1:2" x14ac:dyDescent="0.25">
      <c r="A409" s="10">
        <v>27522</v>
      </c>
      <c r="B409" s="8" t="s">
        <v>31</v>
      </c>
    </row>
    <row r="410" spans="1:2" x14ac:dyDescent="0.25">
      <c r="A410" s="10">
        <v>27523</v>
      </c>
      <c r="B410" s="8" t="s">
        <v>201</v>
      </c>
    </row>
    <row r="411" spans="1:2" x14ac:dyDescent="0.25">
      <c r="A411" s="7">
        <v>276</v>
      </c>
      <c r="B411" s="8" t="s">
        <v>223</v>
      </c>
    </row>
    <row r="412" spans="1:2" x14ac:dyDescent="0.25">
      <c r="A412" s="9">
        <v>2762</v>
      </c>
      <c r="B412" s="8" t="s">
        <v>202</v>
      </c>
    </row>
    <row r="413" spans="1:2" x14ac:dyDescent="0.25">
      <c r="A413" s="10">
        <v>27621</v>
      </c>
      <c r="B413" s="8" t="s">
        <v>205</v>
      </c>
    </row>
    <row r="414" spans="1:2" x14ac:dyDescent="0.25">
      <c r="A414" s="10">
        <v>27622</v>
      </c>
      <c r="B414" s="8" t="s">
        <v>201</v>
      </c>
    </row>
    <row r="415" spans="1:2" x14ac:dyDescent="0.25">
      <c r="A415" s="10">
        <v>27623</v>
      </c>
      <c r="B415" s="8" t="s">
        <v>203</v>
      </c>
    </row>
    <row r="416" spans="1:2" x14ac:dyDescent="0.25">
      <c r="A416" s="9">
        <v>2763</v>
      </c>
      <c r="B416" s="8" t="s">
        <v>206</v>
      </c>
    </row>
    <row r="417" spans="1:2" x14ac:dyDescent="0.25">
      <c r="A417" s="10">
        <v>27631</v>
      </c>
      <c r="B417" s="8" t="s">
        <v>205</v>
      </c>
    </row>
    <row r="418" spans="1:2" x14ac:dyDescent="0.25">
      <c r="A418" s="10">
        <v>27632</v>
      </c>
      <c r="B418" s="8" t="s">
        <v>201</v>
      </c>
    </row>
    <row r="419" spans="1:2" x14ac:dyDescent="0.25">
      <c r="A419" s="10">
        <v>27633</v>
      </c>
      <c r="B419" s="8" t="s">
        <v>203</v>
      </c>
    </row>
    <row r="420" spans="1:2" x14ac:dyDescent="0.25">
      <c r="A420" s="9">
        <v>2764</v>
      </c>
      <c r="B420" s="8" t="s">
        <v>224</v>
      </c>
    </row>
    <row r="421" spans="1:2" x14ac:dyDescent="0.25">
      <c r="A421" s="10">
        <v>27641</v>
      </c>
      <c r="B421" s="8" t="s">
        <v>31</v>
      </c>
    </row>
    <row r="422" spans="1:2" x14ac:dyDescent="0.25">
      <c r="A422" s="10">
        <v>27642</v>
      </c>
      <c r="B422" s="8" t="s">
        <v>201</v>
      </c>
    </row>
    <row r="423" spans="1:2" x14ac:dyDescent="0.25">
      <c r="A423" s="9">
        <v>2765</v>
      </c>
      <c r="B423" s="8" t="s">
        <v>208</v>
      </c>
    </row>
    <row r="424" spans="1:2" x14ac:dyDescent="0.25">
      <c r="A424" s="10">
        <v>27651</v>
      </c>
      <c r="B424" s="8" t="s">
        <v>31</v>
      </c>
    </row>
    <row r="425" spans="1:2" x14ac:dyDescent="0.25">
      <c r="A425" s="10">
        <v>27652</v>
      </c>
      <c r="B425" s="8" t="s">
        <v>201</v>
      </c>
    </row>
    <row r="426" spans="1:2" x14ac:dyDescent="0.25">
      <c r="A426" s="9">
        <v>2766</v>
      </c>
      <c r="B426" s="8" t="s">
        <v>210</v>
      </c>
    </row>
    <row r="427" spans="1:2" x14ac:dyDescent="0.25">
      <c r="A427" s="10">
        <v>27661</v>
      </c>
      <c r="B427" s="8" t="s">
        <v>31</v>
      </c>
    </row>
    <row r="428" spans="1:2" x14ac:dyDescent="0.25">
      <c r="A428" s="10">
        <v>27662</v>
      </c>
      <c r="B428" s="8" t="s">
        <v>201</v>
      </c>
    </row>
    <row r="429" spans="1:2" x14ac:dyDescent="0.25">
      <c r="A429" s="9">
        <v>2767</v>
      </c>
      <c r="B429" s="8" t="s">
        <v>211</v>
      </c>
    </row>
    <row r="430" spans="1:2" x14ac:dyDescent="0.25">
      <c r="A430" s="10">
        <v>27671</v>
      </c>
      <c r="B430" s="8" t="s">
        <v>31</v>
      </c>
    </row>
    <row r="431" spans="1:2" x14ac:dyDescent="0.25">
      <c r="A431" s="10">
        <v>27672</v>
      </c>
      <c r="B431" s="8" t="s">
        <v>201</v>
      </c>
    </row>
    <row r="432" spans="1:2" x14ac:dyDescent="0.25">
      <c r="A432" s="7">
        <v>277</v>
      </c>
      <c r="B432" s="8" t="s">
        <v>225</v>
      </c>
    </row>
    <row r="433" spans="1:2" x14ac:dyDescent="0.25">
      <c r="A433" s="9">
        <v>2771</v>
      </c>
      <c r="B433" s="8" t="s">
        <v>212</v>
      </c>
    </row>
    <row r="434" spans="1:2" x14ac:dyDescent="0.25">
      <c r="A434" s="10">
        <v>27711</v>
      </c>
      <c r="B434" s="8" t="s">
        <v>31</v>
      </c>
    </row>
    <row r="435" spans="1:2" x14ac:dyDescent="0.25">
      <c r="A435" s="10">
        <v>27712</v>
      </c>
      <c r="B435" s="8" t="s">
        <v>201</v>
      </c>
    </row>
    <row r="436" spans="1:2" x14ac:dyDescent="0.25">
      <c r="A436" s="9">
        <v>2772</v>
      </c>
      <c r="B436" s="8" t="s">
        <v>213</v>
      </c>
    </row>
    <row r="437" spans="1:2" x14ac:dyDescent="0.25">
      <c r="A437" s="10">
        <v>27721</v>
      </c>
      <c r="B437" s="8" t="s">
        <v>31</v>
      </c>
    </row>
    <row r="438" spans="1:2" x14ac:dyDescent="0.25">
      <c r="A438" s="10">
        <v>27722</v>
      </c>
      <c r="B438" s="8" t="s">
        <v>201</v>
      </c>
    </row>
    <row r="439" spans="1:2" x14ac:dyDescent="0.25">
      <c r="A439" s="9">
        <v>2773</v>
      </c>
      <c r="B439" s="8" t="s">
        <v>214</v>
      </c>
    </row>
    <row r="440" spans="1:2" x14ac:dyDescent="0.25">
      <c r="A440" s="9">
        <v>2774</v>
      </c>
      <c r="B440" s="8" t="s">
        <v>226</v>
      </c>
    </row>
    <row r="441" spans="1:2" x14ac:dyDescent="0.25">
      <c r="A441" s="10">
        <v>27741</v>
      </c>
      <c r="B441" s="8" t="s">
        <v>31</v>
      </c>
    </row>
    <row r="442" spans="1:2" x14ac:dyDescent="0.25">
      <c r="A442" s="10">
        <v>27742</v>
      </c>
      <c r="B442" s="8" t="s">
        <v>201</v>
      </c>
    </row>
    <row r="443" spans="1:2" x14ac:dyDescent="0.25">
      <c r="A443" s="9">
        <v>2775</v>
      </c>
      <c r="B443" s="8" t="s">
        <v>216</v>
      </c>
    </row>
    <row r="444" spans="1:2" x14ac:dyDescent="0.25">
      <c r="A444" s="10">
        <v>27751</v>
      </c>
      <c r="B444" s="8" t="s">
        <v>31</v>
      </c>
    </row>
    <row r="445" spans="1:2" x14ac:dyDescent="0.25">
      <c r="A445" s="10">
        <v>27752</v>
      </c>
      <c r="B445" s="8" t="s">
        <v>201</v>
      </c>
    </row>
    <row r="446" spans="1:2" x14ac:dyDescent="0.25">
      <c r="A446" s="9">
        <v>2776</v>
      </c>
      <c r="B446" s="8" t="s">
        <v>227</v>
      </c>
    </row>
    <row r="447" spans="1:2" x14ac:dyDescent="0.25">
      <c r="A447" s="10">
        <v>27761</v>
      </c>
      <c r="B447" s="8" t="s">
        <v>31</v>
      </c>
    </row>
    <row r="448" spans="1:2" x14ac:dyDescent="0.25">
      <c r="A448" s="9">
        <v>2779</v>
      </c>
      <c r="B448" s="8" t="s">
        <v>228</v>
      </c>
    </row>
    <row r="449" spans="1:2" x14ac:dyDescent="0.25">
      <c r="A449" s="10">
        <v>27791</v>
      </c>
      <c r="B449" s="8" t="s">
        <v>31</v>
      </c>
    </row>
    <row r="450" spans="1:2" x14ac:dyDescent="0.25">
      <c r="A450" s="10">
        <v>27792</v>
      </c>
      <c r="B450" s="8" t="s">
        <v>201</v>
      </c>
    </row>
    <row r="451" spans="1:2" x14ac:dyDescent="0.25">
      <c r="A451" s="7">
        <v>278</v>
      </c>
      <c r="B451" s="8" t="s">
        <v>229</v>
      </c>
    </row>
    <row r="452" spans="1:2" x14ac:dyDescent="0.25">
      <c r="A452" s="9">
        <v>2781</v>
      </c>
      <c r="B452" s="8" t="s">
        <v>220</v>
      </c>
    </row>
    <row r="453" spans="1:2" x14ac:dyDescent="0.25">
      <c r="A453" s="10">
        <v>27812</v>
      </c>
      <c r="B453" s="8" t="s">
        <v>31</v>
      </c>
    </row>
    <row r="454" spans="1:2" x14ac:dyDescent="0.25">
      <c r="A454" s="9">
        <v>2782</v>
      </c>
      <c r="B454" s="8" t="s">
        <v>221</v>
      </c>
    </row>
    <row r="455" spans="1:2" x14ac:dyDescent="0.25">
      <c r="A455" s="10">
        <v>27822</v>
      </c>
      <c r="B455" s="8" t="s">
        <v>31</v>
      </c>
    </row>
    <row r="456" spans="1:2" x14ac:dyDescent="0.25">
      <c r="A456" s="7">
        <v>279</v>
      </c>
      <c r="B456" s="8" t="s">
        <v>230</v>
      </c>
    </row>
    <row r="457" spans="1:2" x14ac:dyDescent="0.25">
      <c r="A457" s="9">
        <v>2791</v>
      </c>
      <c r="B457" s="8" t="s">
        <v>93</v>
      </c>
    </row>
    <row r="458" spans="1:2" x14ac:dyDescent="0.25">
      <c r="A458" s="10">
        <v>27911</v>
      </c>
      <c r="B458" s="8" t="s">
        <v>200</v>
      </c>
    </row>
    <row r="459" spans="1:2" x14ac:dyDescent="0.25">
      <c r="A459" s="10">
        <v>27912</v>
      </c>
      <c r="B459" s="8" t="s">
        <v>202</v>
      </c>
    </row>
    <row r="460" spans="1:2" x14ac:dyDescent="0.25">
      <c r="A460" s="9">
        <v>2793</v>
      </c>
      <c r="B460" s="8" t="s">
        <v>94</v>
      </c>
    </row>
    <row r="461" spans="1:2" x14ac:dyDescent="0.25">
      <c r="A461" s="10">
        <v>27931</v>
      </c>
      <c r="B461" s="8" t="s">
        <v>200</v>
      </c>
    </row>
    <row r="462" spans="1:2" x14ac:dyDescent="0.25">
      <c r="A462" s="10">
        <v>27932</v>
      </c>
      <c r="B462" s="8" t="s">
        <v>202</v>
      </c>
    </row>
    <row r="463" spans="1:2" x14ac:dyDescent="0.25">
      <c r="A463" s="10">
        <v>27933</v>
      </c>
      <c r="B463" s="8" t="s">
        <v>206</v>
      </c>
    </row>
    <row r="464" spans="1:2" x14ac:dyDescent="0.25">
      <c r="A464" s="10">
        <v>27934</v>
      </c>
      <c r="B464" s="8" t="s">
        <v>224</v>
      </c>
    </row>
    <row r="465" spans="1:2" x14ac:dyDescent="0.25">
      <c r="A465" s="10">
        <v>27935</v>
      </c>
      <c r="B465" s="8" t="s">
        <v>208</v>
      </c>
    </row>
    <row r="466" spans="1:2" x14ac:dyDescent="0.25">
      <c r="A466" s="10">
        <v>27936</v>
      </c>
      <c r="B466" s="8" t="s">
        <v>210</v>
      </c>
    </row>
    <row r="467" spans="1:2" x14ac:dyDescent="0.25">
      <c r="A467" s="10">
        <v>27937</v>
      </c>
      <c r="B467" s="8" t="s">
        <v>211</v>
      </c>
    </row>
    <row r="468" spans="1:2" x14ac:dyDescent="0.25">
      <c r="A468" s="9">
        <v>2794</v>
      </c>
      <c r="B468" s="8" t="s">
        <v>96</v>
      </c>
    </row>
    <row r="469" spans="1:2" x14ac:dyDescent="0.25">
      <c r="A469" s="10">
        <v>27941</v>
      </c>
      <c r="B469" s="8" t="s">
        <v>212</v>
      </c>
    </row>
    <row r="470" spans="1:2" x14ac:dyDescent="0.25">
      <c r="A470" s="10">
        <v>27942</v>
      </c>
      <c r="B470" s="8" t="s">
        <v>213</v>
      </c>
    </row>
    <row r="471" spans="1:2" x14ac:dyDescent="0.25">
      <c r="A471" s="10">
        <v>27943</v>
      </c>
      <c r="B471" s="8" t="s">
        <v>214</v>
      </c>
    </row>
    <row r="472" spans="1:2" x14ac:dyDescent="0.25">
      <c r="A472" s="10">
        <v>27944</v>
      </c>
      <c r="B472" s="8" t="s">
        <v>231</v>
      </c>
    </row>
    <row r="473" spans="1:2" x14ac:dyDescent="0.25">
      <c r="A473" s="10">
        <v>27945</v>
      </c>
      <c r="B473" s="8" t="s">
        <v>216</v>
      </c>
    </row>
    <row r="474" spans="1:2" x14ac:dyDescent="0.25">
      <c r="A474" s="10">
        <v>27946</v>
      </c>
      <c r="B474" s="8" t="s">
        <v>217</v>
      </c>
    </row>
    <row r="475" spans="1:2" x14ac:dyDescent="0.25">
      <c r="A475" s="9">
        <v>2795</v>
      </c>
      <c r="B475" s="8" t="s">
        <v>97</v>
      </c>
    </row>
    <row r="476" spans="1:2" x14ac:dyDescent="0.25">
      <c r="A476" s="10">
        <v>27951</v>
      </c>
      <c r="B476" s="8" t="s">
        <v>220</v>
      </c>
    </row>
    <row r="477" spans="1:2" x14ac:dyDescent="0.25">
      <c r="A477" s="10">
        <v>27952</v>
      </c>
      <c r="B477" s="8" t="s">
        <v>232</v>
      </c>
    </row>
    <row r="478" spans="1:2" x14ac:dyDescent="0.25">
      <c r="A478" s="11">
        <v>28</v>
      </c>
      <c r="B478" s="12" t="s">
        <v>233</v>
      </c>
    </row>
    <row r="479" spans="1:2" x14ac:dyDescent="0.25">
      <c r="A479" s="7">
        <v>281</v>
      </c>
      <c r="B479" s="8" t="s">
        <v>234</v>
      </c>
    </row>
    <row r="480" spans="1:2" x14ac:dyDescent="0.25">
      <c r="A480" s="7">
        <v>284</v>
      </c>
      <c r="B480" s="8" t="s">
        <v>235</v>
      </c>
    </row>
    <row r="481" spans="1:2" x14ac:dyDescent="0.25">
      <c r="A481" s="7">
        <v>285</v>
      </c>
      <c r="B481" s="8" t="s">
        <v>236</v>
      </c>
    </row>
    <row r="482" spans="1:2" x14ac:dyDescent="0.25">
      <c r="A482" s="7">
        <v>286</v>
      </c>
      <c r="B482" s="8" t="s">
        <v>237</v>
      </c>
    </row>
    <row r="483" spans="1:2" x14ac:dyDescent="0.25">
      <c r="A483" s="11">
        <v>29</v>
      </c>
      <c r="B483" s="12" t="s">
        <v>238</v>
      </c>
    </row>
    <row r="484" spans="1:2" x14ac:dyDescent="0.25">
      <c r="A484" s="7">
        <v>291</v>
      </c>
      <c r="B484" s="8" t="s">
        <v>234</v>
      </c>
    </row>
    <row r="485" spans="1:2" x14ac:dyDescent="0.25">
      <c r="A485" s="9">
        <v>2911</v>
      </c>
      <c r="B485" s="8" t="s">
        <v>142</v>
      </c>
    </row>
    <row r="486" spans="1:2" x14ac:dyDescent="0.25">
      <c r="A486" s="9">
        <v>2912</v>
      </c>
      <c r="B486" s="8" t="s">
        <v>239</v>
      </c>
    </row>
    <row r="487" spans="1:2" x14ac:dyDescent="0.25">
      <c r="A487" s="9">
        <v>2913</v>
      </c>
      <c r="B487" s="8" t="s">
        <v>240</v>
      </c>
    </row>
    <row r="488" spans="1:2" x14ac:dyDescent="0.25">
      <c r="A488" s="9">
        <v>2914</v>
      </c>
      <c r="B488" s="8" t="s">
        <v>241</v>
      </c>
    </row>
    <row r="489" spans="1:2" x14ac:dyDescent="0.25">
      <c r="A489" s="9">
        <v>2918</v>
      </c>
      <c r="B489" s="8" t="s">
        <v>149</v>
      </c>
    </row>
    <row r="490" spans="1:2" x14ac:dyDescent="0.25">
      <c r="A490" s="7">
        <v>292</v>
      </c>
      <c r="B490" s="8" t="s">
        <v>242</v>
      </c>
    </row>
    <row r="491" spans="1:2" x14ac:dyDescent="0.25">
      <c r="A491" s="9">
        <v>2921</v>
      </c>
      <c r="B491" s="8" t="s">
        <v>243</v>
      </c>
    </row>
    <row r="492" spans="1:2" x14ac:dyDescent="0.25">
      <c r="A492" s="9">
        <v>2922</v>
      </c>
      <c r="B492" s="8" t="s">
        <v>244</v>
      </c>
    </row>
    <row r="493" spans="1:2" x14ac:dyDescent="0.25">
      <c r="A493" s="9">
        <v>2923</v>
      </c>
      <c r="B493" s="8" t="s">
        <v>245</v>
      </c>
    </row>
    <row r="494" spans="1:2" x14ac:dyDescent="0.25">
      <c r="A494" s="9">
        <v>2924</v>
      </c>
      <c r="B494" s="8" t="s">
        <v>246</v>
      </c>
    </row>
    <row r="495" spans="1:2" x14ac:dyDescent="0.25">
      <c r="A495" s="9">
        <v>2925</v>
      </c>
      <c r="B495" s="8" t="s">
        <v>247</v>
      </c>
    </row>
    <row r="496" spans="1:2" x14ac:dyDescent="0.25">
      <c r="A496" s="9">
        <v>2927</v>
      </c>
      <c r="B496" s="8" t="s">
        <v>248</v>
      </c>
    </row>
    <row r="497" spans="1:2" x14ac:dyDescent="0.25">
      <c r="A497" s="9">
        <v>2928</v>
      </c>
      <c r="B497" s="8" t="s">
        <v>249</v>
      </c>
    </row>
    <row r="498" spans="1:2" x14ac:dyDescent="0.25">
      <c r="A498" s="7">
        <v>293</v>
      </c>
      <c r="B498" s="8" t="s">
        <v>250</v>
      </c>
    </row>
    <row r="499" spans="1:2" x14ac:dyDescent="0.25">
      <c r="A499" s="9">
        <v>2931</v>
      </c>
      <c r="B499" s="8" t="s">
        <v>163</v>
      </c>
    </row>
    <row r="500" spans="1:2" x14ac:dyDescent="0.25">
      <c r="A500" s="9">
        <v>2932</v>
      </c>
      <c r="B500" s="8" t="s">
        <v>251</v>
      </c>
    </row>
    <row r="501" spans="1:2" x14ac:dyDescent="0.25">
      <c r="A501" s="7">
        <v>294</v>
      </c>
      <c r="B501" s="8" t="s">
        <v>252</v>
      </c>
    </row>
    <row r="502" spans="1:2" x14ac:dyDescent="0.25">
      <c r="A502" s="9">
        <v>2941</v>
      </c>
      <c r="B502" s="8" t="s">
        <v>253</v>
      </c>
    </row>
    <row r="503" spans="1:2" x14ac:dyDescent="0.25">
      <c r="A503" s="9">
        <v>2942</v>
      </c>
      <c r="B503" s="8" t="s">
        <v>254</v>
      </c>
    </row>
    <row r="504" spans="1:2" x14ac:dyDescent="0.25">
      <c r="A504" s="9">
        <v>2943</v>
      </c>
      <c r="B504" s="8" t="s">
        <v>255</v>
      </c>
    </row>
    <row r="505" spans="1:2" x14ac:dyDescent="0.25">
      <c r="A505" s="9">
        <v>2944</v>
      </c>
      <c r="B505" s="8" t="s">
        <v>256</v>
      </c>
    </row>
    <row r="506" spans="1:2" x14ac:dyDescent="0.25">
      <c r="A506" s="9">
        <v>2945</v>
      </c>
      <c r="B506" s="8" t="s">
        <v>257</v>
      </c>
    </row>
    <row r="507" spans="1:2" x14ac:dyDescent="0.25">
      <c r="A507" s="9">
        <v>2947</v>
      </c>
      <c r="B507" s="8" t="s">
        <v>258</v>
      </c>
    </row>
    <row r="508" spans="1:2" x14ac:dyDescent="0.25">
      <c r="A508" s="9">
        <v>2948</v>
      </c>
      <c r="B508" s="8" t="s">
        <v>259</v>
      </c>
    </row>
    <row r="509" spans="1:2" x14ac:dyDescent="0.25">
      <c r="A509" s="7">
        <v>295</v>
      </c>
      <c r="B509" s="8" t="s">
        <v>235</v>
      </c>
    </row>
    <row r="510" spans="1:2" x14ac:dyDescent="0.25">
      <c r="A510" s="9">
        <v>2951</v>
      </c>
      <c r="B510" s="8" t="s">
        <v>260</v>
      </c>
    </row>
    <row r="511" spans="1:2" x14ac:dyDescent="0.25">
      <c r="A511" s="9">
        <v>2952</v>
      </c>
      <c r="B511" s="8" t="s">
        <v>261</v>
      </c>
    </row>
    <row r="512" spans="1:2" x14ac:dyDescent="0.25">
      <c r="A512" s="9">
        <v>2953</v>
      </c>
      <c r="B512" s="8" t="s">
        <v>262</v>
      </c>
    </row>
    <row r="513" spans="1:2" x14ac:dyDescent="0.25">
      <c r="A513" s="9">
        <v>2954</v>
      </c>
      <c r="B513" s="8" t="s">
        <v>263</v>
      </c>
    </row>
    <row r="514" spans="1:2" x14ac:dyDescent="0.25">
      <c r="A514" s="7">
        <v>296</v>
      </c>
      <c r="B514" s="8" t="s">
        <v>236</v>
      </c>
    </row>
    <row r="515" spans="1:2" x14ac:dyDescent="0.25">
      <c r="A515" s="9">
        <v>2961</v>
      </c>
      <c r="B515" s="8" t="s">
        <v>264</v>
      </c>
    </row>
    <row r="516" spans="1:2" x14ac:dyDescent="0.25">
      <c r="A516" s="9">
        <v>2962</v>
      </c>
      <c r="B516" s="8" t="s">
        <v>180</v>
      </c>
    </row>
    <row r="517" spans="1:2" x14ac:dyDescent="0.25">
      <c r="A517" s="9">
        <v>2963</v>
      </c>
      <c r="B517" s="8" t="s">
        <v>188</v>
      </c>
    </row>
    <row r="518" spans="1:2" x14ac:dyDescent="0.25">
      <c r="A518" s="7">
        <v>297</v>
      </c>
      <c r="B518" s="8" t="s">
        <v>237</v>
      </c>
    </row>
    <row r="519" spans="1:2" x14ac:dyDescent="0.25">
      <c r="A519" s="9">
        <v>2971</v>
      </c>
      <c r="B519" s="8" t="s">
        <v>196</v>
      </c>
    </row>
    <row r="520" spans="1:2" x14ac:dyDescent="0.25">
      <c r="A520" s="9">
        <v>2972</v>
      </c>
      <c r="B520" s="8" t="s">
        <v>197</v>
      </c>
    </row>
    <row r="521" spans="1:2" x14ac:dyDescent="0.25">
      <c r="A521" s="7">
        <v>298</v>
      </c>
      <c r="B521" s="8" t="s">
        <v>265</v>
      </c>
    </row>
    <row r="522" spans="1:2" x14ac:dyDescent="0.25">
      <c r="A522" s="9">
        <v>2981</v>
      </c>
      <c r="B522" s="8" t="s">
        <v>234</v>
      </c>
    </row>
    <row r="523" spans="1:2" x14ac:dyDescent="0.25">
      <c r="A523" s="9">
        <v>2982</v>
      </c>
      <c r="B523" s="8" t="s">
        <v>266</v>
      </c>
    </row>
    <row r="524" spans="1:2" x14ac:dyDescent="0.25">
      <c r="A524" s="9">
        <v>2983</v>
      </c>
      <c r="B524" s="8" t="s">
        <v>267</v>
      </c>
    </row>
    <row r="525" spans="1:2" x14ac:dyDescent="0.25">
      <c r="A525" s="9">
        <v>2984</v>
      </c>
      <c r="B525" s="8" t="s">
        <v>268</v>
      </c>
    </row>
    <row r="526" spans="1:2" x14ac:dyDescent="0.25">
      <c r="A526" s="11">
        <v>30</v>
      </c>
      <c r="B526" s="12" t="s">
        <v>269</v>
      </c>
    </row>
    <row r="527" spans="1:2" x14ac:dyDescent="0.25">
      <c r="A527" s="7">
        <v>301</v>
      </c>
      <c r="B527" s="8" t="s">
        <v>270</v>
      </c>
    </row>
    <row r="528" spans="1:2" x14ac:dyDescent="0.25">
      <c r="A528" s="9">
        <v>3011</v>
      </c>
      <c r="B528" s="8" t="s">
        <v>271</v>
      </c>
    </row>
    <row r="529" spans="1:2" x14ac:dyDescent="0.25">
      <c r="A529" s="10">
        <v>30111</v>
      </c>
      <c r="B529" s="8" t="s">
        <v>30</v>
      </c>
    </row>
    <row r="530" spans="1:2" x14ac:dyDescent="0.25">
      <c r="A530" s="10">
        <v>30112</v>
      </c>
      <c r="B530" s="8" t="s">
        <v>33</v>
      </c>
    </row>
    <row r="531" spans="1:2" x14ac:dyDescent="0.25">
      <c r="A531" s="10">
        <v>30113</v>
      </c>
      <c r="B531" s="8" t="s">
        <v>272</v>
      </c>
    </row>
    <row r="532" spans="1:2" x14ac:dyDescent="0.25">
      <c r="A532" s="10">
        <v>30114</v>
      </c>
      <c r="B532" s="8" t="s">
        <v>35</v>
      </c>
    </row>
    <row r="533" spans="1:2" x14ac:dyDescent="0.25">
      <c r="A533" s="7">
        <v>302</v>
      </c>
      <c r="B533" s="8" t="s">
        <v>273</v>
      </c>
    </row>
    <row r="534" spans="1:2" x14ac:dyDescent="0.25">
      <c r="A534" s="9">
        <v>3021</v>
      </c>
      <c r="B534" s="8" t="s">
        <v>274</v>
      </c>
    </row>
    <row r="535" spans="1:2" x14ac:dyDescent="0.25">
      <c r="A535" s="9">
        <v>3022</v>
      </c>
      <c r="B535" s="8" t="s">
        <v>275</v>
      </c>
    </row>
    <row r="536" spans="1:2" x14ac:dyDescent="0.25">
      <c r="A536" s="10">
        <v>30221</v>
      </c>
      <c r="B536" s="8" t="s">
        <v>31</v>
      </c>
    </row>
    <row r="537" spans="1:2" x14ac:dyDescent="0.25">
      <c r="A537" s="10">
        <v>30222</v>
      </c>
      <c r="B537" s="8" t="s">
        <v>32</v>
      </c>
    </row>
    <row r="538" spans="1:2" x14ac:dyDescent="0.25">
      <c r="A538" s="10">
        <v>30223</v>
      </c>
      <c r="B538" s="8" t="s">
        <v>276</v>
      </c>
    </row>
    <row r="539" spans="1:2" x14ac:dyDescent="0.25">
      <c r="A539" s="9">
        <v>3023</v>
      </c>
      <c r="B539" s="8" t="s">
        <v>277</v>
      </c>
    </row>
    <row r="540" spans="1:2" x14ac:dyDescent="0.25">
      <c r="A540" s="10">
        <v>30231</v>
      </c>
      <c r="B540" s="8" t="s">
        <v>31</v>
      </c>
    </row>
    <row r="541" spans="1:2" x14ac:dyDescent="0.25">
      <c r="A541" s="10">
        <v>30232</v>
      </c>
      <c r="B541" s="8" t="s">
        <v>32</v>
      </c>
    </row>
    <row r="542" spans="1:2" x14ac:dyDescent="0.25">
      <c r="A542" s="10">
        <v>30233</v>
      </c>
      <c r="B542" s="8" t="s">
        <v>276</v>
      </c>
    </row>
    <row r="543" spans="1:2" x14ac:dyDescent="0.25">
      <c r="A543" s="9">
        <v>3024</v>
      </c>
      <c r="B543" s="8" t="s">
        <v>278</v>
      </c>
    </row>
    <row r="544" spans="1:2" x14ac:dyDescent="0.25">
      <c r="A544" s="10">
        <v>30241</v>
      </c>
      <c r="B544" s="8" t="s">
        <v>31</v>
      </c>
    </row>
    <row r="545" spans="1:2" x14ac:dyDescent="0.25">
      <c r="A545" s="10">
        <v>30242</v>
      </c>
      <c r="B545" s="8" t="s">
        <v>32</v>
      </c>
    </row>
    <row r="546" spans="1:2" x14ac:dyDescent="0.25">
      <c r="A546" s="10">
        <v>30243</v>
      </c>
      <c r="B546" s="8" t="s">
        <v>276</v>
      </c>
    </row>
    <row r="547" spans="1:2" x14ac:dyDescent="0.25">
      <c r="A547" s="9">
        <v>3025</v>
      </c>
      <c r="B547" s="8" t="s">
        <v>279</v>
      </c>
    </row>
    <row r="548" spans="1:2" x14ac:dyDescent="0.25">
      <c r="A548" s="10">
        <v>30251</v>
      </c>
      <c r="B548" s="8" t="s">
        <v>31</v>
      </c>
    </row>
    <row r="549" spans="1:2" x14ac:dyDescent="0.25">
      <c r="A549" s="9">
        <v>3026</v>
      </c>
      <c r="B549" s="8" t="s">
        <v>280</v>
      </c>
    </row>
    <row r="550" spans="1:2" x14ac:dyDescent="0.25">
      <c r="A550" s="10">
        <v>30261</v>
      </c>
      <c r="B550" s="8" t="s">
        <v>31</v>
      </c>
    </row>
    <row r="551" spans="1:2" x14ac:dyDescent="0.25">
      <c r="A551" s="10">
        <v>30262</v>
      </c>
      <c r="B551" s="8" t="s">
        <v>32</v>
      </c>
    </row>
    <row r="552" spans="1:2" x14ac:dyDescent="0.25">
      <c r="A552" s="9">
        <v>3027</v>
      </c>
      <c r="B552" s="8" t="s">
        <v>281</v>
      </c>
    </row>
    <row r="553" spans="1:2" x14ac:dyDescent="0.25">
      <c r="A553" s="10">
        <v>30271</v>
      </c>
      <c r="B553" s="8" t="s">
        <v>31</v>
      </c>
    </row>
    <row r="554" spans="1:2" x14ac:dyDescent="0.25">
      <c r="A554" s="10">
        <v>30272</v>
      </c>
      <c r="B554" s="8" t="s">
        <v>32</v>
      </c>
    </row>
    <row r="555" spans="1:2" x14ac:dyDescent="0.25">
      <c r="A555" s="10">
        <v>30273</v>
      </c>
      <c r="B555" s="8" t="s">
        <v>282</v>
      </c>
    </row>
    <row r="556" spans="1:2" x14ac:dyDescent="0.25">
      <c r="A556" s="9">
        <v>3028</v>
      </c>
      <c r="B556" s="8" t="s">
        <v>283</v>
      </c>
    </row>
    <row r="557" spans="1:2" x14ac:dyDescent="0.25">
      <c r="A557" s="10">
        <v>30281</v>
      </c>
      <c r="B557" s="8" t="s">
        <v>31</v>
      </c>
    </row>
    <row r="558" spans="1:2" x14ac:dyDescent="0.25">
      <c r="A558" s="10">
        <v>30282</v>
      </c>
      <c r="B558" s="8" t="s">
        <v>32</v>
      </c>
    </row>
    <row r="559" spans="1:2" x14ac:dyDescent="0.25">
      <c r="A559" s="7">
        <v>308</v>
      </c>
      <c r="B559" s="8" t="s">
        <v>284</v>
      </c>
    </row>
    <row r="560" spans="1:2" x14ac:dyDescent="0.25">
      <c r="A560" s="9">
        <v>3081</v>
      </c>
      <c r="B560" s="8" t="s">
        <v>285</v>
      </c>
    </row>
    <row r="561" spans="1:2" x14ac:dyDescent="0.25">
      <c r="A561" s="9">
        <v>3082</v>
      </c>
      <c r="B561" s="8" t="s">
        <v>286</v>
      </c>
    </row>
    <row r="562" spans="1:2" x14ac:dyDescent="0.25">
      <c r="A562" s="11">
        <v>31</v>
      </c>
      <c r="B562" s="12" t="s">
        <v>287</v>
      </c>
    </row>
    <row r="563" spans="1:2" x14ac:dyDescent="0.25">
      <c r="A563" s="7">
        <v>311</v>
      </c>
      <c r="B563" s="8" t="s">
        <v>200</v>
      </c>
    </row>
    <row r="564" spans="1:2" x14ac:dyDescent="0.25">
      <c r="A564" s="9">
        <v>3111</v>
      </c>
      <c r="B564" s="8" t="s">
        <v>288</v>
      </c>
    </row>
    <row r="565" spans="1:2" x14ac:dyDescent="0.25">
      <c r="A565" s="10">
        <v>31111</v>
      </c>
      <c r="B565" s="8" t="s">
        <v>32</v>
      </c>
    </row>
    <row r="566" spans="1:2" x14ac:dyDescent="0.25">
      <c r="A566" s="10">
        <v>31112</v>
      </c>
      <c r="B566" s="8" t="s">
        <v>31</v>
      </c>
    </row>
    <row r="567" spans="1:2" x14ac:dyDescent="0.25">
      <c r="A567" s="10">
        <v>31113</v>
      </c>
      <c r="B567" s="8" t="s">
        <v>201</v>
      </c>
    </row>
    <row r="568" spans="1:2" x14ac:dyDescent="0.25">
      <c r="A568" s="9">
        <v>3112</v>
      </c>
      <c r="B568" s="8" t="s">
        <v>289</v>
      </c>
    </row>
    <row r="569" spans="1:2" x14ac:dyDescent="0.25">
      <c r="A569" s="10">
        <v>31121</v>
      </c>
      <c r="B569" s="8" t="s">
        <v>32</v>
      </c>
    </row>
    <row r="570" spans="1:2" x14ac:dyDescent="0.25">
      <c r="A570" s="10">
        <v>31122</v>
      </c>
      <c r="B570" s="8" t="s">
        <v>31</v>
      </c>
    </row>
    <row r="571" spans="1:2" x14ac:dyDescent="0.25">
      <c r="A571" s="10">
        <v>31123</v>
      </c>
      <c r="B571" s="8" t="s">
        <v>201</v>
      </c>
    </row>
    <row r="572" spans="1:2" x14ac:dyDescent="0.25">
      <c r="A572" s="7">
        <v>312</v>
      </c>
      <c r="B572" s="8" t="s">
        <v>202</v>
      </c>
    </row>
    <row r="573" spans="1:2" x14ac:dyDescent="0.25">
      <c r="A573" s="9">
        <v>3121</v>
      </c>
      <c r="B573" s="8" t="s">
        <v>202</v>
      </c>
    </row>
    <row r="574" spans="1:2" x14ac:dyDescent="0.25">
      <c r="A574" s="10">
        <v>31211</v>
      </c>
      <c r="B574" s="8" t="s">
        <v>32</v>
      </c>
    </row>
    <row r="575" spans="1:2" x14ac:dyDescent="0.25">
      <c r="A575" s="10">
        <v>31212</v>
      </c>
      <c r="B575" s="8" t="s">
        <v>31</v>
      </c>
    </row>
    <row r="576" spans="1:2" x14ac:dyDescent="0.25">
      <c r="A576" s="10">
        <v>31213</v>
      </c>
      <c r="B576" s="8" t="s">
        <v>201</v>
      </c>
    </row>
    <row r="577" spans="1:2" x14ac:dyDescent="0.25">
      <c r="A577" s="10">
        <v>31214</v>
      </c>
      <c r="B577" s="8" t="s">
        <v>290</v>
      </c>
    </row>
    <row r="578" spans="1:2" x14ac:dyDescent="0.25">
      <c r="A578" s="11">
        <v>32</v>
      </c>
      <c r="B578" s="12" t="s">
        <v>291</v>
      </c>
    </row>
    <row r="579" spans="1:2" x14ac:dyDescent="0.25">
      <c r="A579" s="7">
        <v>321</v>
      </c>
      <c r="B579" s="8" t="s">
        <v>199</v>
      </c>
    </row>
    <row r="580" spans="1:2" x14ac:dyDescent="0.25">
      <c r="A580" s="9">
        <v>3211</v>
      </c>
      <c r="B580" s="8" t="s">
        <v>200</v>
      </c>
    </row>
    <row r="581" spans="1:2" x14ac:dyDescent="0.25">
      <c r="A581" s="9">
        <v>3212</v>
      </c>
      <c r="B581" s="8" t="s">
        <v>202</v>
      </c>
    </row>
    <row r="582" spans="1:2" x14ac:dyDescent="0.25">
      <c r="A582" s="7">
        <v>322</v>
      </c>
      <c r="B582" s="8" t="s">
        <v>204</v>
      </c>
    </row>
    <row r="583" spans="1:2" x14ac:dyDescent="0.25">
      <c r="A583" s="9">
        <v>3221</v>
      </c>
      <c r="B583" s="8" t="s">
        <v>200</v>
      </c>
    </row>
    <row r="584" spans="1:2" x14ac:dyDescent="0.25">
      <c r="A584" s="9">
        <v>3222</v>
      </c>
      <c r="B584" s="8" t="s">
        <v>202</v>
      </c>
    </row>
    <row r="585" spans="1:2" x14ac:dyDescent="0.25">
      <c r="A585" s="9">
        <v>3223</v>
      </c>
      <c r="B585" s="8" t="s">
        <v>206</v>
      </c>
    </row>
    <row r="586" spans="1:2" x14ac:dyDescent="0.25">
      <c r="A586" s="9">
        <v>3224</v>
      </c>
      <c r="B586" s="8" t="s">
        <v>207</v>
      </c>
    </row>
    <row r="587" spans="1:2" x14ac:dyDescent="0.25">
      <c r="A587" s="9">
        <v>3225</v>
      </c>
      <c r="B587" s="8" t="s">
        <v>208</v>
      </c>
    </row>
    <row r="588" spans="1:2" x14ac:dyDescent="0.25">
      <c r="A588" s="9">
        <v>3226</v>
      </c>
      <c r="B588" s="8" t="s">
        <v>210</v>
      </c>
    </row>
    <row r="589" spans="1:2" x14ac:dyDescent="0.25">
      <c r="A589" s="9">
        <v>3227</v>
      </c>
      <c r="B589" s="8" t="s">
        <v>211</v>
      </c>
    </row>
    <row r="590" spans="1:2" x14ac:dyDescent="0.25">
      <c r="A590" s="11">
        <v>33</v>
      </c>
      <c r="B590" s="12" t="s">
        <v>292</v>
      </c>
    </row>
    <row r="591" spans="1:2" x14ac:dyDescent="0.25">
      <c r="A591" s="7">
        <v>331</v>
      </c>
      <c r="B591" s="8" t="s">
        <v>200</v>
      </c>
    </row>
    <row r="592" spans="1:2" x14ac:dyDescent="0.25">
      <c r="A592" s="9">
        <v>3311</v>
      </c>
      <c r="B592" s="8" t="s">
        <v>200</v>
      </c>
    </row>
    <row r="593" spans="1:2" x14ac:dyDescent="0.25">
      <c r="A593" s="10">
        <v>33111</v>
      </c>
      <c r="B593" s="8" t="s">
        <v>31</v>
      </c>
    </row>
    <row r="594" spans="1:2" x14ac:dyDescent="0.25">
      <c r="A594" s="10">
        <v>331111</v>
      </c>
      <c r="B594" s="8" t="s">
        <v>293</v>
      </c>
    </row>
    <row r="595" spans="1:2" x14ac:dyDescent="0.25">
      <c r="A595" s="10">
        <v>33112</v>
      </c>
      <c r="B595" s="8" t="s">
        <v>201</v>
      </c>
    </row>
    <row r="596" spans="1:2" x14ac:dyDescent="0.25">
      <c r="A596" s="7">
        <v>332</v>
      </c>
      <c r="B596" s="8" t="s">
        <v>202</v>
      </c>
    </row>
    <row r="597" spans="1:2" x14ac:dyDescent="0.25">
      <c r="A597" s="9">
        <v>3321</v>
      </c>
      <c r="B597" s="8" t="s">
        <v>294</v>
      </c>
    </row>
    <row r="598" spans="1:2" x14ac:dyDescent="0.25">
      <c r="A598" s="10">
        <v>33211</v>
      </c>
      <c r="B598" s="8" t="s">
        <v>205</v>
      </c>
    </row>
    <row r="599" spans="1:2" x14ac:dyDescent="0.25">
      <c r="A599" s="10">
        <v>332112</v>
      </c>
      <c r="B599" s="8" t="s">
        <v>295</v>
      </c>
    </row>
    <row r="600" spans="1:2" x14ac:dyDescent="0.25">
      <c r="A600" s="10">
        <v>332111</v>
      </c>
      <c r="B600" s="8" t="s">
        <v>296</v>
      </c>
    </row>
    <row r="601" spans="1:2" x14ac:dyDescent="0.25">
      <c r="A601" s="10">
        <v>33212</v>
      </c>
      <c r="B601" s="8" t="s">
        <v>201</v>
      </c>
    </row>
    <row r="602" spans="1:2" x14ac:dyDescent="0.25">
      <c r="A602" s="10">
        <v>33213</v>
      </c>
      <c r="B602" s="8" t="s">
        <v>297</v>
      </c>
    </row>
    <row r="603" spans="1:2" x14ac:dyDescent="0.25">
      <c r="A603" s="9">
        <v>3322</v>
      </c>
      <c r="B603" s="8" t="s">
        <v>298</v>
      </c>
    </row>
    <row r="604" spans="1:2" x14ac:dyDescent="0.25">
      <c r="A604" s="10">
        <v>33221</v>
      </c>
      <c r="B604" s="8" t="s">
        <v>205</v>
      </c>
    </row>
    <row r="605" spans="1:2" x14ac:dyDescent="0.25">
      <c r="A605" s="10">
        <v>33222</v>
      </c>
      <c r="B605" s="8" t="s">
        <v>201</v>
      </c>
    </row>
    <row r="606" spans="1:2" x14ac:dyDescent="0.25">
      <c r="A606" s="10">
        <v>33223</v>
      </c>
      <c r="B606" s="8" t="s">
        <v>299</v>
      </c>
    </row>
    <row r="607" spans="1:2" x14ac:dyDescent="0.25">
      <c r="A607" s="9">
        <v>3323</v>
      </c>
      <c r="B607" s="8" t="s">
        <v>300</v>
      </c>
    </row>
    <row r="608" spans="1:2" x14ac:dyDescent="0.25">
      <c r="A608" s="10">
        <v>33231</v>
      </c>
      <c r="B608" s="8" t="s">
        <v>301</v>
      </c>
    </row>
    <row r="609" spans="1:2" x14ac:dyDescent="0.25">
      <c r="A609" s="10">
        <v>33232</v>
      </c>
      <c r="B609" s="8" t="s">
        <v>201</v>
      </c>
    </row>
    <row r="610" spans="1:2" x14ac:dyDescent="0.25">
      <c r="A610" s="10">
        <v>33233</v>
      </c>
      <c r="B610" s="8" t="s">
        <v>302</v>
      </c>
    </row>
    <row r="611" spans="1:2" x14ac:dyDescent="0.25">
      <c r="A611" s="9">
        <v>3324</v>
      </c>
      <c r="B611" s="8" t="s">
        <v>303</v>
      </c>
    </row>
    <row r="612" spans="1:2" x14ac:dyDescent="0.25">
      <c r="A612" s="10">
        <v>33241</v>
      </c>
      <c r="B612" s="8" t="s">
        <v>301</v>
      </c>
    </row>
    <row r="613" spans="1:2" x14ac:dyDescent="0.25">
      <c r="A613" s="10">
        <v>33242</v>
      </c>
      <c r="B613" s="8" t="s">
        <v>201</v>
      </c>
    </row>
    <row r="614" spans="1:2" x14ac:dyDescent="0.25">
      <c r="A614" s="10">
        <v>33243</v>
      </c>
      <c r="B614" s="8" t="s">
        <v>304</v>
      </c>
    </row>
    <row r="615" spans="1:2" x14ac:dyDescent="0.25">
      <c r="A615" s="7">
        <v>333</v>
      </c>
      <c r="B615" s="8" t="s">
        <v>305</v>
      </c>
    </row>
    <row r="616" spans="1:2" x14ac:dyDescent="0.25">
      <c r="A616" s="9">
        <v>3331</v>
      </c>
      <c r="B616" s="8" t="s">
        <v>206</v>
      </c>
    </row>
    <row r="617" spans="1:2" x14ac:dyDescent="0.25">
      <c r="A617" s="10">
        <v>33311</v>
      </c>
      <c r="B617" s="8" t="s">
        <v>205</v>
      </c>
    </row>
    <row r="618" spans="1:2" x14ac:dyDescent="0.25">
      <c r="A618" s="10">
        <v>333119</v>
      </c>
      <c r="B618" s="8" t="s">
        <v>306</v>
      </c>
    </row>
    <row r="619" spans="1:2" x14ac:dyDescent="0.25">
      <c r="A619" s="10">
        <v>333118</v>
      </c>
      <c r="B619" s="8" t="s">
        <v>189</v>
      </c>
    </row>
    <row r="620" spans="1:2" x14ac:dyDescent="0.25">
      <c r="A620" s="10">
        <v>333117</v>
      </c>
      <c r="B620" s="8" t="s">
        <v>307</v>
      </c>
    </row>
    <row r="621" spans="1:2" x14ac:dyDescent="0.25">
      <c r="A621" s="10">
        <v>333116</v>
      </c>
      <c r="B621" s="8" t="s">
        <v>308</v>
      </c>
    </row>
    <row r="622" spans="1:2" x14ac:dyDescent="0.25">
      <c r="A622" s="10">
        <v>333115</v>
      </c>
      <c r="B622" s="8" t="s">
        <v>309</v>
      </c>
    </row>
    <row r="623" spans="1:2" x14ac:dyDescent="0.25">
      <c r="A623" s="10">
        <v>333114</v>
      </c>
      <c r="B623" s="8" t="s">
        <v>310</v>
      </c>
    </row>
    <row r="624" spans="1:2" x14ac:dyDescent="0.25">
      <c r="A624" s="10">
        <v>333113</v>
      </c>
      <c r="B624" s="8" t="s">
        <v>311</v>
      </c>
    </row>
    <row r="625" spans="1:2" x14ac:dyDescent="0.25">
      <c r="A625" s="10">
        <v>333112</v>
      </c>
      <c r="B625" s="8" t="s">
        <v>312</v>
      </c>
    </row>
    <row r="626" spans="1:2" x14ac:dyDescent="0.25">
      <c r="A626" s="10">
        <v>333111</v>
      </c>
      <c r="B626" s="8" t="s">
        <v>313</v>
      </c>
    </row>
    <row r="627" spans="1:2" x14ac:dyDescent="0.25">
      <c r="A627" s="10">
        <v>33312</v>
      </c>
      <c r="B627" s="8" t="s">
        <v>201</v>
      </c>
    </row>
    <row r="628" spans="1:2" x14ac:dyDescent="0.25">
      <c r="A628" s="10">
        <v>33313</v>
      </c>
      <c r="B628" s="8" t="s">
        <v>314</v>
      </c>
    </row>
    <row r="629" spans="1:2" x14ac:dyDescent="0.25">
      <c r="A629" s="7">
        <v>334</v>
      </c>
      <c r="B629" s="8" t="s">
        <v>315</v>
      </c>
    </row>
    <row r="630" spans="1:2" x14ac:dyDescent="0.25">
      <c r="A630" s="9">
        <v>3341</v>
      </c>
      <c r="B630" s="8" t="s">
        <v>316</v>
      </c>
    </row>
    <row r="631" spans="1:2" x14ac:dyDescent="0.25">
      <c r="A631" s="10">
        <v>33411</v>
      </c>
      <c r="B631" s="8" t="s">
        <v>317</v>
      </c>
    </row>
    <row r="632" spans="1:2" x14ac:dyDescent="0.25">
      <c r="A632" s="10">
        <v>334111</v>
      </c>
      <c r="B632" s="8" t="s">
        <v>318</v>
      </c>
    </row>
    <row r="633" spans="1:2" x14ac:dyDescent="0.25">
      <c r="A633" s="10">
        <v>33412</v>
      </c>
      <c r="B633" s="8" t="s">
        <v>201</v>
      </c>
    </row>
    <row r="634" spans="1:2" x14ac:dyDescent="0.25">
      <c r="A634" s="9">
        <v>3342</v>
      </c>
      <c r="B634" s="8" t="s">
        <v>319</v>
      </c>
    </row>
    <row r="635" spans="1:2" x14ac:dyDescent="0.25">
      <c r="A635" s="10">
        <v>33421</v>
      </c>
      <c r="B635" s="8" t="s">
        <v>31</v>
      </c>
    </row>
    <row r="636" spans="1:2" x14ac:dyDescent="0.25">
      <c r="A636" s="10">
        <v>33422</v>
      </c>
      <c r="B636" s="8" t="s">
        <v>201</v>
      </c>
    </row>
    <row r="637" spans="1:2" x14ac:dyDescent="0.25">
      <c r="A637" s="7">
        <v>335</v>
      </c>
      <c r="B637" s="8" t="s">
        <v>320</v>
      </c>
    </row>
    <row r="638" spans="1:2" x14ac:dyDescent="0.25">
      <c r="A638" s="9">
        <v>3351</v>
      </c>
      <c r="B638" s="8" t="s">
        <v>321</v>
      </c>
    </row>
    <row r="639" spans="1:2" x14ac:dyDescent="0.25">
      <c r="A639" s="10">
        <v>33511</v>
      </c>
      <c r="B639" s="8" t="s">
        <v>322</v>
      </c>
    </row>
    <row r="640" spans="1:2" x14ac:dyDescent="0.25">
      <c r="A640" s="10">
        <v>33512</v>
      </c>
      <c r="B640" s="8" t="s">
        <v>201</v>
      </c>
    </row>
    <row r="641" spans="1:2" x14ac:dyDescent="0.25">
      <c r="A641" s="9">
        <v>3352</v>
      </c>
      <c r="B641" s="8" t="s">
        <v>323</v>
      </c>
    </row>
    <row r="642" spans="1:2" x14ac:dyDescent="0.25">
      <c r="A642" s="10">
        <v>33521</v>
      </c>
      <c r="B642" s="8" t="s">
        <v>31</v>
      </c>
    </row>
    <row r="643" spans="1:2" x14ac:dyDescent="0.25">
      <c r="A643" s="10">
        <v>33522</v>
      </c>
      <c r="B643" s="8" t="s">
        <v>201</v>
      </c>
    </row>
    <row r="644" spans="1:2" x14ac:dyDescent="0.25">
      <c r="A644" s="7">
        <v>336</v>
      </c>
      <c r="B644" s="8" t="s">
        <v>324</v>
      </c>
    </row>
    <row r="645" spans="1:2" x14ac:dyDescent="0.25">
      <c r="A645" s="9">
        <v>3361</v>
      </c>
      <c r="B645" s="8" t="s">
        <v>325</v>
      </c>
    </row>
    <row r="646" spans="1:2" x14ac:dyDescent="0.25">
      <c r="A646" s="10">
        <v>33611</v>
      </c>
      <c r="B646" s="8" t="s">
        <v>326</v>
      </c>
    </row>
    <row r="647" spans="1:2" x14ac:dyDescent="0.25">
      <c r="A647" s="10">
        <v>33612</v>
      </c>
      <c r="B647" s="8" t="s">
        <v>201</v>
      </c>
    </row>
    <row r="648" spans="1:2" x14ac:dyDescent="0.25">
      <c r="A648" s="9">
        <v>3362</v>
      </c>
      <c r="B648" s="8" t="s">
        <v>327</v>
      </c>
    </row>
    <row r="649" spans="1:2" x14ac:dyDescent="0.25">
      <c r="A649" s="10">
        <v>33621</v>
      </c>
      <c r="B649" s="8" t="s">
        <v>328</v>
      </c>
    </row>
    <row r="650" spans="1:2" x14ac:dyDescent="0.25">
      <c r="A650" s="10">
        <v>33622</v>
      </c>
      <c r="B650" s="8" t="s">
        <v>201</v>
      </c>
    </row>
    <row r="651" spans="1:2" x14ac:dyDescent="0.25">
      <c r="A651" s="9">
        <v>3363</v>
      </c>
      <c r="B651" s="8" t="s">
        <v>329</v>
      </c>
    </row>
    <row r="652" spans="1:2" x14ac:dyDescent="0.25">
      <c r="A652" s="10">
        <v>33631</v>
      </c>
      <c r="B652" s="8" t="s">
        <v>31</v>
      </c>
    </row>
    <row r="653" spans="1:2" x14ac:dyDescent="0.25">
      <c r="A653" s="10">
        <v>33632</v>
      </c>
      <c r="B653" s="8" t="s">
        <v>201</v>
      </c>
    </row>
    <row r="654" spans="1:2" x14ac:dyDescent="0.25">
      <c r="A654" s="9">
        <v>3369</v>
      </c>
      <c r="B654" s="8" t="s">
        <v>330</v>
      </c>
    </row>
    <row r="655" spans="1:2" x14ac:dyDescent="0.25">
      <c r="A655" s="10">
        <v>33691</v>
      </c>
      <c r="B655" s="8" t="s">
        <v>331</v>
      </c>
    </row>
    <row r="656" spans="1:2" x14ac:dyDescent="0.25">
      <c r="A656" s="10">
        <v>33692</v>
      </c>
      <c r="B656" s="8" t="s">
        <v>201</v>
      </c>
    </row>
    <row r="657" spans="1:2" x14ac:dyDescent="0.25">
      <c r="A657" s="7">
        <v>337</v>
      </c>
      <c r="B657" s="8" t="s">
        <v>332</v>
      </c>
    </row>
    <row r="658" spans="1:2" x14ac:dyDescent="0.25">
      <c r="A658" s="9">
        <v>3371</v>
      </c>
      <c r="B658" s="8" t="s">
        <v>333</v>
      </c>
    </row>
    <row r="659" spans="1:2" x14ac:dyDescent="0.25">
      <c r="A659" s="10">
        <v>33711</v>
      </c>
      <c r="B659" s="8" t="s">
        <v>31</v>
      </c>
    </row>
    <row r="660" spans="1:2" x14ac:dyDescent="0.25">
      <c r="A660" s="10">
        <v>33712</v>
      </c>
      <c r="B660" s="8" t="s">
        <v>201</v>
      </c>
    </row>
    <row r="661" spans="1:2" x14ac:dyDescent="0.25">
      <c r="A661" s="9">
        <v>3372</v>
      </c>
      <c r="B661" s="8" t="s">
        <v>334</v>
      </c>
    </row>
    <row r="662" spans="1:2" x14ac:dyDescent="0.25">
      <c r="A662" s="10">
        <v>33721</v>
      </c>
      <c r="B662" s="8" t="s">
        <v>31</v>
      </c>
    </row>
    <row r="663" spans="1:2" x14ac:dyDescent="0.25">
      <c r="A663" s="10">
        <v>33722</v>
      </c>
      <c r="B663" s="8" t="s">
        <v>201</v>
      </c>
    </row>
    <row r="664" spans="1:2" x14ac:dyDescent="0.25">
      <c r="A664" s="7">
        <v>338</v>
      </c>
      <c r="B664" s="8" t="s">
        <v>335</v>
      </c>
    </row>
    <row r="665" spans="1:2" x14ac:dyDescent="0.25">
      <c r="A665" s="9">
        <v>3381</v>
      </c>
      <c r="B665" s="8" t="s">
        <v>206</v>
      </c>
    </row>
    <row r="666" spans="1:2" x14ac:dyDescent="0.25">
      <c r="A666" s="9">
        <v>3382</v>
      </c>
      <c r="B666" s="8" t="s">
        <v>207</v>
      </c>
    </row>
    <row r="667" spans="1:2" x14ac:dyDescent="0.25">
      <c r="A667" s="9">
        <v>3383</v>
      </c>
      <c r="B667" s="8" t="s">
        <v>208</v>
      </c>
    </row>
    <row r="668" spans="1:2" x14ac:dyDescent="0.25">
      <c r="A668" s="9">
        <v>3386</v>
      </c>
      <c r="B668" s="8" t="s">
        <v>210</v>
      </c>
    </row>
    <row r="669" spans="1:2" x14ac:dyDescent="0.25">
      <c r="A669" s="9">
        <v>3387</v>
      </c>
      <c r="B669" s="8" t="s">
        <v>211</v>
      </c>
    </row>
    <row r="670" spans="1:2" x14ac:dyDescent="0.25">
      <c r="A670" s="7">
        <v>339</v>
      </c>
      <c r="B670" s="8" t="s">
        <v>336</v>
      </c>
    </row>
    <row r="671" spans="1:2" x14ac:dyDescent="0.25">
      <c r="A671" s="9">
        <v>3391</v>
      </c>
      <c r="B671" s="8" t="s">
        <v>337</v>
      </c>
    </row>
    <row r="672" spans="1:2" x14ac:dyDescent="0.25">
      <c r="A672" s="9">
        <v>3392</v>
      </c>
      <c r="B672" s="8" t="s">
        <v>338</v>
      </c>
    </row>
    <row r="673" spans="1:2" x14ac:dyDescent="0.25">
      <c r="A673" s="9">
        <v>3393</v>
      </c>
      <c r="B673" s="8" t="s">
        <v>339</v>
      </c>
    </row>
    <row r="674" spans="1:2" x14ac:dyDescent="0.25">
      <c r="A674" s="9">
        <v>3394</v>
      </c>
      <c r="B674" s="8" t="s">
        <v>340</v>
      </c>
    </row>
    <row r="675" spans="1:2" x14ac:dyDescent="0.25">
      <c r="A675" s="9">
        <v>3397</v>
      </c>
      <c r="B675" s="8" t="s">
        <v>341</v>
      </c>
    </row>
    <row r="676" spans="1:2" x14ac:dyDescent="0.25">
      <c r="A676" s="10">
        <v>33971</v>
      </c>
      <c r="B676" s="8" t="s">
        <v>297</v>
      </c>
    </row>
    <row r="677" spans="1:2" x14ac:dyDescent="0.25">
      <c r="A677" s="9">
        <v>3398</v>
      </c>
      <c r="B677" s="8" t="s">
        <v>342</v>
      </c>
    </row>
    <row r="678" spans="1:2" x14ac:dyDescent="0.25">
      <c r="A678" s="10">
        <v>33981</v>
      </c>
      <c r="B678" s="8" t="s">
        <v>343</v>
      </c>
    </row>
    <row r="679" spans="1:2" x14ac:dyDescent="0.25">
      <c r="A679" s="10">
        <v>33982</v>
      </c>
      <c r="B679" s="8" t="s">
        <v>314</v>
      </c>
    </row>
    <row r="680" spans="1:2" x14ac:dyDescent="0.25">
      <c r="A680" s="9">
        <v>3399</v>
      </c>
      <c r="B680" s="8" t="s">
        <v>344</v>
      </c>
    </row>
    <row r="681" spans="1:2" x14ac:dyDescent="0.25">
      <c r="A681" s="11">
        <v>34</v>
      </c>
      <c r="B681" s="12" t="s">
        <v>345</v>
      </c>
    </row>
    <row r="682" spans="1:2" x14ac:dyDescent="0.25">
      <c r="A682" s="7">
        <v>341</v>
      </c>
      <c r="B682" s="8" t="s">
        <v>346</v>
      </c>
    </row>
    <row r="683" spans="1:2" x14ac:dyDescent="0.25">
      <c r="A683" s="9">
        <v>3411</v>
      </c>
      <c r="B683" s="8" t="s">
        <v>347</v>
      </c>
    </row>
    <row r="684" spans="1:2" x14ac:dyDescent="0.25">
      <c r="A684" s="10">
        <v>34111</v>
      </c>
      <c r="B684" s="8" t="s">
        <v>31</v>
      </c>
    </row>
    <row r="685" spans="1:2" x14ac:dyDescent="0.25">
      <c r="A685" s="10">
        <v>34112</v>
      </c>
      <c r="B685" s="8" t="s">
        <v>201</v>
      </c>
    </row>
    <row r="686" spans="1:2" x14ac:dyDescent="0.25">
      <c r="A686" s="9">
        <v>3412</v>
      </c>
      <c r="B686" s="8" t="s">
        <v>348</v>
      </c>
    </row>
    <row r="687" spans="1:2" x14ac:dyDescent="0.25">
      <c r="A687" s="10">
        <v>34121</v>
      </c>
      <c r="B687" s="8" t="s">
        <v>31</v>
      </c>
    </row>
    <row r="688" spans="1:2" x14ac:dyDescent="0.25">
      <c r="A688" s="10">
        <v>34122</v>
      </c>
      <c r="B688" s="8" t="s">
        <v>201</v>
      </c>
    </row>
    <row r="689" spans="1:2" x14ac:dyDescent="0.25">
      <c r="A689" s="9">
        <v>3419</v>
      </c>
      <c r="B689" s="8" t="s">
        <v>349</v>
      </c>
    </row>
    <row r="690" spans="1:2" x14ac:dyDescent="0.25">
      <c r="A690" s="10">
        <v>34191</v>
      </c>
      <c r="B690" s="8" t="s">
        <v>31</v>
      </c>
    </row>
    <row r="691" spans="1:2" x14ac:dyDescent="0.25">
      <c r="A691" s="10">
        <v>34192</v>
      </c>
      <c r="B691" s="8" t="s">
        <v>201</v>
      </c>
    </row>
    <row r="692" spans="1:2" x14ac:dyDescent="0.25">
      <c r="A692" s="7">
        <v>342</v>
      </c>
      <c r="B692" s="8" t="s">
        <v>350</v>
      </c>
    </row>
    <row r="693" spans="1:2" x14ac:dyDescent="0.25">
      <c r="A693" s="9">
        <v>3421</v>
      </c>
      <c r="B693" s="8" t="s">
        <v>351</v>
      </c>
    </row>
    <row r="694" spans="1:2" x14ac:dyDescent="0.25">
      <c r="A694" s="10">
        <v>34211</v>
      </c>
      <c r="B694" s="8" t="s">
        <v>31</v>
      </c>
    </row>
    <row r="695" spans="1:2" x14ac:dyDescent="0.25">
      <c r="A695" s="10">
        <v>34212</v>
      </c>
      <c r="B695" s="8" t="s">
        <v>201</v>
      </c>
    </row>
    <row r="696" spans="1:2" x14ac:dyDescent="0.25">
      <c r="A696" s="9">
        <v>3422</v>
      </c>
      <c r="B696" s="8" t="s">
        <v>352</v>
      </c>
    </row>
    <row r="697" spans="1:2" x14ac:dyDescent="0.25">
      <c r="A697" s="10">
        <v>34221</v>
      </c>
      <c r="B697" s="8" t="s">
        <v>31</v>
      </c>
    </row>
    <row r="698" spans="1:2" x14ac:dyDescent="0.25">
      <c r="A698" s="10">
        <v>34222</v>
      </c>
      <c r="B698" s="8" t="s">
        <v>201</v>
      </c>
    </row>
    <row r="699" spans="1:2" x14ac:dyDescent="0.25">
      <c r="A699" s="7">
        <v>343</v>
      </c>
      <c r="B699" s="8" t="s">
        <v>353</v>
      </c>
    </row>
    <row r="700" spans="1:2" x14ac:dyDescent="0.25">
      <c r="A700" s="9">
        <v>3431</v>
      </c>
      <c r="B700" s="8" t="s">
        <v>354</v>
      </c>
    </row>
    <row r="701" spans="1:2" x14ac:dyDescent="0.25">
      <c r="A701" s="10">
        <v>34311</v>
      </c>
      <c r="B701" s="8" t="s">
        <v>31</v>
      </c>
    </row>
    <row r="702" spans="1:2" x14ac:dyDescent="0.25">
      <c r="A702" s="10">
        <v>34312</v>
      </c>
      <c r="B702" s="14" t="s">
        <v>201</v>
      </c>
    </row>
    <row r="703" spans="1:2" x14ac:dyDescent="0.25">
      <c r="A703" s="7">
        <v>344</v>
      </c>
      <c r="B703" s="15" t="s">
        <v>355</v>
      </c>
    </row>
    <row r="704" spans="1:2" x14ac:dyDescent="0.25">
      <c r="A704" s="9">
        <v>3441</v>
      </c>
      <c r="B704" s="8" t="s">
        <v>356</v>
      </c>
    </row>
    <row r="705" spans="1:2" x14ac:dyDescent="0.25">
      <c r="A705" s="10">
        <v>34411</v>
      </c>
      <c r="B705" s="8" t="s">
        <v>31</v>
      </c>
    </row>
    <row r="706" spans="1:2" x14ac:dyDescent="0.25">
      <c r="A706" s="10">
        <v>34412</v>
      </c>
      <c r="B706" s="8" t="s">
        <v>357</v>
      </c>
    </row>
    <row r="707" spans="1:2" x14ac:dyDescent="0.25">
      <c r="A707" s="10">
        <v>34413</v>
      </c>
      <c r="B707" s="8" t="s">
        <v>358</v>
      </c>
    </row>
    <row r="708" spans="1:2" x14ac:dyDescent="0.25">
      <c r="A708" s="9">
        <v>3442</v>
      </c>
      <c r="B708" s="8" t="s">
        <v>359</v>
      </c>
    </row>
    <row r="709" spans="1:2" x14ac:dyDescent="0.25">
      <c r="A709" s="10">
        <v>34421</v>
      </c>
      <c r="B709" s="8" t="s">
        <v>31</v>
      </c>
    </row>
    <row r="710" spans="1:2" x14ac:dyDescent="0.25">
      <c r="A710" s="10">
        <v>34422</v>
      </c>
      <c r="B710" s="8" t="s">
        <v>201</v>
      </c>
    </row>
    <row r="711" spans="1:2" x14ac:dyDescent="0.25">
      <c r="A711" s="10">
        <v>34423</v>
      </c>
      <c r="B711" s="8" t="s">
        <v>203</v>
      </c>
    </row>
    <row r="712" spans="1:2" x14ac:dyDescent="0.25">
      <c r="A712" s="7">
        <v>345</v>
      </c>
      <c r="B712" s="8" t="s">
        <v>360</v>
      </c>
    </row>
    <row r="713" spans="1:2" x14ac:dyDescent="0.25">
      <c r="A713" s="9">
        <v>3451</v>
      </c>
      <c r="B713" s="8" t="s">
        <v>361</v>
      </c>
    </row>
    <row r="714" spans="1:2" x14ac:dyDescent="0.25">
      <c r="A714" s="10">
        <v>34511</v>
      </c>
      <c r="B714" s="8" t="s">
        <v>31</v>
      </c>
    </row>
    <row r="715" spans="1:2" x14ac:dyDescent="0.25">
      <c r="A715" s="10">
        <v>34512</v>
      </c>
      <c r="B715" s="8" t="s">
        <v>201</v>
      </c>
    </row>
    <row r="716" spans="1:2" x14ac:dyDescent="0.25">
      <c r="A716" s="9">
        <v>3452</v>
      </c>
      <c r="B716" s="15" t="s">
        <v>362</v>
      </c>
    </row>
    <row r="717" spans="1:2" x14ac:dyDescent="0.25">
      <c r="A717" s="10">
        <v>34521</v>
      </c>
      <c r="B717" s="15" t="s">
        <v>31</v>
      </c>
    </row>
    <row r="718" spans="1:2" x14ac:dyDescent="0.25">
      <c r="A718" s="10">
        <v>34522</v>
      </c>
      <c r="B718" s="15" t="s">
        <v>201</v>
      </c>
    </row>
    <row r="719" spans="1:2" x14ac:dyDescent="0.25">
      <c r="A719" s="7">
        <v>346</v>
      </c>
      <c r="B719" s="15" t="s">
        <v>363</v>
      </c>
    </row>
    <row r="720" spans="1:2" x14ac:dyDescent="0.25">
      <c r="A720" s="9">
        <v>3461</v>
      </c>
      <c r="B720" s="15" t="s">
        <v>364</v>
      </c>
    </row>
    <row r="721" spans="1:2" x14ac:dyDescent="0.25">
      <c r="A721" s="10">
        <v>34611</v>
      </c>
      <c r="B721" s="15" t="s">
        <v>365</v>
      </c>
    </row>
    <row r="722" spans="1:2" x14ac:dyDescent="0.25">
      <c r="A722" s="10">
        <v>34612</v>
      </c>
      <c r="B722" s="15" t="s">
        <v>201</v>
      </c>
    </row>
    <row r="723" spans="1:2" x14ac:dyDescent="0.25">
      <c r="A723" s="9">
        <v>3462</v>
      </c>
      <c r="B723" s="15" t="s">
        <v>366</v>
      </c>
    </row>
    <row r="724" spans="1:2" x14ac:dyDescent="0.25">
      <c r="A724" s="10">
        <v>34621</v>
      </c>
      <c r="B724" s="15" t="s">
        <v>365</v>
      </c>
    </row>
    <row r="725" spans="1:2" x14ac:dyDescent="0.25">
      <c r="A725" s="10">
        <v>34622</v>
      </c>
      <c r="B725" s="15" t="s">
        <v>201</v>
      </c>
    </row>
    <row r="726" spans="1:2" x14ac:dyDescent="0.25">
      <c r="A726" s="9">
        <v>3463</v>
      </c>
      <c r="B726" s="15" t="s">
        <v>367</v>
      </c>
    </row>
    <row r="727" spans="1:2" x14ac:dyDescent="0.25">
      <c r="A727" s="10">
        <v>34631</v>
      </c>
      <c r="B727" s="15" t="s">
        <v>31</v>
      </c>
    </row>
    <row r="728" spans="1:2" x14ac:dyDescent="0.25">
      <c r="A728" s="10">
        <v>34632</v>
      </c>
      <c r="B728" s="15" t="s">
        <v>201</v>
      </c>
    </row>
    <row r="729" spans="1:2" x14ac:dyDescent="0.25">
      <c r="A729" s="9">
        <v>3469</v>
      </c>
      <c r="B729" s="15" t="s">
        <v>368</v>
      </c>
    </row>
    <row r="730" spans="1:2" x14ac:dyDescent="0.25">
      <c r="A730" s="10">
        <v>34691</v>
      </c>
      <c r="B730" s="15" t="s">
        <v>31</v>
      </c>
    </row>
    <row r="731" spans="1:2" x14ac:dyDescent="0.25">
      <c r="A731" s="10">
        <v>34692</v>
      </c>
      <c r="B731" s="15" t="s">
        <v>201</v>
      </c>
    </row>
    <row r="732" spans="1:2" x14ac:dyDescent="0.25">
      <c r="A732" s="7">
        <v>347</v>
      </c>
      <c r="B732" s="15" t="s">
        <v>369</v>
      </c>
    </row>
    <row r="733" spans="1:2" x14ac:dyDescent="0.25">
      <c r="A733" s="9">
        <v>3471</v>
      </c>
      <c r="B733" s="15" t="s">
        <v>370</v>
      </c>
    </row>
    <row r="734" spans="1:2" x14ac:dyDescent="0.25">
      <c r="A734" s="7">
        <v>349</v>
      </c>
      <c r="B734" s="15" t="s">
        <v>371</v>
      </c>
    </row>
    <row r="735" spans="1:2" x14ac:dyDescent="0.25">
      <c r="A735" s="9">
        <v>3491</v>
      </c>
      <c r="B735" s="15" t="s">
        <v>218</v>
      </c>
    </row>
    <row r="736" spans="1:2" x14ac:dyDescent="0.25">
      <c r="A736" s="10">
        <v>34911</v>
      </c>
      <c r="B736" s="15" t="s">
        <v>31</v>
      </c>
    </row>
    <row r="737" spans="1:2" x14ac:dyDescent="0.25">
      <c r="A737" s="10">
        <v>34912</v>
      </c>
      <c r="B737" s="15" t="s">
        <v>201</v>
      </c>
    </row>
    <row r="738" spans="1:2" x14ac:dyDescent="0.25">
      <c r="A738" s="11">
        <v>35</v>
      </c>
      <c r="B738" s="16" t="s">
        <v>372</v>
      </c>
    </row>
    <row r="739" spans="1:2" x14ac:dyDescent="0.25">
      <c r="A739" s="7">
        <v>351</v>
      </c>
      <c r="B739" s="15" t="s">
        <v>373</v>
      </c>
    </row>
    <row r="740" spans="1:2" x14ac:dyDescent="0.25">
      <c r="A740" s="9">
        <v>3511</v>
      </c>
      <c r="B740" s="15" t="s">
        <v>146</v>
      </c>
    </row>
    <row r="741" spans="1:2" x14ac:dyDescent="0.25">
      <c r="A741" s="10">
        <v>35111</v>
      </c>
      <c r="B741" s="15" t="s">
        <v>32</v>
      </c>
    </row>
    <row r="742" spans="1:2" x14ac:dyDescent="0.25">
      <c r="A742" s="10">
        <v>35112</v>
      </c>
      <c r="B742" s="15" t="s">
        <v>31</v>
      </c>
    </row>
    <row r="743" spans="1:2" x14ac:dyDescent="0.25">
      <c r="A743" s="10">
        <v>35113</v>
      </c>
      <c r="B743" s="15" t="s">
        <v>203</v>
      </c>
    </row>
    <row r="744" spans="1:2" x14ac:dyDescent="0.25">
      <c r="A744" s="9">
        <v>3512</v>
      </c>
      <c r="B744" s="15" t="s">
        <v>147</v>
      </c>
    </row>
    <row r="745" spans="1:2" x14ac:dyDescent="0.25">
      <c r="A745" s="10">
        <v>35121</v>
      </c>
      <c r="B745" s="15" t="s">
        <v>32</v>
      </c>
    </row>
    <row r="746" spans="1:2" x14ac:dyDescent="0.25">
      <c r="A746" s="10">
        <v>35122</v>
      </c>
      <c r="B746" s="15" t="s">
        <v>31</v>
      </c>
    </row>
    <row r="747" spans="1:2" x14ac:dyDescent="0.25">
      <c r="A747" s="10">
        <v>35123</v>
      </c>
      <c r="B747" s="15" t="s">
        <v>203</v>
      </c>
    </row>
    <row r="748" spans="1:2" x14ac:dyDescent="0.25">
      <c r="A748" s="7">
        <v>352</v>
      </c>
      <c r="B748" s="15" t="s">
        <v>374</v>
      </c>
    </row>
    <row r="749" spans="1:2" x14ac:dyDescent="0.25">
      <c r="A749" s="9">
        <v>3521</v>
      </c>
      <c r="B749" s="15" t="s">
        <v>146</v>
      </c>
    </row>
    <row r="750" spans="1:2" x14ac:dyDescent="0.25">
      <c r="A750" s="10">
        <v>35211</v>
      </c>
      <c r="B750" s="15" t="s">
        <v>32</v>
      </c>
    </row>
    <row r="751" spans="1:2" x14ac:dyDescent="0.25">
      <c r="A751" s="10">
        <v>35212</v>
      </c>
      <c r="B751" s="15" t="s">
        <v>31</v>
      </c>
    </row>
    <row r="752" spans="1:2" x14ac:dyDescent="0.25">
      <c r="A752" s="10">
        <v>35213</v>
      </c>
      <c r="B752" s="15" t="s">
        <v>203</v>
      </c>
    </row>
    <row r="753" spans="1:2" x14ac:dyDescent="0.25">
      <c r="A753" s="9">
        <v>3522</v>
      </c>
      <c r="B753" s="15" t="s">
        <v>147</v>
      </c>
    </row>
    <row r="754" spans="1:2" x14ac:dyDescent="0.25">
      <c r="A754" s="10">
        <v>35221</v>
      </c>
      <c r="B754" s="15" t="s">
        <v>32</v>
      </c>
    </row>
    <row r="755" spans="1:2" x14ac:dyDescent="0.25">
      <c r="A755" s="10">
        <v>35222</v>
      </c>
      <c r="B755" s="15" t="s">
        <v>31</v>
      </c>
    </row>
    <row r="756" spans="1:2" x14ac:dyDescent="0.25">
      <c r="A756" s="10">
        <v>35223</v>
      </c>
      <c r="B756" s="15" t="s">
        <v>203</v>
      </c>
    </row>
    <row r="757" spans="1:2" x14ac:dyDescent="0.25">
      <c r="A757" s="11">
        <v>36</v>
      </c>
      <c r="B757" s="16" t="s">
        <v>375</v>
      </c>
    </row>
    <row r="758" spans="1:2" x14ac:dyDescent="0.25">
      <c r="A758" s="7">
        <v>361</v>
      </c>
      <c r="B758" s="15" t="s">
        <v>376</v>
      </c>
    </row>
    <row r="759" spans="1:2" x14ac:dyDescent="0.25">
      <c r="A759" s="9">
        <v>3611</v>
      </c>
      <c r="B759" s="15" t="s">
        <v>200</v>
      </c>
    </row>
    <row r="760" spans="1:2" x14ac:dyDescent="0.25">
      <c r="A760" s="9">
        <v>3612</v>
      </c>
      <c r="B760" s="15" t="s">
        <v>202</v>
      </c>
    </row>
    <row r="761" spans="1:2" x14ac:dyDescent="0.25">
      <c r="A761" s="10">
        <v>36121</v>
      </c>
      <c r="B761" s="15" t="s">
        <v>377</v>
      </c>
    </row>
    <row r="762" spans="1:2" x14ac:dyDescent="0.25">
      <c r="A762" s="10">
        <v>36122</v>
      </c>
      <c r="B762" s="15" t="s">
        <v>378</v>
      </c>
    </row>
    <row r="763" spans="1:2" x14ac:dyDescent="0.25">
      <c r="A763" s="7">
        <v>363</v>
      </c>
      <c r="B763" s="15" t="s">
        <v>379</v>
      </c>
    </row>
    <row r="764" spans="1:2" x14ac:dyDescent="0.25">
      <c r="A764" s="9">
        <v>3631</v>
      </c>
      <c r="B764" s="15" t="s">
        <v>200</v>
      </c>
    </row>
    <row r="765" spans="1:2" x14ac:dyDescent="0.25">
      <c r="A765" s="9">
        <v>3632</v>
      </c>
      <c r="B765" s="15" t="s">
        <v>202</v>
      </c>
    </row>
    <row r="766" spans="1:2" x14ac:dyDescent="0.25">
      <c r="A766" s="10">
        <v>36321</v>
      </c>
      <c r="B766" s="15" t="s">
        <v>380</v>
      </c>
    </row>
    <row r="767" spans="1:2" x14ac:dyDescent="0.25">
      <c r="A767" s="10">
        <v>36322</v>
      </c>
      <c r="B767" s="15" t="s">
        <v>378</v>
      </c>
    </row>
    <row r="768" spans="1:2" x14ac:dyDescent="0.25">
      <c r="A768" s="9">
        <v>3633</v>
      </c>
      <c r="B768" s="15" t="s">
        <v>206</v>
      </c>
    </row>
    <row r="769" spans="1:2" x14ac:dyDescent="0.25">
      <c r="A769" s="10">
        <v>36331</v>
      </c>
      <c r="B769" s="15" t="s">
        <v>381</v>
      </c>
    </row>
    <row r="770" spans="1:2" x14ac:dyDescent="0.25">
      <c r="A770" s="10">
        <v>36332</v>
      </c>
      <c r="B770" s="15" t="s">
        <v>382</v>
      </c>
    </row>
    <row r="771" spans="1:2" x14ac:dyDescent="0.25">
      <c r="A771" s="9">
        <v>3634</v>
      </c>
      <c r="B771" s="15" t="s">
        <v>207</v>
      </c>
    </row>
    <row r="772" spans="1:2" x14ac:dyDescent="0.25">
      <c r="A772" s="9">
        <v>3635</v>
      </c>
      <c r="B772" s="15" t="s">
        <v>208</v>
      </c>
    </row>
    <row r="773" spans="1:2" x14ac:dyDescent="0.25">
      <c r="A773" s="9">
        <v>3636</v>
      </c>
      <c r="B773" s="15" t="s">
        <v>210</v>
      </c>
    </row>
    <row r="774" spans="1:2" x14ac:dyDescent="0.25">
      <c r="A774" s="9">
        <v>3637</v>
      </c>
      <c r="B774" s="15" t="s">
        <v>211</v>
      </c>
    </row>
    <row r="775" spans="1:2" x14ac:dyDescent="0.25">
      <c r="A775" s="7">
        <v>364</v>
      </c>
      <c r="B775" s="15" t="s">
        <v>383</v>
      </c>
    </row>
    <row r="776" spans="1:2" x14ac:dyDescent="0.25">
      <c r="A776" s="9">
        <v>3641</v>
      </c>
      <c r="B776" s="15" t="s">
        <v>384</v>
      </c>
    </row>
    <row r="777" spans="1:2" x14ac:dyDescent="0.25">
      <c r="A777" s="9">
        <v>3642</v>
      </c>
      <c r="B777" s="15" t="s">
        <v>213</v>
      </c>
    </row>
    <row r="778" spans="1:2" x14ac:dyDescent="0.25">
      <c r="A778" s="9">
        <v>3643</v>
      </c>
      <c r="B778" s="15" t="s">
        <v>214</v>
      </c>
    </row>
    <row r="779" spans="1:2" x14ac:dyDescent="0.25">
      <c r="A779" s="9">
        <v>3644</v>
      </c>
      <c r="B779" s="15" t="s">
        <v>231</v>
      </c>
    </row>
    <row r="780" spans="1:2" x14ac:dyDescent="0.25">
      <c r="A780" s="10">
        <v>36441</v>
      </c>
      <c r="B780" s="15" t="s">
        <v>31</v>
      </c>
    </row>
    <row r="781" spans="1:2" x14ac:dyDescent="0.25">
      <c r="A781" s="10">
        <v>36442</v>
      </c>
      <c r="B781" s="15" t="s">
        <v>203</v>
      </c>
    </row>
    <row r="782" spans="1:2" x14ac:dyDescent="0.25">
      <c r="A782" s="9">
        <v>3645</v>
      </c>
      <c r="B782" s="15" t="s">
        <v>216</v>
      </c>
    </row>
    <row r="783" spans="1:2" x14ac:dyDescent="0.25">
      <c r="A783" s="9">
        <v>3647</v>
      </c>
      <c r="B783" s="15" t="s">
        <v>370</v>
      </c>
    </row>
    <row r="784" spans="1:2" x14ac:dyDescent="0.25">
      <c r="A784" s="9">
        <v>3649</v>
      </c>
      <c r="B784" s="15" t="s">
        <v>218</v>
      </c>
    </row>
    <row r="785" spans="1:2" x14ac:dyDescent="0.25">
      <c r="A785" s="7">
        <v>365</v>
      </c>
      <c r="B785" s="15" t="s">
        <v>385</v>
      </c>
    </row>
    <row r="786" spans="1:2" x14ac:dyDescent="0.25">
      <c r="A786" s="9">
        <v>3651</v>
      </c>
      <c r="B786" s="15" t="s">
        <v>220</v>
      </c>
    </row>
    <row r="787" spans="1:2" x14ac:dyDescent="0.25">
      <c r="A787" s="9">
        <v>3652</v>
      </c>
      <c r="B787" s="15" t="s">
        <v>221</v>
      </c>
    </row>
    <row r="788" spans="1:2" x14ac:dyDescent="0.25">
      <c r="A788" s="10">
        <v>36521</v>
      </c>
      <c r="B788" s="15" t="s">
        <v>31</v>
      </c>
    </row>
    <row r="789" spans="1:2" x14ac:dyDescent="0.25">
      <c r="A789" s="10">
        <v>36522</v>
      </c>
      <c r="B789" s="15" t="s">
        <v>203</v>
      </c>
    </row>
    <row r="790" spans="1:2" x14ac:dyDescent="0.25">
      <c r="A790" s="7">
        <v>366</v>
      </c>
      <c r="B790" s="15" t="s">
        <v>386</v>
      </c>
    </row>
    <row r="791" spans="1:2" x14ac:dyDescent="0.25">
      <c r="A791" s="9">
        <v>3661</v>
      </c>
      <c r="B791" s="15" t="s">
        <v>387</v>
      </c>
    </row>
    <row r="792" spans="1:2" x14ac:dyDescent="0.25">
      <c r="A792" s="9">
        <v>3662</v>
      </c>
      <c r="B792" s="15" t="s">
        <v>388</v>
      </c>
    </row>
    <row r="793" spans="1:2" x14ac:dyDescent="0.25">
      <c r="A793" s="11">
        <v>37</v>
      </c>
      <c r="B793" s="16" t="s">
        <v>389</v>
      </c>
    </row>
    <row r="794" spans="1:2" x14ac:dyDescent="0.25">
      <c r="A794" s="7">
        <v>371</v>
      </c>
      <c r="B794" s="8" t="s">
        <v>390</v>
      </c>
    </row>
    <row r="795" spans="1:2" x14ac:dyDescent="0.25">
      <c r="A795" s="9">
        <v>3711</v>
      </c>
      <c r="B795" s="8" t="s">
        <v>391</v>
      </c>
    </row>
    <row r="796" spans="1:2" x14ac:dyDescent="0.25">
      <c r="A796" s="9">
        <v>3712</v>
      </c>
      <c r="B796" s="8" t="s">
        <v>392</v>
      </c>
    </row>
    <row r="797" spans="1:2" x14ac:dyDescent="0.25">
      <c r="A797" s="7">
        <v>372</v>
      </c>
      <c r="B797" s="15" t="s">
        <v>393</v>
      </c>
    </row>
    <row r="798" spans="1:2" x14ac:dyDescent="0.25">
      <c r="A798" s="9">
        <v>3721</v>
      </c>
      <c r="B798" s="15" t="s">
        <v>394</v>
      </c>
    </row>
    <row r="799" spans="1:2" x14ac:dyDescent="0.25">
      <c r="A799" s="9">
        <v>3722</v>
      </c>
      <c r="B799" s="15" t="s">
        <v>395</v>
      </c>
    </row>
    <row r="800" spans="1:2" x14ac:dyDescent="0.25">
      <c r="A800" s="7">
        <v>373</v>
      </c>
      <c r="B800" s="15" t="s">
        <v>396</v>
      </c>
    </row>
    <row r="801" spans="1:2" x14ac:dyDescent="0.25">
      <c r="A801" s="9">
        <v>3731</v>
      </c>
      <c r="B801" s="15" t="s">
        <v>397</v>
      </c>
    </row>
    <row r="802" spans="1:2" x14ac:dyDescent="0.25">
      <c r="A802" s="9">
        <v>3732</v>
      </c>
      <c r="B802" s="15" t="s">
        <v>398</v>
      </c>
    </row>
    <row r="803" spans="1:2" x14ac:dyDescent="0.25">
      <c r="A803" s="11">
        <v>38</v>
      </c>
      <c r="B803" s="16" t="s">
        <v>399</v>
      </c>
    </row>
    <row r="804" spans="1:2" x14ac:dyDescent="0.25">
      <c r="A804" s="7">
        <v>381</v>
      </c>
      <c r="B804" s="15" t="s">
        <v>400</v>
      </c>
    </row>
    <row r="805" spans="1:2" x14ac:dyDescent="0.25">
      <c r="A805" s="9">
        <v>3811</v>
      </c>
      <c r="B805" s="15" t="s">
        <v>401</v>
      </c>
    </row>
    <row r="806" spans="1:2" x14ac:dyDescent="0.25">
      <c r="A806" s="9">
        <v>3812</v>
      </c>
      <c r="B806" s="15" t="s">
        <v>402</v>
      </c>
    </row>
    <row r="807" spans="1:2" x14ac:dyDescent="0.25">
      <c r="A807" s="9">
        <v>3813</v>
      </c>
      <c r="B807" s="15" t="s">
        <v>57</v>
      </c>
    </row>
    <row r="808" spans="1:2" x14ac:dyDescent="0.25">
      <c r="A808" s="7">
        <v>382</v>
      </c>
      <c r="B808" s="15" t="s">
        <v>403</v>
      </c>
    </row>
    <row r="809" spans="1:2" x14ac:dyDescent="0.25">
      <c r="A809" s="9">
        <v>3821</v>
      </c>
      <c r="B809" s="15" t="s">
        <v>404</v>
      </c>
    </row>
    <row r="810" spans="1:2" x14ac:dyDescent="0.25">
      <c r="A810" s="9">
        <v>3822</v>
      </c>
      <c r="B810" s="15" t="s">
        <v>405</v>
      </c>
    </row>
    <row r="811" spans="1:2" x14ac:dyDescent="0.25">
      <c r="A811" s="9">
        <v>3823</v>
      </c>
      <c r="B811" s="15" t="s">
        <v>406</v>
      </c>
    </row>
    <row r="812" spans="1:2" x14ac:dyDescent="0.25">
      <c r="A812" s="9">
        <v>3829</v>
      </c>
      <c r="B812" s="15" t="s">
        <v>57</v>
      </c>
    </row>
    <row r="813" spans="1:2" x14ac:dyDescent="0.25">
      <c r="A813" s="11">
        <v>39</v>
      </c>
      <c r="B813" s="16" t="s">
        <v>407</v>
      </c>
    </row>
    <row r="814" spans="1:2" x14ac:dyDescent="0.25">
      <c r="A814" s="7">
        <v>391</v>
      </c>
      <c r="B814" s="15" t="s">
        <v>408</v>
      </c>
    </row>
    <row r="815" spans="1:2" x14ac:dyDescent="0.25">
      <c r="A815" s="9">
        <v>3911</v>
      </c>
      <c r="B815" s="15" t="s">
        <v>409</v>
      </c>
    </row>
    <row r="816" spans="1:2" x14ac:dyDescent="0.25">
      <c r="A816" s="10">
        <v>39111</v>
      </c>
      <c r="B816" s="15" t="s">
        <v>380</v>
      </c>
    </row>
    <row r="817" spans="1:2" x14ac:dyDescent="0.25">
      <c r="A817" s="10">
        <v>39112</v>
      </c>
      <c r="B817" s="15" t="s">
        <v>410</v>
      </c>
    </row>
    <row r="818" spans="1:2" x14ac:dyDescent="0.25">
      <c r="A818" s="10">
        <v>39113</v>
      </c>
      <c r="B818" s="15" t="s">
        <v>378</v>
      </c>
    </row>
    <row r="819" spans="1:2" x14ac:dyDescent="0.25">
      <c r="A819" s="9">
        <v>3912</v>
      </c>
      <c r="B819" s="15" t="s">
        <v>411</v>
      </c>
    </row>
    <row r="820" spans="1:2" x14ac:dyDescent="0.25">
      <c r="A820" s="10">
        <v>39121</v>
      </c>
      <c r="B820" s="15" t="s">
        <v>412</v>
      </c>
    </row>
    <row r="821" spans="1:2" x14ac:dyDescent="0.25">
      <c r="A821" s="10">
        <v>39122</v>
      </c>
      <c r="B821" s="15" t="s">
        <v>413</v>
      </c>
    </row>
    <row r="822" spans="1:2" x14ac:dyDescent="0.25">
      <c r="A822" s="10">
        <v>39123</v>
      </c>
      <c r="B822" s="15" t="s">
        <v>414</v>
      </c>
    </row>
    <row r="823" spans="1:2" x14ac:dyDescent="0.25">
      <c r="A823" s="10">
        <v>39124</v>
      </c>
      <c r="B823" s="15" t="s">
        <v>415</v>
      </c>
    </row>
    <row r="824" spans="1:2" x14ac:dyDescent="0.25">
      <c r="A824" s="10">
        <v>39126</v>
      </c>
      <c r="B824" s="15" t="s">
        <v>416</v>
      </c>
    </row>
    <row r="825" spans="1:2" x14ac:dyDescent="0.25">
      <c r="A825" s="9">
        <v>3913</v>
      </c>
      <c r="B825" s="15" t="s">
        <v>417</v>
      </c>
    </row>
    <row r="826" spans="1:2" x14ac:dyDescent="0.25">
      <c r="A826" s="10">
        <v>39131</v>
      </c>
      <c r="B826" s="15" t="s">
        <v>202</v>
      </c>
    </row>
    <row r="827" spans="1:2" x14ac:dyDescent="0.25">
      <c r="A827" s="10">
        <v>391312</v>
      </c>
      <c r="B827" s="15" t="s">
        <v>295</v>
      </c>
    </row>
    <row r="828" spans="1:2" x14ac:dyDescent="0.25">
      <c r="A828" s="10">
        <v>391311</v>
      </c>
      <c r="B828" s="15" t="s">
        <v>296</v>
      </c>
    </row>
    <row r="829" spans="1:2" x14ac:dyDescent="0.25">
      <c r="A829" s="10">
        <v>39132</v>
      </c>
      <c r="B829" s="15" t="s">
        <v>206</v>
      </c>
    </row>
    <row r="830" spans="1:2" x14ac:dyDescent="0.25">
      <c r="A830" s="10">
        <v>391329</v>
      </c>
      <c r="B830" s="15" t="s">
        <v>306</v>
      </c>
    </row>
    <row r="831" spans="1:2" x14ac:dyDescent="0.25">
      <c r="A831" s="10">
        <v>391328</v>
      </c>
      <c r="B831" s="15" t="s">
        <v>418</v>
      </c>
    </row>
    <row r="832" spans="1:2" x14ac:dyDescent="0.25">
      <c r="A832" s="10">
        <v>391327</v>
      </c>
      <c r="B832" s="15" t="s">
        <v>307</v>
      </c>
    </row>
    <row r="833" spans="1:2" x14ac:dyDescent="0.25">
      <c r="A833" s="10">
        <v>391326</v>
      </c>
      <c r="B833" s="15" t="s">
        <v>308</v>
      </c>
    </row>
    <row r="834" spans="1:2" x14ac:dyDescent="0.25">
      <c r="A834" s="10">
        <v>391325</v>
      </c>
      <c r="B834" s="15" t="s">
        <v>309</v>
      </c>
    </row>
    <row r="835" spans="1:2" x14ac:dyDescent="0.25">
      <c r="A835" s="10">
        <v>391324</v>
      </c>
      <c r="B835" s="15" t="s">
        <v>310</v>
      </c>
    </row>
    <row r="836" spans="1:2" x14ac:dyDescent="0.25">
      <c r="A836" s="10">
        <v>391323</v>
      </c>
      <c r="B836" s="15" t="s">
        <v>311</v>
      </c>
    </row>
    <row r="837" spans="1:2" x14ac:dyDescent="0.25">
      <c r="A837" s="10">
        <v>391322</v>
      </c>
      <c r="B837" s="15" t="s">
        <v>312</v>
      </c>
    </row>
    <row r="838" spans="1:2" x14ac:dyDescent="0.25">
      <c r="A838" s="10">
        <v>391321</v>
      </c>
      <c r="B838" s="15" t="s">
        <v>419</v>
      </c>
    </row>
    <row r="839" spans="1:2" x14ac:dyDescent="0.25">
      <c r="A839" s="10">
        <v>39133</v>
      </c>
      <c r="B839" s="15" t="s">
        <v>207</v>
      </c>
    </row>
    <row r="840" spans="1:2" x14ac:dyDescent="0.25">
      <c r="A840" s="10">
        <v>391331</v>
      </c>
      <c r="B840" s="15" t="s">
        <v>318</v>
      </c>
    </row>
    <row r="841" spans="1:2" x14ac:dyDescent="0.25">
      <c r="A841" s="10">
        <v>39134</v>
      </c>
      <c r="B841" s="15" t="s">
        <v>420</v>
      </c>
    </row>
    <row r="842" spans="1:2" x14ac:dyDescent="0.25">
      <c r="A842" s="10">
        <v>391341</v>
      </c>
      <c r="B842" s="15" t="s">
        <v>421</v>
      </c>
    </row>
    <row r="843" spans="1:2" x14ac:dyDescent="0.25">
      <c r="A843" s="10">
        <v>39135</v>
      </c>
      <c r="B843" s="15" t="s">
        <v>422</v>
      </c>
    </row>
    <row r="844" spans="1:2" x14ac:dyDescent="0.25">
      <c r="A844" s="10">
        <v>391351</v>
      </c>
      <c r="B844" s="15" t="s">
        <v>423</v>
      </c>
    </row>
    <row r="845" spans="1:2" x14ac:dyDescent="0.25">
      <c r="A845" s="10">
        <v>39136</v>
      </c>
      <c r="B845" s="15" t="s">
        <v>211</v>
      </c>
    </row>
    <row r="846" spans="1:2" x14ac:dyDescent="0.25">
      <c r="A846" s="9">
        <v>3914</v>
      </c>
      <c r="B846" s="15" t="s">
        <v>424</v>
      </c>
    </row>
    <row r="847" spans="1:2" x14ac:dyDescent="0.25">
      <c r="A847" s="10">
        <v>39141</v>
      </c>
      <c r="B847" s="15" t="s">
        <v>202</v>
      </c>
    </row>
    <row r="848" spans="1:2" x14ac:dyDescent="0.25">
      <c r="A848" s="10">
        <v>39142</v>
      </c>
      <c r="B848" s="15" t="s">
        <v>206</v>
      </c>
    </row>
    <row r="849" spans="1:2" x14ac:dyDescent="0.25">
      <c r="A849" s="10">
        <v>39143</v>
      </c>
      <c r="B849" s="15" t="s">
        <v>207</v>
      </c>
    </row>
    <row r="850" spans="1:2" x14ac:dyDescent="0.25">
      <c r="A850" s="10">
        <v>39144</v>
      </c>
      <c r="B850" s="15" t="s">
        <v>208</v>
      </c>
    </row>
    <row r="851" spans="1:2" x14ac:dyDescent="0.25">
      <c r="A851" s="10">
        <v>39145</v>
      </c>
      <c r="B851" s="15" t="s">
        <v>210</v>
      </c>
    </row>
    <row r="852" spans="1:2" x14ac:dyDescent="0.25">
      <c r="A852" s="10">
        <v>39146</v>
      </c>
      <c r="B852" s="15" t="s">
        <v>211</v>
      </c>
    </row>
    <row r="853" spans="1:2" x14ac:dyDescent="0.25">
      <c r="A853" s="9">
        <v>3915</v>
      </c>
      <c r="B853" s="15" t="s">
        <v>425</v>
      </c>
    </row>
    <row r="854" spans="1:2" x14ac:dyDescent="0.25">
      <c r="A854" s="10">
        <v>39151</v>
      </c>
      <c r="B854" s="15" t="s">
        <v>202</v>
      </c>
    </row>
    <row r="855" spans="1:2" x14ac:dyDescent="0.25">
      <c r="A855" s="10">
        <v>39152</v>
      </c>
      <c r="B855" s="15" t="s">
        <v>206</v>
      </c>
    </row>
    <row r="856" spans="1:2" x14ac:dyDescent="0.25">
      <c r="A856" s="9">
        <v>3916</v>
      </c>
      <c r="B856" s="15" t="s">
        <v>426</v>
      </c>
    </row>
    <row r="857" spans="1:2" x14ac:dyDescent="0.25">
      <c r="A857" s="10">
        <v>39161</v>
      </c>
      <c r="B857" s="15" t="s">
        <v>427</v>
      </c>
    </row>
    <row r="858" spans="1:2" x14ac:dyDescent="0.25">
      <c r="A858" s="10">
        <v>39162</v>
      </c>
      <c r="B858" s="15" t="s">
        <v>428</v>
      </c>
    </row>
    <row r="859" spans="1:2" x14ac:dyDescent="0.25">
      <c r="A859" s="9">
        <v>3917</v>
      </c>
      <c r="B859" s="15" t="s">
        <v>429</v>
      </c>
    </row>
    <row r="860" spans="1:2" x14ac:dyDescent="0.25">
      <c r="A860" s="10">
        <v>39171</v>
      </c>
      <c r="B860" s="15" t="s">
        <v>427</v>
      </c>
    </row>
    <row r="861" spans="1:2" x14ac:dyDescent="0.25">
      <c r="A861" s="10">
        <v>39172</v>
      </c>
      <c r="B861" s="15" t="s">
        <v>428</v>
      </c>
    </row>
    <row r="862" spans="1:2" x14ac:dyDescent="0.25">
      <c r="A862" s="7">
        <v>392</v>
      </c>
      <c r="B862" s="15" t="s">
        <v>430</v>
      </c>
    </row>
    <row r="863" spans="1:2" x14ac:dyDescent="0.25">
      <c r="A863" s="9">
        <v>3921</v>
      </c>
      <c r="B863" s="15" t="s">
        <v>431</v>
      </c>
    </row>
    <row r="864" spans="1:2" x14ac:dyDescent="0.25">
      <c r="A864" s="10">
        <v>39211</v>
      </c>
      <c r="B864" s="15" t="s">
        <v>384</v>
      </c>
    </row>
    <row r="865" spans="1:2" x14ac:dyDescent="0.25">
      <c r="A865" s="10">
        <v>39212</v>
      </c>
      <c r="B865" s="15" t="s">
        <v>213</v>
      </c>
    </row>
    <row r="866" spans="1:2" x14ac:dyDescent="0.25">
      <c r="A866" s="10">
        <v>39213</v>
      </c>
      <c r="B866" s="15" t="s">
        <v>214</v>
      </c>
    </row>
    <row r="867" spans="1:2" x14ac:dyDescent="0.25">
      <c r="A867" s="10">
        <v>39214</v>
      </c>
      <c r="B867" s="15" t="s">
        <v>231</v>
      </c>
    </row>
    <row r="868" spans="1:2" x14ac:dyDescent="0.25">
      <c r="A868" s="10">
        <v>39215</v>
      </c>
      <c r="B868" s="15" t="s">
        <v>216</v>
      </c>
    </row>
    <row r="869" spans="1:2" x14ac:dyDescent="0.25">
      <c r="A869" s="10">
        <v>39219</v>
      </c>
      <c r="B869" s="15" t="s">
        <v>218</v>
      </c>
    </row>
    <row r="870" spans="1:2" x14ac:dyDescent="0.25">
      <c r="A870" s="9">
        <v>3922</v>
      </c>
      <c r="B870" s="15" t="s">
        <v>432</v>
      </c>
    </row>
    <row r="871" spans="1:2" x14ac:dyDescent="0.25">
      <c r="A871" s="10">
        <v>39221</v>
      </c>
      <c r="B871" s="15" t="s">
        <v>384</v>
      </c>
    </row>
    <row r="872" spans="1:2" x14ac:dyDescent="0.25">
      <c r="A872" s="10">
        <v>39222</v>
      </c>
      <c r="B872" s="15" t="s">
        <v>213</v>
      </c>
    </row>
    <row r="873" spans="1:2" x14ac:dyDescent="0.25">
      <c r="A873" s="10">
        <v>39223</v>
      </c>
      <c r="B873" s="15" t="s">
        <v>214</v>
      </c>
    </row>
    <row r="874" spans="1:2" x14ac:dyDescent="0.25">
      <c r="A874" s="10">
        <v>39224</v>
      </c>
      <c r="B874" s="15" t="s">
        <v>433</v>
      </c>
    </row>
    <row r="875" spans="1:2" x14ac:dyDescent="0.25">
      <c r="A875" s="10">
        <v>39225</v>
      </c>
      <c r="B875" s="15" t="s">
        <v>216</v>
      </c>
    </row>
    <row r="876" spans="1:2" x14ac:dyDescent="0.25">
      <c r="A876" s="10">
        <v>39229</v>
      </c>
      <c r="B876" s="15" t="s">
        <v>218</v>
      </c>
    </row>
    <row r="877" spans="1:2" x14ac:dyDescent="0.25">
      <c r="A877" s="9">
        <v>3923</v>
      </c>
      <c r="B877" s="15" t="s">
        <v>434</v>
      </c>
    </row>
    <row r="878" spans="1:2" x14ac:dyDescent="0.25">
      <c r="A878" s="10">
        <v>39234</v>
      </c>
      <c r="B878" s="15" t="s">
        <v>433</v>
      </c>
    </row>
    <row r="879" spans="1:2" x14ac:dyDescent="0.25">
      <c r="A879" s="7">
        <v>393</v>
      </c>
      <c r="B879" s="15" t="s">
        <v>435</v>
      </c>
    </row>
    <row r="880" spans="1:2" x14ac:dyDescent="0.25">
      <c r="A880" s="9">
        <v>3931</v>
      </c>
      <c r="B880" s="15" t="s">
        <v>436</v>
      </c>
    </row>
    <row r="881" spans="1:2" x14ac:dyDescent="0.25">
      <c r="A881" s="11">
        <v>40</v>
      </c>
      <c r="B881" s="12" t="s">
        <v>437</v>
      </c>
    </row>
    <row r="882" spans="1:2" x14ac:dyDescent="0.25">
      <c r="A882" s="7">
        <v>401</v>
      </c>
      <c r="B882" s="8" t="s">
        <v>438</v>
      </c>
    </row>
    <row r="883" spans="1:2" x14ac:dyDescent="0.25">
      <c r="A883" s="9">
        <v>4011</v>
      </c>
      <c r="B883" s="8" t="s">
        <v>439</v>
      </c>
    </row>
    <row r="884" spans="1:2" x14ac:dyDescent="0.25">
      <c r="A884" s="10">
        <v>40111</v>
      </c>
      <c r="B884" s="8" t="s">
        <v>440</v>
      </c>
    </row>
    <row r="885" spans="1:2" x14ac:dyDescent="0.25">
      <c r="A885" s="10">
        <v>40112</v>
      </c>
      <c r="B885" s="8" t="s">
        <v>441</v>
      </c>
    </row>
    <row r="886" spans="1:2" x14ac:dyDescent="0.25">
      <c r="A886" s="10">
        <v>40113</v>
      </c>
      <c r="B886" s="8" t="s">
        <v>442</v>
      </c>
    </row>
    <row r="887" spans="1:2" x14ac:dyDescent="0.25">
      <c r="A887" s="10">
        <v>40114</v>
      </c>
      <c r="B887" s="8" t="s">
        <v>443</v>
      </c>
    </row>
    <row r="888" spans="1:2" x14ac:dyDescent="0.25">
      <c r="A888" s="10">
        <v>40115</v>
      </c>
      <c r="B888" s="8" t="s">
        <v>444</v>
      </c>
    </row>
    <row r="889" spans="1:2" x14ac:dyDescent="0.25">
      <c r="A889" s="9">
        <v>4012</v>
      </c>
      <c r="B889" s="8" t="s">
        <v>445</v>
      </c>
    </row>
    <row r="890" spans="1:2" x14ac:dyDescent="0.25">
      <c r="A890" s="9">
        <v>4015</v>
      </c>
      <c r="B890" s="8" t="s">
        <v>446</v>
      </c>
    </row>
    <row r="891" spans="1:2" x14ac:dyDescent="0.25">
      <c r="A891" s="10">
        <v>40151</v>
      </c>
      <c r="B891" s="8" t="s">
        <v>447</v>
      </c>
    </row>
    <row r="892" spans="1:2" x14ac:dyDescent="0.25">
      <c r="A892" s="10">
        <v>40152</v>
      </c>
      <c r="B892" s="8" t="s">
        <v>448</v>
      </c>
    </row>
    <row r="893" spans="1:2" x14ac:dyDescent="0.25">
      <c r="A893" s="9">
        <v>4017</v>
      </c>
      <c r="B893" s="8" t="s">
        <v>449</v>
      </c>
    </row>
    <row r="894" spans="1:2" x14ac:dyDescent="0.25">
      <c r="A894" s="10">
        <v>40171</v>
      </c>
      <c r="B894" s="8" t="s">
        <v>450</v>
      </c>
    </row>
    <row r="895" spans="1:2" x14ac:dyDescent="0.25">
      <c r="A895" s="10">
        <v>40172</v>
      </c>
      <c r="B895" s="8" t="s">
        <v>451</v>
      </c>
    </row>
    <row r="896" spans="1:2" x14ac:dyDescent="0.25">
      <c r="A896" s="10">
        <v>40173</v>
      </c>
      <c r="B896" s="8" t="s">
        <v>452</v>
      </c>
    </row>
    <row r="897" spans="1:2" x14ac:dyDescent="0.25">
      <c r="A897" s="10">
        <v>40174</v>
      </c>
      <c r="B897" s="8" t="s">
        <v>453</v>
      </c>
    </row>
    <row r="898" spans="1:2" x14ac:dyDescent="0.25">
      <c r="A898" s="10">
        <v>40175</v>
      </c>
      <c r="B898" s="8" t="s">
        <v>454</v>
      </c>
    </row>
    <row r="899" spans="1:2" x14ac:dyDescent="0.25">
      <c r="A899" s="9">
        <v>4018</v>
      </c>
      <c r="B899" s="8" t="s">
        <v>455</v>
      </c>
    </row>
    <row r="900" spans="1:2" x14ac:dyDescent="0.25">
      <c r="A900" s="10">
        <v>40181</v>
      </c>
      <c r="B900" s="8" t="s">
        <v>456</v>
      </c>
    </row>
    <row r="901" spans="1:2" x14ac:dyDescent="0.25">
      <c r="A901" s="10">
        <v>40182</v>
      </c>
      <c r="B901" s="8" t="s">
        <v>457</v>
      </c>
    </row>
    <row r="902" spans="1:2" x14ac:dyDescent="0.25">
      <c r="A902" s="10">
        <v>40183</v>
      </c>
      <c r="B902" s="8" t="s">
        <v>458</v>
      </c>
    </row>
    <row r="903" spans="1:2" x14ac:dyDescent="0.25">
      <c r="A903" s="10">
        <v>40184</v>
      </c>
      <c r="B903" s="8" t="s">
        <v>84</v>
      </c>
    </row>
    <row r="904" spans="1:2" x14ac:dyDescent="0.25">
      <c r="A904" s="10">
        <v>40185</v>
      </c>
      <c r="B904" s="8" t="s">
        <v>459</v>
      </c>
    </row>
    <row r="905" spans="1:2" x14ac:dyDescent="0.25">
      <c r="A905" s="10">
        <v>40186</v>
      </c>
      <c r="B905" s="8" t="s">
        <v>460</v>
      </c>
    </row>
    <row r="906" spans="1:2" x14ac:dyDescent="0.25">
      <c r="A906" s="10">
        <v>40189</v>
      </c>
      <c r="B906" s="8" t="s">
        <v>461</v>
      </c>
    </row>
    <row r="907" spans="1:2" x14ac:dyDescent="0.25">
      <c r="A907" s="7">
        <v>402</v>
      </c>
      <c r="B907" s="8" t="s">
        <v>462</v>
      </c>
    </row>
    <row r="908" spans="1:2" x14ac:dyDescent="0.25">
      <c r="A908" s="7">
        <v>403</v>
      </c>
      <c r="B908" s="8" t="s">
        <v>463</v>
      </c>
    </row>
    <row r="909" spans="1:2" x14ac:dyDescent="0.25">
      <c r="A909" s="9">
        <v>4031</v>
      </c>
      <c r="B909" s="8" t="s">
        <v>464</v>
      </c>
    </row>
    <row r="910" spans="1:2" x14ac:dyDescent="0.25">
      <c r="A910" s="10">
        <v>40311</v>
      </c>
      <c r="B910" s="8" t="s">
        <v>465</v>
      </c>
    </row>
    <row r="911" spans="1:2" x14ac:dyDescent="0.25">
      <c r="A911" s="9">
        <v>4032</v>
      </c>
      <c r="B911" s="8" t="s">
        <v>466</v>
      </c>
    </row>
    <row r="912" spans="1:2" x14ac:dyDescent="0.25">
      <c r="A912" s="10">
        <v>40321</v>
      </c>
      <c r="B912" s="8" t="s">
        <v>467</v>
      </c>
    </row>
    <row r="913" spans="1:2" x14ac:dyDescent="0.25">
      <c r="A913" s="9">
        <v>4033</v>
      </c>
      <c r="B913" s="8" t="s">
        <v>468</v>
      </c>
    </row>
    <row r="914" spans="1:2" x14ac:dyDescent="0.25">
      <c r="A914" s="9">
        <v>4034</v>
      </c>
      <c r="B914" s="8" t="s">
        <v>469</v>
      </c>
    </row>
    <row r="915" spans="1:2" x14ac:dyDescent="0.25">
      <c r="A915" s="9">
        <v>4039</v>
      </c>
      <c r="B915" s="8" t="s">
        <v>470</v>
      </c>
    </row>
    <row r="916" spans="1:2" x14ac:dyDescent="0.25">
      <c r="A916" s="7">
        <v>405</v>
      </c>
      <c r="B916" s="8" t="s">
        <v>471</v>
      </c>
    </row>
    <row r="917" spans="1:2" x14ac:dyDescent="0.25">
      <c r="A917" s="7">
        <v>406</v>
      </c>
      <c r="B917" s="8" t="s">
        <v>472</v>
      </c>
    </row>
    <row r="918" spans="1:2" x14ac:dyDescent="0.25">
      <c r="A918" s="9">
        <v>4061</v>
      </c>
      <c r="B918" s="8" t="s">
        <v>473</v>
      </c>
    </row>
    <row r="919" spans="1:2" x14ac:dyDescent="0.25">
      <c r="A919" s="10">
        <v>40611</v>
      </c>
      <c r="B919" s="8" t="s">
        <v>474</v>
      </c>
    </row>
    <row r="920" spans="1:2" x14ac:dyDescent="0.25">
      <c r="A920" s="10">
        <v>40612</v>
      </c>
      <c r="B920" s="8" t="s">
        <v>475</v>
      </c>
    </row>
    <row r="921" spans="1:2" x14ac:dyDescent="0.25">
      <c r="A921" s="10">
        <v>40613</v>
      </c>
      <c r="B921" s="8" t="s">
        <v>476</v>
      </c>
    </row>
    <row r="922" spans="1:2" x14ac:dyDescent="0.25">
      <c r="A922" s="10">
        <v>40614</v>
      </c>
      <c r="B922" s="8" t="s">
        <v>477</v>
      </c>
    </row>
    <row r="923" spans="1:2" x14ac:dyDescent="0.25">
      <c r="A923" s="10">
        <v>40615</v>
      </c>
      <c r="B923" s="8" t="s">
        <v>478</v>
      </c>
    </row>
    <row r="924" spans="1:2" x14ac:dyDescent="0.25">
      <c r="A924" s="10">
        <v>40616</v>
      </c>
      <c r="B924" s="8" t="s">
        <v>479</v>
      </c>
    </row>
    <row r="925" spans="1:2" x14ac:dyDescent="0.25">
      <c r="A925" s="9">
        <v>4062</v>
      </c>
      <c r="B925" s="8" t="s">
        <v>480</v>
      </c>
    </row>
    <row r="926" spans="1:2" x14ac:dyDescent="0.25">
      <c r="A926" s="9">
        <v>4063</v>
      </c>
      <c r="B926" s="8" t="s">
        <v>481</v>
      </c>
    </row>
    <row r="927" spans="1:2" x14ac:dyDescent="0.25">
      <c r="A927" s="10">
        <v>40631</v>
      </c>
      <c r="B927" s="8" t="s">
        <v>482</v>
      </c>
    </row>
    <row r="928" spans="1:2" x14ac:dyDescent="0.25">
      <c r="A928" s="10">
        <v>40632</v>
      </c>
      <c r="B928" s="8" t="s">
        <v>483</v>
      </c>
    </row>
    <row r="929" spans="1:2" x14ac:dyDescent="0.25">
      <c r="A929" s="10">
        <v>40633</v>
      </c>
      <c r="B929" s="8" t="s">
        <v>484</v>
      </c>
    </row>
    <row r="930" spans="1:2" x14ac:dyDescent="0.25">
      <c r="A930" s="10">
        <v>40634</v>
      </c>
      <c r="B930" s="8" t="s">
        <v>485</v>
      </c>
    </row>
    <row r="931" spans="1:2" x14ac:dyDescent="0.25">
      <c r="A931" s="10">
        <v>40635</v>
      </c>
      <c r="B931" s="8" t="s">
        <v>486</v>
      </c>
    </row>
    <row r="932" spans="1:2" x14ac:dyDescent="0.25">
      <c r="A932" s="7">
        <v>407</v>
      </c>
      <c r="B932" s="8" t="s">
        <v>487</v>
      </c>
    </row>
    <row r="933" spans="1:2" x14ac:dyDescent="0.25">
      <c r="A933" s="9">
        <v>4071</v>
      </c>
      <c r="B933" s="8" t="s">
        <v>488</v>
      </c>
    </row>
    <row r="934" spans="1:2" x14ac:dyDescent="0.25">
      <c r="A934" s="10">
        <v>40711</v>
      </c>
      <c r="B934" s="8" t="s">
        <v>489</v>
      </c>
    </row>
    <row r="935" spans="1:2" x14ac:dyDescent="0.25">
      <c r="A935" s="7">
        <v>408</v>
      </c>
      <c r="B935" s="8" t="s">
        <v>490</v>
      </c>
    </row>
    <row r="936" spans="1:2" x14ac:dyDescent="0.25">
      <c r="A936" s="9">
        <v>4081</v>
      </c>
      <c r="B936" s="8" t="s">
        <v>491</v>
      </c>
    </row>
    <row r="937" spans="1:2" x14ac:dyDescent="0.25">
      <c r="A937" s="9">
        <v>4082</v>
      </c>
      <c r="B937" s="8" t="s">
        <v>492</v>
      </c>
    </row>
    <row r="938" spans="1:2" x14ac:dyDescent="0.25">
      <c r="A938" s="7">
        <v>409</v>
      </c>
      <c r="B938" s="8" t="s">
        <v>493</v>
      </c>
    </row>
    <row r="939" spans="1:2" x14ac:dyDescent="0.25">
      <c r="A939" s="11">
        <v>41</v>
      </c>
      <c r="B939" s="12" t="s">
        <v>494</v>
      </c>
    </row>
    <row r="940" spans="1:2" x14ac:dyDescent="0.25">
      <c r="A940" s="7">
        <v>411</v>
      </c>
      <c r="B940" s="8" t="s">
        <v>495</v>
      </c>
    </row>
    <row r="941" spans="1:2" x14ac:dyDescent="0.25">
      <c r="A941" s="9">
        <v>4111</v>
      </c>
      <c r="B941" s="8" t="s">
        <v>496</v>
      </c>
    </row>
    <row r="942" spans="1:2" x14ac:dyDescent="0.25">
      <c r="A942" s="10">
        <v>41111</v>
      </c>
      <c r="B942" s="8" t="s">
        <v>497</v>
      </c>
    </row>
    <row r="943" spans="1:2" x14ac:dyDescent="0.25">
      <c r="A943" s="9">
        <v>4112</v>
      </c>
      <c r="B943" s="8" t="s">
        <v>498</v>
      </c>
    </row>
    <row r="944" spans="1:2" x14ac:dyDescent="0.25">
      <c r="A944" s="9">
        <v>4113</v>
      </c>
      <c r="B944" s="8" t="s">
        <v>499</v>
      </c>
    </row>
    <row r="945" spans="1:2" x14ac:dyDescent="0.25">
      <c r="A945" s="9">
        <v>4114</v>
      </c>
      <c r="B945" s="8" t="s">
        <v>500</v>
      </c>
    </row>
    <row r="946" spans="1:2" x14ac:dyDescent="0.25">
      <c r="A946" s="9">
        <v>4115</v>
      </c>
      <c r="B946" s="8" t="s">
        <v>501</v>
      </c>
    </row>
    <row r="947" spans="1:2" x14ac:dyDescent="0.25">
      <c r="A947" s="7">
        <v>413</v>
      </c>
      <c r="B947" s="8" t="s">
        <v>502</v>
      </c>
    </row>
    <row r="948" spans="1:2" x14ac:dyDescent="0.25">
      <c r="A948" s="7">
        <v>415</v>
      </c>
      <c r="B948" s="8" t="s">
        <v>503</v>
      </c>
    </row>
    <row r="949" spans="1:2" x14ac:dyDescent="0.25">
      <c r="A949" s="9">
        <v>4151</v>
      </c>
      <c r="B949" s="8" t="s">
        <v>504</v>
      </c>
    </row>
    <row r="950" spans="1:2" x14ac:dyDescent="0.25">
      <c r="A950" s="9">
        <v>41512</v>
      </c>
      <c r="B950" s="8" t="s">
        <v>505</v>
      </c>
    </row>
    <row r="951" spans="1:2" x14ac:dyDescent="0.25">
      <c r="A951" s="9">
        <v>41511</v>
      </c>
      <c r="B951" s="8" t="s">
        <v>506</v>
      </c>
    </row>
    <row r="952" spans="1:2" x14ac:dyDescent="0.25">
      <c r="A952" s="9">
        <v>4152</v>
      </c>
      <c r="B952" s="8" t="s">
        <v>507</v>
      </c>
    </row>
    <row r="953" spans="1:2" x14ac:dyDescent="0.25">
      <c r="A953" s="9">
        <v>4153</v>
      </c>
      <c r="B953" s="8" t="s">
        <v>508</v>
      </c>
    </row>
    <row r="954" spans="1:2" x14ac:dyDescent="0.25">
      <c r="A954" s="7">
        <v>419</v>
      </c>
      <c r="B954" s="8" t="s">
        <v>509</v>
      </c>
    </row>
    <row r="955" spans="1:2" x14ac:dyDescent="0.25">
      <c r="A955" s="11">
        <v>42</v>
      </c>
      <c r="B955" s="12" t="s">
        <v>510</v>
      </c>
    </row>
    <row r="956" spans="1:2" x14ac:dyDescent="0.25">
      <c r="A956" s="7">
        <v>421</v>
      </c>
      <c r="B956" s="8" t="s">
        <v>511</v>
      </c>
    </row>
    <row r="957" spans="1:2" x14ac:dyDescent="0.25">
      <c r="A957" s="9">
        <v>4211</v>
      </c>
      <c r="B957" s="8" t="s">
        <v>43</v>
      </c>
    </row>
    <row r="958" spans="1:2" x14ac:dyDescent="0.25">
      <c r="A958" s="9">
        <v>4212</v>
      </c>
      <c r="B958" s="8" t="s">
        <v>512</v>
      </c>
    </row>
    <row r="959" spans="1:2" x14ac:dyDescent="0.25">
      <c r="A959" s="10">
        <v>42121</v>
      </c>
      <c r="B959" s="8" t="s">
        <v>513</v>
      </c>
    </row>
    <row r="960" spans="1:2" x14ac:dyDescent="0.25">
      <c r="A960" s="10">
        <v>42122</v>
      </c>
      <c r="B960" s="8" t="s">
        <v>514</v>
      </c>
    </row>
    <row r="961" spans="1:2" x14ac:dyDescent="0.25">
      <c r="A961" s="7">
        <v>422</v>
      </c>
      <c r="B961" s="8" t="s">
        <v>515</v>
      </c>
    </row>
    <row r="962" spans="1:2" x14ac:dyDescent="0.25">
      <c r="A962" s="7">
        <v>423</v>
      </c>
      <c r="B962" s="8" t="s">
        <v>516</v>
      </c>
    </row>
    <row r="963" spans="1:2" x14ac:dyDescent="0.25">
      <c r="A963" s="10">
        <v>42311</v>
      </c>
      <c r="B963" s="8" t="s">
        <v>517</v>
      </c>
    </row>
    <row r="964" spans="1:2" x14ac:dyDescent="0.25">
      <c r="A964" s="7">
        <v>424</v>
      </c>
      <c r="B964" s="8" t="s">
        <v>518</v>
      </c>
    </row>
    <row r="965" spans="1:2" x14ac:dyDescent="0.25">
      <c r="A965" s="9">
        <v>4241</v>
      </c>
      <c r="B965" s="8" t="s">
        <v>519</v>
      </c>
    </row>
    <row r="966" spans="1:2" x14ac:dyDescent="0.25">
      <c r="A966" s="11">
        <v>43</v>
      </c>
      <c r="B966" s="12" t="s">
        <v>520</v>
      </c>
    </row>
    <row r="967" spans="1:2" x14ac:dyDescent="0.25">
      <c r="A967" s="7">
        <v>431</v>
      </c>
      <c r="B967" s="8" t="s">
        <v>511</v>
      </c>
    </row>
    <row r="968" spans="1:2" x14ac:dyDescent="0.25">
      <c r="A968" s="9">
        <v>4311</v>
      </c>
      <c r="B968" s="8" t="s">
        <v>43</v>
      </c>
    </row>
    <row r="969" spans="1:2" x14ac:dyDescent="0.25">
      <c r="A969" s="10">
        <v>43111</v>
      </c>
      <c r="B969" s="8" t="s">
        <v>53</v>
      </c>
    </row>
    <row r="970" spans="1:2" x14ac:dyDescent="0.25">
      <c r="A970" s="10">
        <v>43112</v>
      </c>
      <c r="B970" s="8" t="s">
        <v>54</v>
      </c>
    </row>
    <row r="971" spans="1:2" x14ac:dyDescent="0.25">
      <c r="A971" s="10">
        <v>43113</v>
      </c>
      <c r="B971" s="8" t="s">
        <v>55</v>
      </c>
    </row>
    <row r="972" spans="1:2" x14ac:dyDescent="0.25">
      <c r="A972" s="10">
        <v>43114</v>
      </c>
      <c r="B972" s="8" t="s">
        <v>56</v>
      </c>
    </row>
    <row r="973" spans="1:2" x14ac:dyDescent="0.25">
      <c r="A973" s="10">
        <v>43115</v>
      </c>
      <c r="B973" s="8" t="s">
        <v>57</v>
      </c>
    </row>
    <row r="974" spans="1:2" x14ac:dyDescent="0.25">
      <c r="A974" s="9">
        <v>4312</v>
      </c>
      <c r="B974" s="8" t="s">
        <v>512</v>
      </c>
    </row>
    <row r="975" spans="1:2" x14ac:dyDescent="0.25">
      <c r="A975" s="10">
        <v>43121</v>
      </c>
      <c r="B975" s="8" t="s">
        <v>53</v>
      </c>
    </row>
    <row r="976" spans="1:2" x14ac:dyDescent="0.25">
      <c r="A976" s="10">
        <v>43122</v>
      </c>
      <c r="B976" s="8" t="s">
        <v>54</v>
      </c>
    </row>
    <row r="977" spans="1:2" x14ac:dyDescent="0.25">
      <c r="A977" s="10">
        <v>43123</v>
      </c>
      <c r="B977" s="8" t="s">
        <v>55</v>
      </c>
    </row>
    <row r="978" spans="1:2" x14ac:dyDescent="0.25">
      <c r="A978" s="10">
        <v>43124</v>
      </c>
      <c r="B978" s="8" t="s">
        <v>56</v>
      </c>
    </row>
    <row r="979" spans="1:2" x14ac:dyDescent="0.25">
      <c r="A979" s="10">
        <v>43125</v>
      </c>
      <c r="B979" s="8" t="s">
        <v>57</v>
      </c>
    </row>
    <row r="980" spans="1:2" x14ac:dyDescent="0.25">
      <c r="A980" s="7">
        <v>432</v>
      </c>
      <c r="B980" s="8" t="s">
        <v>521</v>
      </c>
    </row>
    <row r="981" spans="1:2" x14ac:dyDescent="0.25">
      <c r="A981" s="9">
        <v>4321</v>
      </c>
      <c r="B981" s="8" t="s">
        <v>522</v>
      </c>
    </row>
    <row r="982" spans="1:2" x14ac:dyDescent="0.25">
      <c r="A982" s="10">
        <v>43211</v>
      </c>
      <c r="B982" s="8" t="s">
        <v>53</v>
      </c>
    </row>
    <row r="983" spans="1:2" x14ac:dyDescent="0.25">
      <c r="A983" s="10">
        <v>43212</v>
      </c>
      <c r="B983" s="8" t="s">
        <v>54</v>
      </c>
    </row>
    <row r="984" spans="1:2" x14ac:dyDescent="0.25">
      <c r="A984" s="10">
        <v>43213</v>
      </c>
      <c r="B984" s="8" t="s">
        <v>55</v>
      </c>
    </row>
    <row r="985" spans="1:2" x14ac:dyDescent="0.25">
      <c r="A985" s="10">
        <v>43214</v>
      </c>
      <c r="B985" s="8" t="s">
        <v>56</v>
      </c>
    </row>
    <row r="986" spans="1:2" x14ac:dyDescent="0.25">
      <c r="A986" s="10">
        <v>43215</v>
      </c>
      <c r="B986" s="8" t="s">
        <v>57</v>
      </c>
    </row>
    <row r="987" spans="1:2" x14ac:dyDescent="0.25">
      <c r="A987" s="7">
        <v>433</v>
      </c>
      <c r="B987" s="8" t="s">
        <v>516</v>
      </c>
    </row>
    <row r="988" spans="1:2" x14ac:dyDescent="0.25">
      <c r="A988" s="9">
        <v>4331</v>
      </c>
      <c r="B988" s="8" t="s">
        <v>517</v>
      </c>
    </row>
    <row r="989" spans="1:2" x14ac:dyDescent="0.25">
      <c r="A989" s="10">
        <v>43311</v>
      </c>
      <c r="B989" s="8" t="s">
        <v>53</v>
      </c>
    </row>
    <row r="990" spans="1:2" x14ac:dyDescent="0.25">
      <c r="A990" s="10">
        <v>43312</v>
      </c>
      <c r="B990" s="8" t="s">
        <v>54</v>
      </c>
    </row>
    <row r="991" spans="1:2" x14ac:dyDescent="0.25">
      <c r="A991" s="10">
        <v>43313</v>
      </c>
      <c r="B991" s="8" t="s">
        <v>55</v>
      </c>
    </row>
    <row r="992" spans="1:2" x14ac:dyDescent="0.25">
      <c r="A992" s="10">
        <v>43314</v>
      </c>
      <c r="B992" s="8" t="s">
        <v>56</v>
      </c>
    </row>
    <row r="993" spans="1:2" x14ac:dyDescent="0.25">
      <c r="A993" s="10">
        <v>43315</v>
      </c>
      <c r="B993" s="8" t="s">
        <v>57</v>
      </c>
    </row>
    <row r="994" spans="1:2" x14ac:dyDescent="0.25">
      <c r="A994" s="7">
        <v>434</v>
      </c>
      <c r="B994" s="8" t="s">
        <v>518</v>
      </c>
    </row>
    <row r="995" spans="1:2" x14ac:dyDescent="0.25">
      <c r="A995" s="9">
        <v>4341</v>
      </c>
      <c r="B995" s="8" t="s">
        <v>519</v>
      </c>
    </row>
    <row r="996" spans="1:2" x14ac:dyDescent="0.25">
      <c r="A996" s="10">
        <v>43411</v>
      </c>
      <c r="B996" s="8" t="s">
        <v>53</v>
      </c>
    </row>
    <row r="997" spans="1:2" x14ac:dyDescent="0.25">
      <c r="A997" s="10">
        <v>43412</v>
      </c>
      <c r="B997" s="8" t="s">
        <v>54</v>
      </c>
    </row>
    <row r="998" spans="1:2" x14ac:dyDescent="0.25">
      <c r="A998" s="10">
        <v>43413</v>
      </c>
      <c r="B998" s="8" t="s">
        <v>55</v>
      </c>
    </row>
    <row r="999" spans="1:2" x14ac:dyDescent="0.25">
      <c r="A999" s="10">
        <v>43414</v>
      </c>
      <c r="B999" s="8" t="s">
        <v>56</v>
      </c>
    </row>
    <row r="1000" spans="1:2" x14ac:dyDescent="0.25">
      <c r="A1000" s="10">
        <v>43415</v>
      </c>
      <c r="B1000" s="8" t="s">
        <v>57</v>
      </c>
    </row>
    <row r="1001" spans="1:2" x14ac:dyDescent="0.25">
      <c r="A1001" s="11">
        <v>44</v>
      </c>
      <c r="B1001" s="12" t="s">
        <v>523</v>
      </c>
    </row>
    <row r="1002" spans="1:2" x14ac:dyDescent="0.25">
      <c r="A1002" s="7">
        <v>441</v>
      </c>
      <c r="B1002" s="8" t="s">
        <v>131</v>
      </c>
    </row>
    <row r="1003" spans="1:2" x14ac:dyDescent="0.25">
      <c r="A1003" s="9">
        <v>4411</v>
      </c>
      <c r="B1003" s="8" t="s">
        <v>62</v>
      </c>
    </row>
    <row r="1004" spans="1:2" x14ac:dyDescent="0.25">
      <c r="A1004" s="9">
        <v>4412</v>
      </c>
      <c r="B1004" s="8" t="s">
        <v>85</v>
      </c>
    </row>
    <row r="1005" spans="1:2" x14ac:dyDescent="0.25">
      <c r="A1005" s="10">
        <v>44121</v>
      </c>
      <c r="B1005" s="8" t="s">
        <v>524</v>
      </c>
    </row>
    <row r="1006" spans="1:2" x14ac:dyDescent="0.25">
      <c r="A1006" s="9">
        <v>4419</v>
      </c>
      <c r="B1006" s="8" t="s">
        <v>525</v>
      </c>
    </row>
    <row r="1007" spans="1:2" x14ac:dyDescent="0.25">
      <c r="A1007" s="7">
        <v>442</v>
      </c>
      <c r="B1007" s="8" t="s">
        <v>68</v>
      </c>
    </row>
    <row r="1008" spans="1:2" x14ac:dyDescent="0.25">
      <c r="A1008" s="9">
        <v>4421</v>
      </c>
      <c r="B1008" s="8" t="s">
        <v>526</v>
      </c>
    </row>
    <row r="1009" spans="1:2" x14ac:dyDescent="0.25">
      <c r="A1009" s="9">
        <v>4429</v>
      </c>
      <c r="B1009" s="8" t="s">
        <v>525</v>
      </c>
    </row>
    <row r="1010" spans="1:2" x14ac:dyDescent="0.25">
      <c r="A1010" s="7">
        <v>443</v>
      </c>
      <c r="B1010" s="8" t="s">
        <v>70</v>
      </c>
    </row>
    <row r="1011" spans="1:2" x14ac:dyDescent="0.25">
      <c r="A1011" s="11">
        <v>45</v>
      </c>
      <c r="B1011" s="12" t="s">
        <v>527</v>
      </c>
    </row>
    <row r="1012" spans="1:2" x14ac:dyDescent="0.25">
      <c r="A1012" s="7">
        <v>451</v>
      </c>
      <c r="B1012" s="8" t="s">
        <v>528</v>
      </c>
    </row>
    <row r="1013" spans="1:2" x14ac:dyDescent="0.25">
      <c r="A1013" s="9">
        <v>4511</v>
      </c>
      <c r="B1013" s="8" t="s">
        <v>529</v>
      </c>
    </row>
    <row r="1014" spans="1:2" x14ac:dyDescent="0.25">
      <c r="A1014" s="10">
        <v>45111</v>
      </c>
      <c r="B1014" s="8" t="s">
        <v>530</v>
      </c>
    </row>
    <row r="1015" spans="1:2" x14ac:dyDescent="0.25">
      <c r="A1015" s="9">
        <v>4512</v>
      </c>
      <c r="B1015" s="8" t="s">
        <v>531</v>
      </c>
    </row>
    <row r="1016" spans="1:2" x14ac:dyDescent="0.25">
      <c r="A1016" s="7">
        <v>452</v>
      </c>
      <c r="B1016" s="8" t="s">
        <v>532</v>
      </c>
    </row>
    <row r="1017" spans="1:2" x14ac:dyDescent="0.25">
      <c r="A1017" s="9">
        <v>4521</v>
      </c>
      <c r="B1017" s="8" t="s">
        <v>533</v>
      </c>
    </row>
    <row r="1018" spans="1:2" x14ac:dyDescent="0.25">
      <c r="A1018" s="9">
        <v>4522</v>
      </c>
      <c r="B1018" s="8" t="s">
        <v>534</v>
      </c>
    </row>
    <row r="1019" spans="1:2" x14ac:dyDescent="0.25">
      <c r="A1019" s="7">
        <v>453</v>
      </c>
      <c r="B1019" s="8" t="s">
        <v>535</v>
      </c>
    </row>
    <row r="1020" spans="1:2" x14ac:dyDescent="0.25">
      <c r="A1020" s="9">
        <v>4531</v>
      </c>
      <c r="B1020" s="8" t="s">
        <v>536</v>
      </c>
    </row>
    <row r="1021" spans="1:2" x14ac:dyDescent="0.25">
      <c r="A1021" s="9">
        <v>4532</v>
      </c>
      <c r="B1021" s="8" t="s">
        <v>537</v>
      </c>
    </row>
    <row r="1022" spans="1:2" x14ac:dyDescent="0.25">
      <c r="A1022" s="9">
        <v>4533</v>
      </c>
      <c r="B1022" s="8" t="s">
        <v>538</v>
      </c>
    </row>
    <row r="1023" spans="1:2" x14ac:dyDescent="0.25">
      <c r="A1023" s="9">
        <v>4539</v>
      </c>
      <c r="B1023" s="8" t="s">
        <v>539</v>
      </c>
    </row>
    <row r="1024" spans="1:2" x14ac:dyDescent="0.25">
      <c r="A1024" s="7">
        <v>454</v>
      </c>
      <c r="B1024" s="8" t="s">
        <v>540</v>
      </c>
    </row>
    <row r="1025" spans="1:2" x14ac:dyDescent="0.25">
      <c r="A1025" s="9">
        <v>4541</v>
      </c>
      <c r="B1025" s="8" t="s">
        <v>541</v>
      </c>
    </row>
    <row r="1026" spans="1:2" x14ac:dyDescent="0.25">
      <c r="A1026" s="9">
        <v>4542</v>
      </c>
      <c r="B1026" s="8" t="s">
        <v>538</v>
      </c>
    </row>
    <row r="1027" spans="1:2" x14ac:dyDescent="0.25">
      <c r="A1027" s="9">
        <v>4543</v>
      </c>
      <c r="B1027" s="8" t="s">
        <v>542</v>
      </c>
    </row>
    <row r="1028" spans="1:2" x14ac:dyDescent="0.25">
      <c r="A1028" s="9">
        <v>4544</v>
      </c>
      <c r="B1028" s="8" t="s">
        <v>543</v>
      </c>
    </row>
    <row r="1029" spans="1:2" x14ac:dyDescent="0.25">
      <c r="A1029" s="9">
        <v>4545</v>
      </c>
      <c r="B1029" s="8" t="s">
        <v>544</v>
      </c>
    </row>
    <row r="1030" spans="1:2" x14ac:dyDescent="0.25">
      <c r="A1030" s="9">
        <v>4549</v>
      </c>
      <c r="B1030" s="8" t="s">
        <v>545</v>
      </c>
    </row>
    <row r="1031" spans="1:2" x14ac:dyDescent="0.25">
      <c r="A1031" s="7">
        <v>455</v>
      </c>
      <c r="B1031" s="8" t="s">
        <v>546</v>
      </c>
    </row>
    <row r="1032" spans="1:2" x14ac:dyDescent="0.25">
      <c r="A1032" s="9">
        <v>4551</v>
      </c>
      <c r="B1032" s="8" t="s">
        <v>547</v>
      </c>
    </row>
    <row r="1033" spans="1:2" x14ac:dyDescent="0.25">
      <c r="A1033" s="10">
        <v>45511</v>
      </c>
      <c r="B1033" s="8" t="s">
        <v>548</v>
      </c>
    </row>
    <row r="1034" spans="1:2" x14ac:dyDescent="0.25">
      <c r="A1034" s="10">
        <v>45512</v>
      </c>
      <c r="B1034" s="8" t="s">
        <v>531</v>
      </c>
    </row>
    <row r="1035" spans="1:2" x14ac:dyDescent="0.25">
      <c r="A1035" s="9">
        <v>4552</v>
      </c>
      <c r="B1035" s="8" t="s">
        <v>549</v>
      </c>
    </row>
    <row r="1036" spans="1:2" x14ac:dyDescent="0.25">
      <c r="A1036" s="9">
        <v>4553</v>
      </c>
      <c r="B1036" s="8" t="s">
        <v>550</v>
      </c>
    </row>
    <row r="1037" spans="1:2" x14ac:dyDescent="0.25">
      <c r="A1037" s="10">
        <v>45531</v>
      </c>
      <c r="B1037" s="8" t="s">
        <v>536</v>
      </c>
    </row>
    <row r="1038" spans="1:2" x14ac:dyDescent="0.25">
      <c r="A1038" s="10">
        <v>45532</v>
      </c>
      <c r="B1038" s="8" t="s">
        <v>537</v>
      </c>
    </row>
    <row r="1039" spans="1:2" x14ac:dyDescent="0.25">
      <c r="A1039" s="10">
        <v>45533</v>
      </c>
      <c r="B1039" s="8" t="s">
        <v>538</v>
      </c>
    </row>
    <row r="1040" spans="1:2" x14ac:dyDescent="0.25">
      <c r="A1040" s="10">
        <v>45539</v>
      </c>
      <c r="B1040" s="8" t="s">
        <v>539</v>
      </c>
    </row>
    <row r="1041" spans="1:2" x14ac:dyDescent="0.25">
      <c r="A1041" s="9">
        <v>4554</v>
      </c>
      <c r="B1041" s="8" t="s">
        <v>551</v>
      </c>
    </row>
    <row r="1042" spans="1:2" x14ac:dyDescent="0.25">
      <c r="A1042" s="10">
        <v>45541</v>
      </c>
      <c r="B1042" s="8" t="s">
        <v>541</v>
      </c>
    </row>
    <row r="1043" spans="1:2" x14ac:dyDescent="0.25">
      <c r="A1043" s="10">
        <v>45542</v>
      </c>
      <c r="B1043" s="8" t="s">
        <v>538</v>
      </c>
    </row>
    <row r="1044" spans="1:2" x14ac:dyDescent="0.25">
      <c r="A1044" s="10">
        <v>45543</v>
      </c>
      <c r="B1044" s="8" t="s">
        <v>542</v>
      </c>
    </row>
    <row r="1045" spans="1:2" x14ac:dyDescent="0.25">
      <c r="A1045" s="10">
        <v>45544</v>
      </c>
      <c r="B1045" s="8" t="s">
        <v>543</v>
      </c>
    </row>
    <row r="1046" spans="1:2" x14ac:dyDescent="0.25">
      <c r="A1046" s="10">
        <v>45545</v>
      </c>
      <c r="B1046" s="8" t="s">
        <v>544</v>
      </c>
    </row>
    <row r="1047" spans="1:2" x14ac:dyDescent="0.25">
      <c r="A1047" s="10">
        <v>45549</v>
      </c>
      <c r="B1047" s="8" t="s">
        <v>545</v>
      </c>
    </row>
    <row r="1048" spans="1:2" x14ac:dyDescent="0.25">
      <c r="A1048" s="7">
        <v>456</v>
      </c>
      <c r="B1048" s="8" t="s">
        <v>552</v>
      </c>
    </row>
    <row r="1049" spans="1:2" x14ac:dyDescent="0.25">
      <c r="A1049" s="11">
        <v>46</v>
      </c>
      <c r="B1049" s="12" t="s">
        <v>553</v>
      </c>
    </row>
    <row r="1050" spans="1:2" x14ac:dyDescent="0.25">
      <c r="A1050" s="7">
        <v>461</v>
      </c>
      <c r="B1050" s="8" t="s">
        <v>554</v>
      </c>
    </row>
    <row r="1051" spans="1:2" x14ac:dyDescent="0.25">
      <c r="A1051" s="7">
        <v>464</v>
      </c>
      <c r="B1051" s="8" t="s">
        <v>555</v>
      </c>
    </row>
    <row r="1052" spans="1:2" x14ac:dyDescent="0.25">
      <c r="A1052" s="9">
        <v>4641</v>
      </c>
      <c r="B1052" s="8" t="s">
        <v>556</v>
      </c>
    </row>
    <row r="1053" spans="1:2" x14ac:dyDescent="0.25">
      <c r="A1053" s="9">
        <v>4642</v>
      </c>
      <c r="B1053" s="8" t="s">
        <v>557</v>
      </c>
    </row>
    <row r="1054" spans="1:2" x14ac:dyDescent="0.25">
      <c r="A1054" s="10">
        <v>46421</v>
      </c>
      <c r="B1054" s="8" t="s">
        <v>101</v>
      </c>
    </row>
    <row r="1055" spans="1:2" x14ac:dyDescent="0.25">
      <c r="A1055" s="10">
        <v>46422</v>
      </c>
      <c r="B1055" s="8" t="s">
        <v>102</v>
      </c>
    </row>
    <row r="1056" spans="1:2" x14ac:dyDescent="0.25">
      <c r="A1056" s="7">
        <v>465</v>
      </c>
      <c r="B1056" s="8" t="s">
        <v>558</v>
      </c>
    </row>
    <row r="1057" spans="1:2" x14ac:dyDescent="0.25">
      <c r="A1057" s="9">
        <v>4651</v>
      </c>
      <c r="B1057" s="8" t="s">
        <v>559</v>
      </c>
    </row>
    <row r="1058" spans="1:2" x14ac:dyDescent="0.25">
      <c r="A1058" s="9">
        <v>4652</v>
      </c>
      <c r="B1058" s="8" t="s">
        <v>409</v>
      </c>
    </row>
    <row r="1059" spans="1:2" x14ac:dyDescent="0.25">
      <c r="A1059" s="9">
        <v>4653</v>
      </c>
      <c r="B1059" s="8" t="s">
        <v>411</v>
      </c>
    </row>
    <row r="1060" spans="1:2" x14ac:dyDescent="0.25">
      <c r="A1060" s="9">
        <v>4654</v>
      </c>
      <c r="B1060" s="8" t="s">
        <v>560</v>
      </c>
    </row>
    <row r="1061" spans="1:2" x14ac:dyDescent="0.25">
      <c r="A1061" s="9">
        <v>4655</v>
      </c>
      <c r="B1061" s="8" t="s">
        <v>96</v>
      </c>
    </row>
    <row r="1062" spans="1:2" x14ac:dyDescent="0.25">
      <c r="A1062" s="9">
        <v>4656</v>
      </c>
      <c r="B1062" s="8" t="s">
        <v>97</v>
      </c>
    </row>
    <row r="1063" spans="1:2" x14ac:dyDescent="0.25">
      <c r="A1063" s="7">
        <v>467</v>
      </c>
      <c r="B1063" s="8" t="s">
        <v>561</v>
      </c>
    </row>
    <row r="1064" spans="1:2" x14ac:dyDescent="0.25">
      <c r="A1064" s="7">
        <v>469</v>
      </c>
      <c r="B1064" s="8" t="s">
        <v>562</v>
      </c>
    </row>
    <row r="1065" spans="1:2" x14ac:dyDescent="0.25">
      <c r="A1065" s="9">
        <v>4691</v>
      </c>
      <c r="B1065" s="8" t="s">
        <v>563</v>
      </c>
    </row>
    <row r="1066" spans="1:2" x14ac:dyDescent="0.25">
      <c r="A1066" s="9">
        <v>4692</v>
      </c>
      <c r="B1066" s="8" t="s">
        <v>564</v>
      </c>
    </row>
    <row r="1067" spans="1:2" x14ac:dyDescent="0.25">
      <c r="A1067" s="9">
        <v>4699</v>
      </c>
      <c r="B1067" s="8" t="s">
        <v>525</v>
      </c>
    </row>
    <row r="1068" spans="1:2" x14ac:dyDescent="0.25">
      <c r="A1068" s="10">
        <v>46991</v>
      </c>
      <c r="B1068" s="8" t="s">
        <v>565</v>
      </c>
    </row>
    <row r="1069" spans="1:2" x14ac:dyDescent="0.25">
      <c r="A1069" s="11">
        <v>47</v>
      </c>
      <c r="B1069" s="12" t="s">
        <v>566</v>
      </c>
    </row>
    <row r="1070" spans="1:2" x14ac:dyDescent="0.25">
      <c r="A1070" s="7">
        <v>471</v>
      </c>
      <c r="B1070" s="8" t="s">
        <v>62</v>
      </c>
    </row>
    <row r="1071" spans="1:2" x14ac:dyDescent="0.25">
      <c r="A1071" s="9">
        <v>4711</v>
      </c>
      <c r="B1071" s="8" t="s">
        <v>53</v>
      </c>
    </row>
    <row r="1072" spans="1:2" x14ac:dyDescent="0.25">
      <c r="A1072" s="9">
        <v>4712</v>
      </c>
      <c r="B1072" s="8" t="s">
        <v>54</v>
      </c>
    </row>
    <row r="1073" spans="1:2" x14ac:dyDescent="0.25">
      <c r="A1073" s="9">
        <v>4713</v>
      </c>
      <c r="B1073" s="8" t="s">
        <v>55</v>
      </c>
    </row>
    <row r="1074" spans="1:2" x14ac:dyDescent="0.25">
      <c r="A1074" s="9">
        <v>4714</v>
      </c>
      <c r="B1074" s="8" t="s">
        <v>56</v>
      </c>
    </row>
    <row r="1075" spans="1:2" x14ac:dyDescent="0.25">
      <c r="A1075" s="9">
        <v>4715</v>
      </c>
      <c r="B1075" s="8" t="s">
        <v>81</v>
      </c>
    </row>
    <row r="1076" spans="1:2" x14ac:dyDescent="0.25">
      <c r="A1076" s="7">
        <v>472</v>
      </c>
      <c r="B1076" s="8" t="s">
        <v>567</v>
      </c>
    </row>
    <row r="1077" spans="1:2" x14ac:dyDescent="0.25">
      <c r="A1077" s="9">
        <v>4721</v>
      </c>
      <c r="B1077" s="8" t="s">
        <v>53</v>
      </c>
    </row>
    <row r="1078" spans="1:2" x14ac:dyDescent="0.25">
      <c r="A1078" s="9">
        <v>4722</v>
      </c>
      <c r="B1078" s="8" t="s">
        <v>54</v>
      </c>
    </row>
    <row r="1079" spans="1:2" x14ac:dyDescent="0.25">
      <c r="A1079" s="9">
        <v>4723</v>
      </c>
      <c r="B1079" s="8" t="s">
        <v>55</v>
      </c>
    </row>
    <row r="1080" spans="1:2" x14ac:dyDescent="0.25">
      <c r="A1080" s="9">
        <v>4724</v>
      </c>
      <c r="B1080" s="8" t="s">
        <v>56</v>
      </c>
    </row>
    <row r="1081" spans="1:2" x14ac:dyDescent="0.25">
      <c r="A1081" s="9">
        <v>4725</v>
      </c>
      <c r="B1081" s="8" t="s">
        <v>81</v>
      </c>
    </row>
    <row r="1082" spans="1:2" x14ac:dyDescent="0.25">
      <c r="A1082" s="7">
        <v>473</v>
      </c>
      <c r="B1082" s="8" t="s">
        <v>58</v>
      </c>
    </row>
    <row r="1083" spans="1:2" x14ac:dyDescent="0.25">
      <c r="A1083" s="9">
        <v>4731</v>
      </c>
      <c r="B1083" s="8" t="s">
        <v>53</v>
      </c>
    </row>
    <row r="1084" spans="1:2" x14ac:dyDescent="0.25">
      <c r="A1084" s="9">
        <v>4732</v>
      </c>
      <c r="B1084" s="8" t="s">
        <v>54</v>
      </c>
    </row>
    <row r="1085" spans="1:2" x14ac:dyDescent="0.25">
      <c r="A1085" s="9">
        <v>4733</v>
      </c>
      <c r="B1085" s="8" t="s">
        <v>55</v>
      </c>
    </row>
    <row r="1086" spans="1:2" x14ac:dyDescent="0.25">
      <c r="A1086" s="9">
        <v>4734</v>
      </c>
      <c r="B1086" s="8" t="s">
        <v>56</v>
      </c>
    </row>
    <row r="1087" spans="1:2" x14ac:dyDescent="0.25">
      <c r="A1087" s="7">
        <v>474</v>
      </c>
      <c r="B1087" s="8" t="s">
        <v>84</v>
      </c>
    </row>
    <row r="1088" spans="1:2" x14ac:dyDescent="0.25">
      <c r="A1088" s="9">
        <v>4741</v>
      </c>
      <c r="B1088" s="8" t="s">
        <v>53</v>
      </c>
    </row>
    <row r="1089" spans="1:2" x14ac:dyDescent="0.25">
      <c r="A1089" s="9">
        <v>4742</v>
      </c>
      <c r="B1089" s="8" t="s">
        <v>54</v>
      </c>
    </row>
    <row r="1090" spans="1:2" x14ac:dyDescent="0.25">
      <c r="A1090" s="9">
        <v>4743</v>
      </c>
      <c r="B1090" s="8" t="s">
        <v>55</v>
      </c>
    </row>
    <row r="1091" spans="1:2" x14ac:dyDescent="0.25">
      <c r="A1091" s="9">
        <v>4744</v>
      </c>
      <c r="B1091" s="8" t="s">
        <v>56</v>
      </c>
    </row>
    <row r="1092" spans="1:2" x14ac:dyDescent="0.25">
      <c r="A1092" s="9">
        <v>4745</v>
      </c>
      <c r="B1092" s="8" t="s">
        <v>81</v>
      </c>
    </row>
    <row r="1093" spans="1:2" x14ac:dyDescent="0.25">
      <c r="A1093" s="7">
        <v>475</v>
      </c>
      <c r="B1093" s="8" t="s">
        <v>85</v>
      </c>
    </row>
    <row r="1094" spans="1:2" x14ac:dyDescent="0.25">
      <c r="A1094" s="9">
        <v>4751</v>
      </c>
      <c r="B1094" s="8" t="s">
        <v>53</v>
      </c>
    </row>
    <row r="1095" spans="1:2" x14ac:dyDescent="0.25">
      <c r="A1095" s="9">
        <v>4752</v>
      </c>
      <c r="B1095" s="8" t="s">
        <v>54</v>
      </c>
    </row>
    <row r="1096" spans="1:2" x14ac:dyDescent="0.25">
      <c r="A1096" s="9">
        <v>4753</v>
      </c>
      <c r="B1096" s="8" t="s">
        <v>55</v>
      </c>
    </row>
    <row r="1097" spans="1:2" x14ac:dyDescent="0.25">
      <c r="A1097" s="9">
        <v>4754</v>
      </c>
      <c r="B1097" s="8" t="s">
        <v>56</v>
      </c>
    </row>
    <row r="1098" spans="1:2" x14ac:dyDescent="0.25">
      <c r="A1098" s="9">
        <v>4755</v>
      </c>
      <c r="B1098" s="8" t="s">
        <v>81</v>
      </c>
    </row>
    <row r="1099" spans="1:2" x14ac:dyDescent="0.25">
      <c r="A1099" s="7">
        <v>477</v>
      </c>
      <c r="B1099" s="8" t="s">
        <v>568</v>
      </c>
    </row>
    <row r="1100" spans="1:2" x14ac:dyDescent="0.25">
      <c r="A1100" s="9">
        <v>4771</v>
      </c>
      <c r="B1100" s="8" t="s">
        <v>569</v>
      </c>
    </row>
    <row r="1101" spans="1:2" x14ac:dyDescent="0.25">
      <c r="A1101" s="10">
        <v>47711</v>
      </c>
      <c r="B1101" s="8" t="s">
        <v>53</v>
      </c>
    </row>
    <row r="1102" spans="1:2" x14ac:dyDescent="0.25">
      <c r="A1102" s="10">
        <v>47712</v>
      </c>
      <c r="B1102" s="8" t="s">
        <v>54</v>
      </c>
    </row>
    <row r="1103" spans="1:2" x14ac:dyDescent="0.25">
      <c r="A1103" s="10">
        <v>47713</v>
      </c>
      <c r="B1103" s="8" t="s">
        <v>55</v>
      </c>
    </row>
    <row r="1104" spans="1:2" x14ac:dyDescent="0.25">
      <c r="A1104" s="10">
        <v>47714</v>
      </c>
      <c r="B1104" s="8" t="s">
        <v>56</v>
      </c>
    </row>
    <row r="1105" spans="1:2" x14ac:dyDescent="0.25">
      <c r="A1105" s="10">
        <v>47715</v>
      </c>
      <c r="B1105" s="8" t="s">
        <v>81</v>
      </c>
    </row>
    <row r="1106" spans="1:2" x14ac:dyDescent="0.25">
      <c r="A1106" s="9">
        <v>4772</v>
      </c>
      <c r="B1106" s="8" t="s">
        <v>409</v>
      </c>
    </row>
    <row r="1107" spans="1:2" x14ac:dyDescent="0.25">
      <c r="A1107" s="10">
        <v>47721</v>
      </c>
      <c r="B1107" s="8" t="s">
        <v>53</v>
      </c>
    </row>
    <row r="1108" spans="1:2" x14ac:dyDescent="0.25">
      <c r="A1108" s="10">
        <v>47722</v>
      </c>
      <c r="B1108" s="8" t="s">
        <v>54</v>
      </c>
    </row>
    <row r="1109" spans="1:2" x14ac:dyDescent="0.25">
      <c r="A1109" s="10">
        <v>47723</v>
      </c>
      <c r="B1109" s="8" t="s">
        <v>55</v>
      </c>
    </row>
    <row r="1110" spans="1:2" x14ac:dyDescent="0.25">
      <c r="A1110" s="10">
        <v>47724</v>
      </c>
      <c r="B1110" s="8" t="s">
        <v>56</v>
      </c>
    </row>
    <row r="1111" spans="1:2" x14ac:dyDescent="0.25">
      <c r="A1111" s="10">
        <v>47725</v>
      </c>
      <c r="B1111" s="8" t="s">
        <v>81</v>
      </c>
    </row>
    <row r="1112" spans="1:2" x14ac:dyDescent="0.25">
      <c r="A1112" s="9">
        <v>4773</v>
      </c>
      <c r="B1112" s="8" t="s">
        <v>411</v>
      </c>
    </row>
    <row r="1113" spans="1:2" x14ac:dyDescent="0.25">
      <c r="A1113" s="10">
        <v>47731</v>
      </c>
      <c r="B1113" s="8" t="s">
        <v>53</v>
      </c>
    </row>
    <row r="1114" spans="1:2" x14ac:dyDescent="0.25">
      <c r="A1114" s="10">
        <v>47732</v>
      </c>
      <c r="B1114" s="8" t="s">
        <v>54</v>
      </c>
    </row>
    <row r="1115" spans="1:2" x14ac:dyDescent="0.25">
      <c r="A1115" s="10">
        <v>47733</v>
      </c>
      <c r="B1115" s="8" t="s">
        <v>55</v>
      </c>
    </row>
    <row r="1116" spans="1:2" x14ac:dyDescent="0.25">
      <c r="A1116" s="10">
        <v>47734</v>
      </c>
      <c r="B1116" s="8" t="s">
        <v>56</v>
      </c>
    </row>
    <row r="1117" spans="1:2" x14ac:dyDescent="0.25">
      <c r="A1117" s="10">
        <v>47735</v>
      </c>
      <c r="B1117" s="8" t="s">
        <v>81</v>
      </c>
    </row>
    <row r="1118" spans="1:2" x14ac:dyDescent="0.25">
      <c r="A1118" s="9">
        <v>4774</v>
      </c>
      <c r="B1118" s="8" t="s">
        <v>560</v>
      </c>
    </row>
    <row r="1119" spans="1:2" x14ac:dyDescent="0.25">
      <c r="A1119" s="10">
        <v>47741</v>
      </c>
      <c r="B1119" s="8" t="s">
        <v>53</v>
      </c>
    </row>
    <row r="1120" spans="1:2" x14ac:dyDescent="0.25">
      <c r="A1120" s="10">
        <v>47742</v>
      </c>
      <c r="B1120" s="8" t="s">
        <v>54</v>
      </c>
    </row>
    <row r="1121" spans="1:2" x14ac:dyDescent="0.25">
      <c r="A1121" s="10">
        <v>47743</v>
      </c>
      <c r="B1121" s="8" t="s">
        <v>55</v>
      </c>
    </row>
    <row r="1122" spans="1:2" x14ac:dyDescent="0.25">
      <c r="A1122" s="10">
        <v>47744</v>
      </c>
      <c r="B1122" s="8" t="s">
        <v>56</v>
      </c>
    </row>
    <row r="1123" spans="1:2" x14ac:dyDescent="0.25">
      <c r="A1123" s="10">
        <v>47745</v>
      </c>
      <c r="B1123" s="8" t="s">
        <v>81</v>
      </c>
    </row>
    <row r="1124" spans="1:2" x14ac:dyDescent="0.25">
      <c r="A1124" s="9">
        <v>4775</v>
      </c>
      <c r="B1124" s="8" t="s">
        <v>96</v>
      </c>
    </row>
    <row r="1125" spans="1:2" x14ac:dyDescent="0.25">
      <c r="A1125" s="10">
        <v>47751</v>
      </c>
      <c r="B1125" s="8" t="s">
        <v>53</v>
      </c>
    </row>
    <row r="1126" spans="1:2" x14ac:dyDescent="0.25">
      <c r="A1126" s="10">
        <v>47752</v>
      </c>
      <c r="B1126" s="8" t="s">
        <v>54</v>
      </c>
    </row>
    <row r="1127" spans="1:2" x14ac:dyDescent="0.25">
      <c r="A1127" s="10">
        <v>47753</v>
      </c>
      <c r="B1127" s="8" t="s">
        <v>55</v>
      </c>
    </row>
    <row r="1128" spans="1:2" x14ac:dyDescent="0.25">
      <c r="A1128" s="10">
        <v>47754</v>
      </c>
      <c r="B1128" s="8" t="s">
        <v>56</v>
      </c>
    </row>
    <row r="1129" spans="1:2" x14ac:dyDescent="0.25">
      <c r="A1129" s="10">
        <v>47755</v>
      </c>
      <c r="B1129" s="8" t="s">
        <v>81</v>
      </c>
    </row>
    <row r="1130" spans="1:2" x14ac:dyDescent="0.25">
      <c r="A1130" s="9">
        <v>4776</v>
      </c>
      <c r="B1130" s="8" t="s">
        <v>97</v>
      </c>
    </row>
    <row r="1131" spans="1:2" x14ac:dyDescent="0.25">
      <c r="A1131" s="10">
        <v>47761</v>
      </c>
      <c r="B1131" s="8" t="s">
        <v>53</v>
      </c>
    </row>
    <row r="1132" spans="1:2" x14ac:dyDescent="0.25">
      <c r="A1132" s="10">
        <v>47762</v>
      </c>
      <c r="B1132" s="8" t="s">
        <v>54</v>
      </c>
    </row>
    <row r="1133" spans="1:2" x14ac:dyDescent="0.25">
      <c r="A1133" s="10">
        <v>47763</v>
      </c>
      <c r="B1133" s="8" t="s">
        <v>55</v>
      </c>
    </row>
    <row r="1134" spans="1:2" x14ac:dyDescent="0.25">
      <c r="A1134" s="10">
        <v>47764</v>
      </c>
      <c r="B1134" s="8" t="s">
        <v>56</v>
      </c>
    </row>
    <row r="1135" spans="1:2" x14ac:dyDescent="0.25">
      <c r="A1135" s="10">
        <v>47765</v>
      </c>
      <c r="B1135" s="8" t="s">
        <v>81</v>
      </c>
    </row>
    <row r="1136" spans="1:2" x14ac:dyDescent="0.25">
      <c r="A1136" s="7">
        <v>479</v>
      </c>
      <c r="B1136" s="8" t="s">
        <v>562</v>
      </c>
    </row>
    <row r="1137" spans="1:2" x14ac:dyDescent="0.25">
      <c r="A1137" s="9">
        <v>4791</v>
      </c>
      <c r="B1137" s="8" t="s">
        <v>570</v>
      </c>
    </row>
    <row r="1138" spans="1:2" x14ac:dyDescent="0.25">
      <c r="A1138" s="10">
        <v>47911</v>
      </c>
      <c r="B1138" s="8" t="s">
        <v>53</v>
      </c>
    </row>
    <row r="1139" spans="1:2" x14ac:dyDescent="0.25">
      <c r="A1139" s="10">
        <v>47912</v>
      </c>
      <c r="B1139" s="8" t="s">
        <v>54</v>
      </c>
    </row>
    <row r="1140" spans="1:2" x14ac:dyDescent="0.25">
      <c r="A1140" s="10">
        <v>47913</v>
      </c>
      <c r="B1140" s="8" t="s">
        <v>55</v>
      </c>
    </row>
    <row r="1141" spans="1:2" x14ac:dyDescent="0.25">
      <c r="A1141" s="10">
        <v>47914</v>
      </c>
      <c r="B1141" s="8" t="s">
        <v>56</v>
      </c>
    </row>
    <row r="1142" spans="1:2" x14ac:dyDescent="0.25">
      <c r="A1142" s="10">
        <v>47915</v>
      </c>
      <c r="B1142" s="8" t="s">
        <v>81</v>
      </c>
    </row>
    <row r="1143" spans="1:2" x14ac:dyDescent="0.25">
      <c r="A1143" s="11">
        <v>48</v>
      </c>
      <c r="B1143" s="12" t="s">
        <v>571</v>
      </c>
    </row>
    <row r="1144" spans="1:2" x14ac:dyDescent="0.25">
      <c r="A1144" s="7">
        <v>481</v>
      </c>
      <c r="B1144" s="8" t="s">
        <v>572</v>
      </c>
    </row>
    <row r="1145" spans="1:2" x14ac:dyDescent="0.25">
      <c r="A1145" s="7">
        <v>482</v>
      </c>
      <c r="B1145" s="8" t="s">
        <v>573</v>
      </c>
    </row>
    <row r="1146" spans="1:2" x14ac:dyDescent="0.25">
      <c r="A1146" s="7">
        <v>483</v>
      </c>
      <c r="B1146" s="8" t="s">
        <v>574</v>
      </c>
    </row>
    <row r="1147" spans="1:2" x14ac:dyDescent="0.25">
      <c r="A1147" s="7">
        <v>484</v>
      </c>
      <c r="B1147" s="8" t="s">
        <v>575</v>
      </c>
    </row>
    <row r="1148" spans="1:2" x14ac:dyDescent="0.25">
      <c r="A1148" s="7">
        <v>485</v>
      </c>
      <c r="B1148" s="8" t="s">
        <v>576</v>
      </c>
    </row>
    <row r="1149" spans="1:2" x14ac:dyDescent="0.25">
      <c r="A1149" s="7">
        <v>486</v>
      </c>
      <c r="B1149" s="8" t="s">
        <v>577</v>
      </c>
    </row>
    <row r="1150" spans="1:2" x14ac:dyDescent="0.25">
      <c r="A1150" s="7">
        <v>489</v>
      </c>
      <c r="B1150" s="8" t="s">
        <v>578</v>
      </c>
    </row>
    <row r="1151" spans="1:2" x14ac:dyDescent="0.25">
      <c r="A1151" s="11">
        <v>49</v>
      </c>
      <c r="B1151" s="12" t="s">
        <v>579</v>
      </c>
    </row>
    <row r="1152" spans="1:2" x14ac:dyDescent="0.25">
      <c r="A1152" s="7">
        <v>491</v>
      </c>
      <c r="B1152" s="8" t="s">
        <v>390</v>
      </c>
    </row>
    <row r="1153" spans="1:2" x14ac:dyDescent="0.25">
      <c r="A1153" s="9">
        <v>4911</v>
      </c>
      <c r="B1153" s="8" t="s">
        <v>391</v>
      </c>
    </row>
    <row r="1154" spans="1:2" x14ac:dyDescent="0.25">
      <c r="A1154" s="9">
        <v>4912</v>
      </c>
      <c r="B1154" s="8" t="s">
        <v>580</v>
      </c>
    </row>
    <row r="1155" spans="1:2" x14ac:dyDescent="0.25">
      <c r="A1155" s="7">
        <v>492</v>
      </c>
      <c r="B1155" s="8" t="s">
        <v>393</v>
      </c>
    </row>
    <row r="1156" spans="1:2" x14ac:dyDescent="0.25">
      <c r="A1156" s="9">
        <v>4921</v>
      </c>
      <c r="B1156" s="8" t="s">
        <v>394</v>
      </c>
    </row>
    <row r="1157" spans="1:2" x14ac:dyDescent="0.25">
      <c r="A1157" s="9">
        <v>4922</v>
      </c>
      <c r="B1157" s="8" t="s">
        <v>395</v>
      </c>
    </row>
    <row r="1158" spans="1:2" x14ac:dyDescent="0.25">
      <c r="A1158" s="7">
        <v>493</v>
      </c>
      <c r="B1158" s="8" t="s">
        <v>396</v>
      </c>
    </row>
    <row r="1159" spans="1:2" x14ac:dyDescent="0.25">
      <c r="A1159" s="9">
        <v>4931</v>
      </c>
      <c r="B1159" s="8" t="s">
        <v>397</v>
      </c>
    </row>
    <row r="1160" spans="1:2" x14ac:dyDescent="0.25">
      <c r="A1160" s="10">
        <v>49311</v>
      </c>
      <c r="B1160" s="8" t="s">
        <v>581</v>
      </c>
    </row>
    <row r="1161" spans="1:2" x14ac:dyDescent="0.25">
      <c r="A1161" s="9">
        <v>4932</v>
      </c>
      <c r="B1161" s="8" t="s">
        <v>398</v>
      </c>
    </row>
    <row r="1162" spans="1:2" x14ac:dyDescent="0.25">
      <c r="A1162" s="7">
        <v>494</v>
      </c>
      <c r="B1162" s="8" t="s">
        <v>582</v>
      </c>
    </row>
    <row r="1163" spans="1:2" x14ac:dyDescent="0.25">
      <c r="A1163" s="7">
        <v>495</v>
      </c>
      <c r="B1163" s="8" t="s">
        <v>583</v>
      </c>
    </row>
    <row r="1164" spans="1:2" x14ac:dyDescent="0.25">
      <c r="A1164" s="7">
        <v>496</v>
      </c>
      <c r="B1164" s="8" t="s">
        <v>584</v>
      </c>
    </row>
    <row r="1165" spans="1:2" x14ac:dyDescent="0.25">
      <c r="A1165" s="7">
        <v>497</v>
      </c>
      <c r="B1165" s="8" t="s">
        <v>585</v>
      </c>
    </row>
    <row r="1166" spans="1:2" x14ac:dyDescent="0.25">
      <c r="A1166" s="11">
        <v>50</v>
      </c>
      <c r="B1166" s="12" t="s">
        <v>586</v>
      </c>
    </row>
    <row r="1167" spans="1:2" x14ac:dyDescent="0.25">
      <c r="A1167" s="7">
        <v>501</v>
      </c>
      <c r="B1167" s="8" t="s">
        <v>587</v>
      </c>
    </row>
    <row r="1168" spans="1:2" x14ac:dyDescent="0.25">
      <c r="A1168" s="9">
        <v>5011</v>
      </c>
      <c r="B1168" s="8" t="s">
        <v>588</v>
      </c>
    </row>
    <row r="1169" spans="1:2" x14ac:dyDescent="0.25">
      <c r="A1169" s="10">
        <v>50111</v>
      </c>
      <c r="B1169" s="8" t="s">
        <v>589</v>
      </c>
    </row>
    <row r="1170" spans="1:2" x14ac:dyDescent="0.25">
      <c r="A1170" s="9">
        <v>5012</v>
      </c>
      <c r="B1170" s="8" t="s">
        <v>590</v>
      </c>
    </row>
    <row r="1171" spans="1:2" x14ac:dyDescent="0.25">
      <c r="A1171" s="7">
        <v>502</v>
      </c>
      <c r="B1171" s="8" t="s">
        <v>591</v>
      </c>
    </row>
    <row r="1172" spans="1:2" x14ac:dyDescent="0.25">
      <c r="A1172" s="11">
        <v>51</v>
      </c>
      <c r="B1172" s="12" t="s">
        <v>592</v>
      </c>
    </row>
    <row r="1173" spans="1:2" x14ac:dyDescent="0.25">
      <c r="A1173" s="7">
        <v>511</v>
      </c>
      <c r="B1173" s="8" t="s">
        <v>593</v>
      </c>
    </row>
    <row r="1174" spans="1:2" x14ac:dyDescent="0.25">
      <c r="A1174" s="7">
        <v>512</v>
      </c>
      <c r="B1174" s="8" t="s">
        <v>594</v>
      </c>
    </row>
    <row r="1175" spans="1:2" x14ac:dyDescent="0.25">
      <c r="A1175" s="11">
        <v>52</v>
      </c>
      <c r="B1175" s="12" t="s">
        <v>595</v>
      </c>
    </row>
    <row r="1176" spans="1:2" x14ac:dyDescent="0.25">
      <c r="A1176" s="7">
        <v>521</v>
      </c>
      <c r="B1176" s="8" t="s">
        <v>596</v>
      </c>
    </row>
    <row r="1177" spans="1:2" x14ac:dyDescent="0.25">
      <c r="A1177" s="7">
        <v>522</v>
      </c>
      <c r="B1177" s="8" t="s">
        <v>597</v>
      </c>
    </row>
    <row r="1178" spans="1:2" x14ac:dyDescent="0.25">
      <c r="A1178" s="9">
        <v>5221</v>
      </c>
      <c r="B1178" s="8" t="s">
        <v>598</v>
      </c>
    </row>
    <row r="1179" spans="1:2" x14ac:dyDescent="0.25">
      <c r="A1179" s="10">
        <v>52211</v>
      </c>
      <c r="B1179" s="8" t="s">
        <v>599</v>
      </c>
    </row>
    <row r="1180" spans="1:2" x14ac:dyDescent="0.25">
      <c r="A1180" s="9">
        <v>5222</v>
      </c>
      <c r="B1180" s="8" t="s">
        <v>600</v>
      </c>
    </row>
    <row r="1181" spans="1:2" x14ac:dyDescent="0.25">
      <c r="A1181" s="9">
        <v>5223</v>
      </c>
      <c r="B1181" s="8" t="s">
        <v>601</v>
      </c>
    </row>
    <row r="1182" spans="1:2" x14ac:dyDescent="0.25">
      <c r="A1182" s="9">
        <v>5224</v>
      </c>
      <c r="B1182" s="8" t="s">
        <v>602</v>
      </c>
    </row>
    <row r="1183" spans="1:2" x14ac:dyDescent="0.25">
      <c r="A1183" s="7">
        <v>523</v>
      </c>
      <c r="B1183" s="8" t="s">
        <v>603</v>
      </c>
    </row>
    <row r="1184" spans="1:2" x14ac:dyDescent="0.25">
      <c r="A1184" s="11">
        <v>56</v>
      </c>
      <c r="B1184" s="12" t="s">
        <v>604</v>
      </c>
    </row>
    <row r="1185" spans="1:2" x14ac:dyDescent="0.25">
      <c r="A1185" s="7">
        <v>561</v>
      </c>
      <c r="B1185" s="8" t="s">
        <v>605</v>
      </c>
    </row>
    <row r="1186" spans="1:2" x14ac:dyDescent="0.25">
      <c r="A1186" s="7">
        <v>562</v>
      </c>
      <c r="B1186" s="8" t="s">
        <v>606</v>
      </c>
    </row>
    <row r="1187" spans="1:2" x14ac:dyDescent="0.25">
      <c r="A1187" s="7">
        <v>563</v>
      </c>
      <c r="B1187" s="8" t="s">
        <v>607</v>
      </c>
    </row>
    <row r="1188" spans="1:2" x14ac:dyDescent="0.25">
      <c r="A1188" s="9">
        <v>5631</v>
      </c>
      <c r="B1188" s="8" t="s">
        <v>608</v>
      </c>
    </row>
    <row r="1189" spans="1:2" x14ac:dyDescent="0.25">
      <c r="A1189" s="9">
        <v>5632</v>
      </c>
      <c r="B1189" s="8" t="s">
        <v>609</v>
      </c>
    </row>
    <row r="1190" spans="1:2" x14ac:dyDescent="0.25">
      <c r="A1190" s="7">
        <v>564</v>
      </c>
      <c r="B1190" s="8" t="s">
        <v>610</v>
      </c>
    </row>
    <row r="1191" spans="1:2" x14ac:dyDescent="0.25">
      <c r="A1191" s="9">
        <v>5641</v>
      </c>
      <c r="B1191" s="8" t="s">
        <v>608</v>
      </c>
    </row>
    <row r="1192" spans="1:2" x14ac:dyDescent="0.25">
      <c r="A1192" s="9">
        <v>5642</v>
      </c>
      <c r="B1192" s="8" t="s">
        <v>609</v>
      </c>
    </row>
    <row r="1193" spans="1:2" x14ac:dyDescent="0.25">
      <c r="A1193" s="11">
        <v>57</v>
      </c>
      <c r="B1193" s="12" t="s">
        <v>611</v>
      </c>
    </row>
    <row r="1194" spans="1:2" x14ac:dyDescent="0.25">
      <c r="A1194" s="7">
        <v>571</v>
      </c>
      <c r="B1194" s="8" t="s">
        <v>612</v>
      </c>
    </row>
    <row r="1195" spans="1:2" x14ac:dyDescent="0.25">
      <c r="A1195" s="9">
        <v>5711</v>
      </c>
      <c r="B1195" s="8" t="s">
        <v>409</v>
      </c>
    </row>
    <row r="1196" spans="1:2" x14ac:dyDescent="0.25">
      <c r="A1196" s="9">
        <v>5712</v>
      </c>
      <c r="B1196" s="8" t="s">
        <v>613</v>
      </c>
    </row>
    <row r="1197" spans="1:2" x14ac:dyDescent="0.25">
      <c r="A1197" s="9">
        <v>5713</v>
      </c>
      <c r="B1197" s="8" t="s">
        <v>96</v>
      </c>
    </row>
    <row r="1198" spans="1:2" x14ac:dyDescent="0.25">
      <c r="A1198" s="7">
        <v>572</v>
      </c>
      <c r="B1198" s="8" t="s">
        <v>614</v>
      </c>
    </row>
    <row r="1199" spans="1:2" x14ac:dyDescent="0.25">
      <c r="A1199" s="7">
        <v>573</v>
      </c>
      <c r="B1199" s="8" t="s">
        <v>615</v>
      </c>
    </row>
    <row r="1200" spans="1:2" x14ac:dyDescent="0.25">
      <c r="A1200" s="11">
        <v>58</v>
      </c>
      <c r="B1200" s="12" t="s">
        <v>616</v>
      </c>
    </row>
    <row r="1201" spans="1:2" x14ac:dyDescent="0.25">
      <c r="A1201" s="7">
        <v>581</v>
      </c>
      <c r="B1201" s="8" t="s">
        <v>617</v>
      </c>
    </row>
    <row r="1202" spans="1:2" x14ac:dyDescent="0.25">
      <c r="A1202" s="7">
        <v>582</v>
      </c>
      <c r="B1202" s="8" t="s">
        <v>618</v>
      </c>
    </row>
    <row r="1203" spans="1:2" x14ac:dyDescent="0.25">
      <c r="A1203" s="10">
        <v>58211</v>
      </c>
      <c r="B1203" s="8" t="s">
        <v>619</v>
      </c>
    </row>
    <row r="1204" spans="1:2" x14ac:dyDescent="0.25">
      <c r="A1204" s="7">
        <v>583</v>
      </c>
      <c r="B1204" s="8" t="s">
        <v>620</v>
      </c>
    </row>
    <row r="1205" spans="1:2" x14ac:dyDescent="0.25">
      <c r="A1205" s="7">
        <v>584</v>
      </c>
      <c r="B1205" s="8" t="s">
        <v>621</v>
      </c>
    </row>
    <row r="1206" spans="1:2" x14ac:dyDescent="0.25">
      <c r="A1206" s="7">
        <v>585</v>
      </c>
      <c r="B1206" s="8" t="s">
        <v>622</v>
      </c>
    </row>
    <row r="1207" spans="1:2" x14ac:dyDescent="0.25">
      <c r="A1207" s="7">
        <v>589</v>
      </c>
      <c r="B1207" s="8" t="s">
        <v>623</v>
      </c>
    </row>
    <row r="1208" spans="1:2" x14ac:dyDescent="0.25">
      <c r="A1208" s="11">
        <v>59</v>
      </c>
      <c r="B1208" s="12" t="s">
        <v>624</v>
      </c>
    </row>
    <row r="1209" spans="1:2" x14ac:dyDescent="0.25">
      <c r="A1209" s="7">
        <v>591</v>
      </c>
      <c r="B1209" s="8" t="s">
        <v>625</v>
      </c>
    </row>
    <row r="1210" spans="1:2" x14ac:dyDescent="0.25">
      <c r="A1210" s="9">
        <v>5911</v>
      </c>
      <c r="B1210" s="8" t="s">
        <v>626</v>
      </c>
    </row>
    <row r="1211" spans="1:2" x14ac:dyDescent="0.25">
      <c r="A1211" s="10">
        <v>59111</v>
      </c>
      <c r="B1211" s="8" t="s">
        <v>627</v>
      </c>
    </row>
    <row r="1212" spans="1:2" x14ac:dyDescent="0.25">
      <c r="A1212" s="10">
        <v>59112</v>
      </c>
      <c r="B1212" s="8" t="s">
        <v>628</v>
      </c>
    </row>
    <row r="1213" spans="1:2" x14ac:dyDescent="0.25">
      <c r="A1213" s="9">
        <v>5912</v>
      </c>
      <c r="B1213" s="8" t="s">
        <v>629</v>
      </c>
    </row>
    <row r="1214" spans="1:2" x14ac:dyDescent="0.25">
      <c r="A1214" s="7">
        <v>592</v>
      </c>
      <c r="B1214" s="8" t="s">
        <v>630</v>
      </c>
    </row>
    <row r="1215" spans="1:2" x14ac:dyDescent="0.25">
      <c r="A1215" s="9">
        <v>5921</v>
      </c>
      <c r="B1215" s="8" t="s">
        <v>631</v>
      </c>
    </row>
    <row r="1216" spans="1:2" x14ac:dyDescent="0.25">
      <c r="A1216" s="9">
        <v>5922</v>
      </c>
      <c r="B1216" s="8" t="s">
        <v>632</v>
      </c>
    </row>
    <row r="1217" spans="1:2" x14ac:dyDescent="0.25">
      <c r="A1217" s="11">
        <v>60</v>
      </c>
      <c r="B1217" s="12" t="s">
        <v>633</v>
      </c>
    </row>
    <row r="1218" spans="1:2" x14ac:dyDescent="0.25">
      <c r="A1218" s="7">
        <v>601</v>
      </c>
      <c r="B1218" s="8" t="s">
        <v>234</v>
      </c>
    </row>
    <row r="1219" spans="1:2" x14ac:dyDescent="0.25">
      <c r="A1219" s="9">
        <v>6011</v>
      </c>
      <c r="B1219" s="8" t="s">
        <v>142</v>
      </c>
    </row>
    <row r="1220" spans="1:2" x14ac:dyDescent="0.25">
      <c r="A1220" s="10">
        <v>60111</v>
      </c>
      <c r="B1220" s="8" t="s">
        <v>31</v>
      </c>
    </row>
    <row r="1221" spans="1:2" x14ac:dyDescent="0.25">
      <c r="A1221" s="10">
        <v>60112</v>
      </c>
      <c r="B1221" s="8" t="s">
        <v>32</v>
      </c>
    </row>
    <row r="1222" spans="1:2" x14ac:dyDescent="0.25">
      <c r="A1222" s="9">
        <v>6012</v>
      </c>
      <c r="B1222" s="8" t="s">
        <v>239</v>
      </c>
    </row>
    <row r="1223" spans="1:2" x14ac:dyDescent="0.25">
      <c r="A1223" s="9">
        <v>6013</v>
      </c>
      <c r="B1223" s="8" t="s">
        <v>240</v>
      </c>
    </row>
    <row r="1224" spans="1:2" x14ac:dyDescent="0.25">
      <c r="A1224" s="17">
        <v>60131</v>
      </c>
      <c r="B1224" s="18" t="s">
        <v>146</v>
      </c>
    </row>
    <row r="1225" spans="1:2" x14ac:dyDescent="0.25">
      <c r="A1225" s="17">
        <v>60132</v>
      </c>
      <c r="B1225" s="18" t="s">
        <v>147</v>
      </c>
    </row>
    <row r="1226" spans="1:2" x14ac:dyDescent="0.25">
      <c r="A1226" s="9">
        <v>6014</v>
      </c>
      <c r="B1226" s="8" t="s">
        <v>241</v>
      </c>
    </row>
    <row r="1227" spans="1:2" x14ac:dyDescent="0.25">
      <c r="A1227" s="9">
        <v>6018</v>
      </c>
      <c r="B1227" s="8" t="s">
        <v>149</v>
      </c>
    </row>
    <row r="1228" spans="1:2" x14ac:dyDescent="0.25">
      <c r="A1228" s="7">
        <v>602</v>
      </c>
      <c r="B1228" s="8" t="s">
        <v>235</v>
      </c>
    </row>
    <row r="1229" spans="1:2" x14ac:dyDescent="0.25">
      <c r="A1229" s="9">
        <v>6021</v>
      </c>
      <c r="B1229" s="8" t="s">
        <v>260</v>
      </c>
    </row>
    <row r="1230" spans="1:2" x14ac:dyDescent="0.25">
      <c r="A1230" s="9">
        <v>6022</v>
      </c>
      <c r="B1230" s="8" t="s">
        <v>261</v>
      </c>
    </row>
    <row r="1231" spans="1:2" x14ac:dyDescent="0.25">
      <c r="A1231" s="9">
        <v>6023</v>
      </c>
      <c r="B1231" s="8" t="s">
        <v>634</v>
      </c>
    </row>
    <row r="1232" spans="1:2" x14ac:dyDescent="0.25">
      <c r="A1232" s="9">
        <v>6024</v>
      </c>
      <c r="B1232" s="8" t="s">
        <v>263</v>
      </c>
    </row>
    <row r="1233" spans="1:2" x14ac:dyDescent="0.25">
      <c r="A1233" s="7">
        <v>603</v>
      </c>
      <c r="B1233" s="8" t="s">
        <v>236</v>
      </c>
    </row>
    <row r="1234" spans="1:2" x14ac:dyDescent="0.25">
      <c r="A1234" s="9">
        <v>6031</v>
      </c>
      <c r="B1234" s="8" t="s">
        <v>264</v>
      </c>
    </row>
    <row r="1235" spans="1:2" x14ac:dyDescent="0.25">
      <c r="A1235" s="9">
        <v>6032</v>
      </c>
      <c r="B1235" s="8" t="s">
        <v>180</v>
      </c>
    </row>
    <row r="1236" spans="1:2" x14ac:dyDescent="0.25">
      <c r="A1236" s="10">
        <v>60321</v>
      </c>
      <c r="B1236" s="8" t="s">
        <v>181</v>
      </c>
    </row>
    <row r="1237" spans="1:2" x14ac:dyDescent="0.25">
      <c r="A1237" s="10">
        <v>60322</v>
      </c>
      <c r="B1237" s="8" t="s">
        <v>183</v>
      </c>
    </row>
    <row r="1238" spans="1:2" x14ac:dyDescent="0.25">
      <c r="A1238" s="10">
        <v>60323</v>
      </c>
      <c r="B1238" s="8" t="s">
        <v>185</v>
      </c>
    </row>
    <row r="1239" spans="1:2" x14ac:dyDescent="0.25">
      <c r="A1239" s="10">
        <v>60324</v>
      </c>
      <c r="B1239" s="8" t="s">
        <v>186</v>
      </c>
    </row>
    <row r="1240" spans="1:2" x14ac:dyDescent="0.25">
      <c r="A1240" s="9">
        <v>6033</v>
      </c>
      <c r="B1240" s="8" t="s">
        <v>188</v>
      </c>
    </row>
    <row r="1241" spans="1:2" x14ac:dyDescent="0.25">
      <c r="A1241" s="7">
        <v>604</v>
      </c>
      <c r="B1241" s="8" t="s">
        <v>237</v>
      </c>
    </row>
    <row r="1242" spans="1:2" x14ac:dyDescent="0.25">
      <c r="A1242" s="9">
        <v>6041</v>
      </c>
      <c r="B1242" s="8" t="s">
        <v>196</v>
      </c>
    </row>
    <row r="1243" spans="1:2" x14ac:dyDescent="0.25">
      <c r="A1243" s="9">
        <v>6042</v>
      </c>
      <c r="B1243" s="8" t="s">
        <v>197</v>
      </c>
    </row>
    <row r="1244" spans="1:2" x14ac:dyDescent="0.25">
      <c r="A1244" s="7">
        <v>609</v>
      </c>
      <c r="B1244" s="8" t="s">
        <v>635</v>
      </c>
    </row>
    <row r="1245" spans="1:2" x14ac:dyDescent="0.25">
      <c r="A1245" s="9">
        <v>6091</v>
      </c>
      <c r="B1245" s="8" t="s">
        <v>636</v>
      </c>
    </row>
    <row r="1246" spans="1:2" x14ac:dyDescent="0.25">
      <c r="A1246" s="10">
        <v>60911</v>
      </c>
      <c r="B1246" s="8" t="s">
        <v>637</v>
      </c>
    </row>
    <row r="1247" spans="1:2" x14ac:dyDescent="0.25">
      <c r="A1247" s="10">
        <v>60912</v>
      </c>
      <c r="B1247" s="8" t="s">
        <v>110</v>
      </c>
    </row>
    <row r="1248" spans="1:2" x14ac:dyDescent="0.25">
      <c r="A1248" s="10">
        <v>60913</v>
      </c>
      <c r="B1248" s="8" t="s">
        <v>446</v>
      </c>
    </row>
    <row r="1249" spans="1:2" x14ac:dyDescent="0.25">
      <c r="A1249" s="10">
        <v>60914</v>
      </c>
      <c r="B1249" s="8" t="s">
        <v>638</v>
      </c>
    </row>
    <row r="1250" spans="1:2" x14ac:dyDescent="0.25">
      <c r="A1250" s="10">
        <v>60919</v>
      </c>
      <c r="B1250" s="8" t="s">
        <v>639</v>
      </c>
    </row>
    <row r="1251" spans="1:2" x14ac:dyDescent="0.25">
      <c r="A1251" s="9">
        <v>6092</v>
      </c>
      <c r="B1251" s="8" t="s">
        <v>640</v>
      </c>
    </row>
    <row r="1252" spans="1:2" x14ac:dyDescent="0.25">
      <c r="A1252" s="10">
        <v>60921</v>
      </c>
      <c r="B1252" s="19" t="s">
        <v>637</v>
      </c>
    </row>
    <row r="1253" spans="1:2" x14ac:dyDescent="0.25">
      <c r="A1253" s="10">
        <v>609211</v>
      </c>
      <c r="B1253" s="8" t="s">
        <v>260</v>
      </c>
    </row>
    <row r="1254" spans="1:2" x14ac:dyDescent="0.25">
      <c r="A1254" s="10">
        <v>609212</v>
      </c>
      <c r="B1254" s="8" t="s">
        <v>261</v>
      </c>
    </row>
    <row r="1255" spans="1:2" x14ac:dyDescent="0.25">
      <c r="A1255" s="10">
        <v>609213</v>
      </c>
      <c r="B1255" s="8" t="s">
        <v>634</v>
      </c>
    </row>
    <row r="1256" spans="1:2" x14ac:dyDescent="0.25">
      <c r="A1256" s="10">
        <v>609214</v>
      </c>
      <c r="B1256" s="8" t="s">
        <v>263</v>
      </c>
    </row>
    <row r="1257" spans="1:2" x14ac:dyDescent="0.25">
      <c r="A1257" s="10">
        <v>60922</v>
      </c>
      <c r="B1257" s="19" t="s">
        <v>110</v>
      </c>
    </row>
    <row r="1258" spans="1:2" x14ac:dyDescent="0.25">
      <c r="A1258" s="10">
        <v>609221</v>
      </c>
      <c r="B1258" s="8" t="s">
        <v>260</v>
      </c>
    </row>
    <row r="1259" spans="1:2" x14ac:dyDescent="0.25">
      <c r="A1259" s="10">
        <v>609222</v>
      </c>
      <c r="B1259" s="8" t="s">
        <v>261</v>
      </c>
    </row>
    <row r="1260" spans="1:2" x14ac:dyDescent="0.25">
      <c r="A1260" s="10">
        <v>609223</v>
      </c>
      <c r="B1260" s="8" t="s">
        <v>634</v>
      </c>
    </row>
    <row r="1261" spans="1:2" x14ac:dyDescent="0.25">
      <c r="A1261" s="10">
        <v>609224</v>
      </c>
      <c r="B1261" s="8" t="s">
        <v>263</v>
      </c>
    </row>
    <row r="1262" spans="1:2" x14ac:dyDescent="0.25">
      <c r="A1262" s="10">
        <v>60923</v>
      </c>
      <c r="B1262" s="19" t="s">
        <v>446</v>
      </c>
    </row>
    <row r="1263" spans="1:2" x14ac:dyDescent="0.25">
      <c r="A1263" s="10">
        <v>609231</v>
      </c>
      <c r="B1263" s="8" t="s">
        <v>260</v>
      </c>
    </row>
    <row r="1264" spans="1:2" x14ac:dyDescent="0.25">
      <c r="A1264" s="10">
        <v>609232</v>
      </c>
      <c r="B1264" s="8" t="s">
        <v>261</v>
      </c>
    </row>
    <row r="1265" spans="1:2" x14ac:dyDescent="0.25">
      <c r="A1265" s="10">
        <v>609233</v>
      </c>
      <c r="B1265" s="8" t="s">
        <v>634</v>
      </c>
    </row>
    <row r="1266" spans="1:2" x14ac:dyDescent="0.25">
      <c r="A1266" s="10">
        <v>609234</v>
      </c>
      <c r="B1266" s="8" t="s">
        <v>263</v>
      </c>
    </row>
    <row r="1267" spans="1:2" x14ac:dyDescent="0.25">
      <c r="A1267" s="10">
        <v>60924</v>
      </c>
      <c r="B1267" s="19" t="s">
        <v>638</v>
      </c>
    </row>
    <row r="1268" spans="1:2" x14ac:dyDescent="0.25">
      <c r="A1268" s="10">
        <v>609241</v>
      </c>
      <c r="B1268" s="8" t="s">
        <v>260</v>
      </c>
    </row>
    <row r="1269" spans="1:2" x14ac:dyDescent="0.25">
      <c r="A1269" s="10">
        <v>609242</v>
      </c>
      <c r="B1269" s="8" t="s">
        <v>261</v>
      </c>
    </row>
    <row r="1270" spans="1:2" x14ac:dyDescent="0.25">
      <c r="A1270" s="10">
        <v>609243</v>
      </c>
      <c r="B1270" s="8" t="s">
        <v>634</v>
      </c>
    </row>
    <row r="1271" spans="1:2" x14ac:dyDescent="0.25">
      <c r="A1271" s="10">
        <v>609244</v>
      </c>
      <c r="B1271" s="8" t="s">
        <v>263</v>
      </c>
    </row>
    <row r="1272" spans="1:2" x14ac:dyDescent="0.25">
      <c r="A1272" s="10">
        <v>60925</v>
      </c>
      <c r="B1272" s="19" t="s">
        <v>639</v>
      </c>
    </row>
    <row r="1273" spans="1:2" x14ac:dyDescent="0.25">
      <c r="A1273" s="10">
        <v>609251</v>
      </c>
      <c r="B1273" s="8" t="s">
        <v>260</v>
      </c>
    </row>
    <row r="1274" spans="1:2" x14ac:dyDescent="0.25">
      <c r="A1274" s="10">
        <v>609252</v>
      </c>
      <c r="B1274" s="8" t="s">
        <v>261</v>
      </c>
    </row>
    <row r="1275" spans="1:2" x14ac:dyDescent="0.25">
      <c r="A1275" s="10">
        <v>609253</v>
      </c>
      <c r="B1275" s="8" t="s">
        <v>634</v>
      </c>
    </row>
    <row r="1276" spans="1:2" x14ac:dyDescent="0.25">
      <c r="A1276" s="10">
        <v>609254</v>
      </c>
      <c r="B1276" s="8" t="s">
        <v>263</v>
      </c>
    </row>
    <row r="1277" spans="1:2" x14ac:dyDescent="0.25">
      <c r="A1277" s="9">
        <v>6093</v>
      </c>
      <c r="B1277" s="8" t="s">
        <v>641</v>
      </c>
    </row>
    <row r="1278" spans="1:2" x14ac:dyDescent="0.25">
      <c r="A1278" s="10">
        <v>60931</v>
      </c>
      <c r="B1278" s="8" t="s">
        <v>637</v>
      </c>
    </row>
    <row r="1279" spans="1:2" x14ac:dyDescent="0.25">
      <c r="A1279" s="10">
        <v>609311</v>
      </c>
      <c r="B1279" s="8" t="s">
        <v>264</v>
      </c>
    </row>
    <row r="1280" spans="1:2" x14ac:dyDescent="0.25">
      <c r="A1280" s="10">
        <v>609312</v>
      </c>
      <c r="B1280" s="8" t="s">
        <v>181</v>
      </c>
    </row>
    <row r="1281" spans="1:2" x14ac:dyDescent="0.25">
      <c r="A1281" s="10">
        <v>609313</v>
      </c>
      <c r="B1281" s="8" t="s">
        <v>183</v>
      </c>
    </row>
    <row r="1282" spans="1:2" x14ac:dyDescent="0.25">
      <c r="A1282" s="10">
        <v>609314</v>
      </c>
      <c r="B1282" s="8" t="s">
        <v>185</v>
      </c>
    </row>
    <row r="1283" spans="1:2" x14ac:dyDescent="0.25">
      <c r="A1283" s="10">
        <v>609315</v>
      </c>
      <c r="B1283" s="8" t="s">
        <v>186</v>
      </c>
    </row>
    <row r="1284" spans="1:2" x14ac:dyDescent="0.25">
      <c r="A1284" s="10">
        <v>609316</v>
      </c>
      <c r="B1284" s="8" t="s">
        <v>188</v>
      </c>
    </row>
    <row r="1285" spans="1:2" x14ac:dyDescent="0.25">
      <c r="A1285" s="10">
        <v>60932</v>
      </c>
      <c r="B1285" s="8" t="s">
        <v>110</v>
      </c>
    </row>
    <row r="1286" spans="1:2" x14ac:dyDescent="0.25">
      <c r="A1286" s="10">
        <v>609321</v>
      </c>
      <c r="B1286" s="8" t="s">
        <v>264</v>
      </c>
    </row>
    <row r="1287" spans="1:2" x14ac:dyDescent="0.25">
      <c r="A1287" s="10">
        <v>609322</v>
      </c>
      <c r="B1287" s="8" t="s">
        <v>181</v>
      </c>
    </row>
    <row r="1288" spans="1:2" x14ac:dyDescent="0.25">
      <c r="A1288" s="10">
        <v>609323</v>
      </c>
      <c r="B1288" s="8" t="s">
        <v>183</v>
      </c>
    </row>
    <row r="1289" spans="1:2" x14ac:dyDescent="0.25">
      <c r="A1289" s="10">
        <v>609324</v>
      </c>
      <c r="B1289" s="8" t="s">
        <v>185</v>
      </c>
    </row>
    <row r="1290" spans="1:2" x14ac:dyDescent="0.25">
      <c r="A1290" s="10">
        <v>609325</v>
      </c>
      <c r="B1290" s="8" t="s">
        <v>186</v>
      </c>
    </row>
    <row r="1291" spans="1:2" x14ac:dyDescent="0.25">
      <c r="A1291" s="10">
        <v>609326</v>
      </c>
      <c r="B1291" s="8" t="s">
        <v>188</v>
      </c>
    </row>
    <row r="1292" spans="1:2" x14ac:dyDescent="0.25">
      <c r="A1292" s="10">
        <v>60933</v>
      </c>
      <c r="B1292" s="8" t="s">
        <v>446</v>
      </c>
    </row>
    <row r="1293" spans="1:2" x14ac:dyDescent="0.25">
      <c r="A1293" s="10">
        <v>609331</v>
      </c>
      <c r="B1293" s="8" t="s">
        <v>264</v>
      </c>
    </row>
    <row r="1294" spans="1:2" x14ac:dyDescent="0.25">
      <c r="A1294" s="10">
        <v>609332</v>
      </c>
      <c r="B1294" s="8" t="s">
        <v>181</v>
      </c>
    </row>
    <row r="1295" spans="1:2" x14ac:dyDescent="0.25">
      <c r="A1295" s="10">
        <v>609333</v>
      </c>
      <c r="B1295" s="8" t="s">
        <v>183</v>
      </c>
    </row>
    <row r="1296" spans="1:2" x14ac:dyDescent="0.25">
      <c r="A1296" s="10">
        <v>609334</v>
      </c>
      <c r="B1296" s="8" t="s">
        <v>185</v>
      </c>
    </row>
    <row r="1297" spans="1:2" x14ac:dyDescent="0.25">
      <c r="A1297" s="10">
        <v>609335</v>
      </c>
      <c r="B1297" s="8" t="s">
        <v>186</v>
      </c>
    </row>
    <row r="1298" spans="1:2" x14ac:dyDescent="0.25">
      <c r="A1298" s="10">
        <v>609336</v>
      </c>
      <c r="B1298" s="8" t="s">
        <v>188</v>
      </c>
    </row>
    <row r="1299" spans="1:2" x14ac:dyDescent="0.25">
      <c r="A1299" s="10">
        <v>60934</v>
      </c>
      <c r="B1299" s="8" t="s">
        <v>638</v>
      </c>
    </row>
    <row r="1300" spans="1:2" x14ac:dyDescent="0.25">
      <c r="A1300" s="10">
        <v>609341</v>
      </c>
      <c r="B1300" s="8" t="s">
        <v>264</v>
      </c>
    </row>
    <row r="1301" spans="1:2" x14ac:dyDescent="0.25">
      <c r="A1301" s="10">
        <v>609342</v>
      </c>
      <c r="B1301" s="8" t="s">
        <v>181</v>
      </c>
    </row>
    <row r="1302" spans="1:2" x14ac:dyDescent="0.25">
      <c r="A1302" s="10">
        <v>609343</v>
      </c>
      <c r="B1302" s="8" t="s">
        <v>183</v>
      </c>
    </row>
    <row r="1303" spans="1:2" x14ac:dyDescent="0.25">
      <c r="A1303" s="10">
        <v>609344</v>
      </c>
      <c r="B1303" s="8" t="s">
        <v>185</v>
      </c>
    </row>
    <row r="1304" spans="1:2" x14ac:dyDescent="0.25">
      <c r="A1304" s="10">
        <v>609345</v>
      </c>
      <c r="B1304" s="8" t="s">
        <v>186</v>
      </c>
    </row>
    <row r="1305" spans="1:2" x14ac:dyDescent="0.25">
      <c r="A1305" s="10">
        <v>609346</v>
      </c>
      <c r="B1305" s="8" t="s">
        <v>188</v>
      </c>
    </row>
    <row r="1306" spans="1:2" x14ac:dyDescent="0.25">
      <c r="A1306" s="10">
        <v>60935</v>
      </c>
      <c r="B1306" s="8" t="s">
        <v>639</v>
      </c>
    </row>
    <row r="1307" spans="1:2" x14ac:dyDescent="0.25">
      <c r="A1307" s="10">
        <v>609351</v>
      </c>
      <c r="B1307" s="8" t="s">
        <v>264</v>
      </c>
    </row>
    <row r="1308" spans="1:2" x14ac:dyDescent="0.25">
      <c r="A1308" s="10">
        <v>609352</v>
      </c>
      <c r="B1308" s="8" t="s">
        <v>181</v>
      </c>
    </row>
    <row r="1309" spans="1:2" x14ac:dyDescent="0.25">
      <c r="A1309" s="10">
        <v>609353</v>
      </c>
      <c r="B1309" s="8" t="s">
        <v>183</v>
      </c>
    </row>
    <row r="1310" spans="1:2" x14ac:dyDescent="0.25">
      <c r="A1310" s="10">
        <v>609354</v>
      </c>
      <c r="B1310" s="8" t="s">
        <v>185</v>
      </c>
    </row>
    <row r="1311" spans="1:2" x14ac:dyDescent="0.25">
      <c r="A1311" s="10">
        <v>609355</v>
      </c>
      <c r="B1311" s="8" t="s">
        <v>186</v>
      </c>
    </row>
    <row r="1312" spans="1:2" x14ac:dyDescent="0.25">
      <c r="A1312" s="10">
        <v>609356</v>
      </c>
      <c r="B1312" s="8" t="s">
        <v>188</v>
      </c>
    </row>
    <row r="1313" spans="1:2" x14ac:dyDescent="0.25">
      <c r="A1313" s="9">
        <v>6094</v>
      </c>
      <c r="B1313" s="8" t="s">
        <v>642</v>
      </c>
    </row>
    <row r="1314" spans="1:2" x14ac:dyDescent="0.25">
      <c r="A1314" s="10">
        <v>60941</v>
      </c>
      <c r="B1314" s="8" t="s">
        <v>637</v>
      </c>
    </row>
    <row r="1315" spans="1:2" x14ac:dyDescent="0.25">
      <c r="A1315" s="10">
        <v>609411</v>
      </c>
      <c r="B1315" s="8" t="s">
        <v>196</v>
      </c>
    </row>
    <row r="1316" spans="1:2" x14ac:dyDescent="0.25">
      <c r="A1316" s="10">
        <v>609412</v>
      </c>
      <c r="B1316" s="8" t="s">
        <v>197</v>
      </c>
    </row>
    <row r="1317" spans="1:2" x14ac:dyDescent="0.25">
      <c r="A1317" s="10">
        <v>60942</v>
      </c>
      <c r="B1317" s="8" t="s">
        <v>110</v>
      </c>
    </row>
    <row r="1318" spans="1:2" x14ac:dyDescent="0.25">
      <c r="A1318" s="10">
        <v>609421</v>
      </c>
      <c r="B1318" s="8" t="s">
        <v>196</v>
      </c>
    </row>
    <row r="1319" spans="1:2" x14ac:dyDescent="0.25">
      <c r="A1319" s="10">
        <v>609422</v>
      </c>
      <c r="B1319" s="8" t="s">
        <v>197</v>
      </c>
    </row>
    <row r="1320" spans="1:2" x14ac:dyDescent="0.25">
      <c r="A1320" s="10">
        <v>60943</v>
      </c>
      <c r="B1320" s="8" t="s">
        <v>446</v>
      </c>
    </row>
    <row r="1321" spans="1:2" x14ac:dyDescent="0.25">
      <c r="A1321" s="10">
        <v>609431</v>
      </c>
      <c r="B1321" s="8" t="s">
        <v>196</v>
      </c>
    </row>
    <row r="1322" spans="1:2" x14ac:dyDescent="0.25">
      <c r="A1322" s="10">
        <v>609432</v>
      </c>
      <c r="B1322" s="8" t="s">
        <v>197</v>
      </c>
    </row>
    <row r="1323" spans="1:2" x14ac:dyDescent="0.25">
      <c r="A1323" s="10">
        <v>60944</v>
      </c>
      <c r="B1323" s="8" t="s">
        <v>638</v>
      </c>
    </row>
    <row r="1324" spans="1:2" x14ac:dyDescent="0.25">
      <c r="A1324" s="10">
        <v>609441</v>
      </c>
      <c r="B1324" s="8" t="s">
        <v>196</v>
      </c>
    </row>
    <row r="1325" spans="1:2" x14ac:dyDescent="0.25">
      <c r="A1325" s="10">
        <v>609442</v>
      </c>
      <c r="B1325" s="8" t="s">
        <v>197</v>
      </c>
    </row>
    <row r="1326" spans="1:2" x14ac:dyDescent="0.25">
      <c r="A1326" s="10">
        <v>60945</v>
      </c>
      <c r="B1326" s="8" t="s">
        <v>639</v>
      </c>
    </row>
    <row r="1327" spans="1:2" x14ac:dyDescent="0.25">
      <c r="A1327" s="10">
        <v>609451</v>
      </c>
      <c r="B1327" s="8" t="s">
        <v>196</v>
      </c>
    </row>
    <row r="1328" spans="1:2" x14ac:dyDescent="0.25">
      <c r="A1328" s="10">
        <v>609452</v>
      </c>
      <c r="B1328" s="8" t="s">
        <v>197</v>
      </c>
    </row>
    <row r="1329" spans="1:2" x14ac:dyDescent="0.25">
      <c r="A1329" s="11">
        <v>61</v>
      </c>
      <c r="B1329" s="12" t="s">
        <v>643</v>
      </c>
    </row>
    <row r="1330" spans="1:2" x14ac:dyDescent="0.25">
      <c r="A1330" s="7">
        <v>611</v>
      </c>
      <c r="B1330" s="8" t="s">
        <v>234</v>
      </c>
    </row>
    <row r="1331" spans="1:2" x14ac:dyDescent="0.25">
      <c r="A1331" s="9">
        <v>6111</v>
      </c>
      <c r="B1331" s="8" t="s">
        <v>142</v>
      </c>
    </row>
    <row r="1332" spans="1:2" x14ac:dyDescent="0.25">
      <c r="A1332" s="9">
        <v>6112</v>
      </c>
      <c r="B1332" s="8" t="s">
        <v>239</v>
      </c>
    </row>
    <row r="1333" spans="1:2" x14ac:dyDescent="0.25">
      <c r="A1333" s="9">
        <v>6113</v>
      </c>
      <c r="B1333" s="8" t="s">
        <v>240</v>
      </c>
    </row>
    <row r="1334" spans="1:2" x14ac:dyDescent="0.25">
      <c r="A1334" s="9">
        <v>6114</v>
      </c>
      <c r="B1334" s="8" t="s">
        <v>241</v>
      </c>
    </row>
    <row r="1335" spans="1:2" x14ac:dyDescent="0.25">
      <c r="A1335" s="9">
        <v>6115</v>
      </c>
      <c r="B1335" s="8" t="s">
        <v>149</v>
      </c>
    </row>
    <row r="1336" spans="1:2" x14ac:dyDescent="0.25">
      <c r="A1336" s="7">
        <v>612</v>
      </c>
      <c r="B1336" s="8" t="s">
        <v>235</v>
      </c>
    </row>
    <row r="1337" spans="1:2" x14ac:dyDescent="0.25">
      <c r="A1337" s="9">
        <v>6121</v>
      </c>
      <c r="B1337" s="8" t="s">
        <v>260</v>
      </c>
    </row>
    <row r="1338" spans="1:2" x14ac:dyDescent="0.25">
      <c r="A1338" s="9">
        <v>6122</v>
      </c>
      <c r="B1338" s="8" t="s">
        <v>261</v>
      </c>
    </row>
    <row r="1339" spans="1:2" x14ac:dyDescent="0.25">
      <c r="A1339" s="9">
        <v>6123</v>
      </c>
      <c r="B1339" s="8" t="s">
        <v>634</v>
      </c>
    </row>
    <row r="1340" spans="1:2" x14ac:dyDescent="0.25">
      <c r="A1340" s="9">
        <v>6124</v>
      </c>
      <c r="B1340" s="8" t="s">
        <v>263</v>
      </c>
    </row>
    <row r="1341" spans="1:2" x14ac:dyDescent="0.25">
      <c r="A1341" s="7">
        <v>613</v>
      </c>
      <c r="B1341" s="8" t="s">
        <v>236</v>
      </c>
    </row>
    <row r="1342" spans="1:2" x14ac:dyDescent="0.25">
      <c r="A1342" s="9">
        <v>6131</v>
      </c>
      <c r="B1342" s="8" t="s">
        <v>264</v>
      </c>
    </row>
    <row r="1343" spans="1:2" x14ac:dyDescent="0.25">
      <c r="A1343" s="9">
        <v>6132</v>
      </c>
      <c r="B1343" s="8" t="s">
        <v>180</v>
      </c>
    </row>
    <row r="1344" spans="1:2" x14ac:dyDescent="0.25">
      <c r="A1344" s="10">
        <v>61321</v>
      </c>
      <c r="B1344" s="8" t="s">
        <v>644</v>
      </c>
    </row>
    <row r="1345" spans="1:2" x14ac:dyDescent="0.25">
      <c r="A1345" s="9">
        <v>6133</v>
      </c>
      <c r="B1345" s="8" t="s">
        <v>188</v>
      </c>
    </row>
    <row r="1346" spans="1:2" x14ac:dyDescent="0.25">
      <c r="A1346" s="7">
        <v>614</v>
      </c>
      <c r="B1346" s="8" t="s">
        <v>237</v>
      </c>
    </row>
    <row r="1347" spans="1:2" x14ac:dyDescent="0.25">
      <c r="A1347" s="9">
        <v>6141</v>
      </c>
      <c r="B1347" s="8" t="s">
        <v>196</v>
      </c>
    </row>
    <row r="1348" spans="1:2" x14ac:dyDescent="0.25">
      <c r="A1348" s="9">
        <v>6142</v>
      </c>
      <c r="B1348" s="8" t="s">
        <v>197</v>
      </c>
    </row>
    <row r="1349" spans="1:2" x14ac:dyDescent="0.25">
      <c r="A1349" s="11">
        <v>62</v>
      </c>
      <c r="B1349" s="12" t="s">
        <v>645</v>
      </c>
    </row>
    <row r="1350" spans="1:2" x14ac:dyDescent="0.25">
      <c r="A1350" s="7">
        <v>621</v>
      </c>
      <c r="B1350" s="8" t="s">
        <v>646</v>
      </c>
    </row>
    <row r="1351" spans="1:2" x14ac:dyDescent="0.25">
      <c r="A1351" s="9">
        <v>6211</v>
      </c>
      <c r="B1351" s="8" t="s">
        <v>647</v>
      </c>
    </row>
    <row r="1352" spans="1:2" x14ac:dyDescent="0.25">
      <c r="A1352" s="10">
        <v>62111</v>
      </c>
      <c r="B1352" s="8" t="s">
        <v>648</v>
      </c>
    </row>
    <row r="1353" spans="1:2" x14ac:dyDescent="0.25">
      <c r="A1353" s="9">
        <v>6212</v>
      </c>
      <c r="B1353" s="8" t="s">
        <v>638</v>
      </c>
    </row>
    <row r="1354" spans="1:2" x14ac:dyDescent="0.25">
      <c r="A1354" s="9">
        <v>6213</v>
      </c>
      <c r="B1354" s="8" t="s">
        <v>649</v>
      </c>
    </row>
    <row r="1355" spans="1:2" x14ac:dyDescent="0.25">
      <c r="A1355" s="9">
        <v>6214</v>
      </c>
      <c r="B1355" s="8" t="s">
        <v>650</v>
      </c>
    </row>
    <row r="1356" spans="1:2" x14ac:dyDescent="0.25">
      <c r="A1356" s="9">
        <v>6215</v>
      </c>
      <c r="B1356" s="8" t="s">
        <v>651</v>
      </c>
    </row>
    <row r="1357" spans="1:2" x14ac:dyDescent="0.25">
      <c r="A1357" s="7">
        <v>622</v>
      </c>
      <c r="B1357" s="8" t="s">
        <v>652</v>
      </c>
    </row>
    <row r="1358" spans="1:2" x14ac:dyDescent="0.25">
      <c r="A1358" s="10">
        <v>62211</v>
      </c>
      <c r="B1358" s="8" t="s">
        <v>653</v>
      </c>
    </row>
    <row r="1359" spans="1:2" x14ac:dyDescent="0.25">
      <c r="A1359" s="10">
        <v>62212</v>
      </c>
      <c r="B1359" s="8" t="s">
        <v>654</v>
      </c>
    </row>
    <row r="1360" spans="1:2" x14ac:dyDescent="0.25">
      <c r="A1360" s="7">
        <v>623</v>
      </c>
      <c r="B1360" s="8" t="s">
        <v>655</v>
      </c>
    </row>
    <row r="1361" spans="1:2" x14ac:dyDescent="0.25">
      <c r="A1361" s="7">
        <v>624</v>
      </c>
      <c r="B1361" s="8" t="s">
        <v>656</v>
      </c>
    </row>
    <row r="1362" spans="1:2" x14ac:dyDescent="0.25">
      <c r="A1362" s="7">
        <v>625</v>
      </c>
      <c r="B1362" s="8" t="s">
        <v>657</v>
      </c>
    </row>
    <row r="1363" spans="1:2" x14ac:dyDescent="0.25">
      <c r="A1363" s="9">
        <v>6251</v>
      </c>
      <c r="B1363" s="8" t="s">
        <v>658</v>
      </c>
    </row>
    <row r="1364" spans="1:2" x14ac:dyDescent="0.25">
      <c r="A1364" s="9">
        <v>6252</v>
      </c>
      <c r="B1364" s="8" t="s">
        <v>659</v>
      </c>
    </row>
    <row r="1365" spans="1:2" x14ac:dyDescent="0.25">
      <c r="A1365" s="9">
        <v>6253</v>
      </c>
      <c r="B1365" s="8" t="s">
        <v>660</v>
      </c>
    </row>
    <row r="1366" spans="1:2" x14ac:dyDescent="0.25">
      <c r="A1366" s="7">
        <v>626</v>
      </c>
      <c r="B1366" s="8" t="s">
        <v>70</v>
      </c>
    </row>
    <row r="1367" spans="1:2" x14ac:dyDescent="0.25">
      <c r="A1367" s="7">
        <v>627</v>
      </c>
      <c r="B1367" s="8" t="s">
        <v>661</v>
      </c>
    </row>
    <row r="1368" spans="1:2" x14ac:dyDescent="0.25">
      <c r="A1368" s="9">
        <v>6271</v>
      </c>
      <c r="B1368" s="8" t="s">
        <v>662</v>
      </c>
    </row>
    <row r="1369" spans="1:2" x14ac:dyDescent="0.25">
      <c r="A1369" s="10">
        <v>62711</v>
      </c>
      <c r="B1369" s="8" t="s">
        <v>663</v>
      </c>
    </row>
    <row r="1370" spans="1:2" x14ac:dyDescent="0.25">
      <c r="A1370" s="9">
        <v>6272</v>
      </c>
      <c r="B1370" s="8" t="s">
        <v>664</v>
      </c>
    </row>
    <row r="1371" spans="1:2" x14ac:dyDescent="0.25">
      <c r="A1371" s="9">
        <v>6273</v>
      </c>
      <c r="B1371" s="8" t="s">
        <v>665</v>
      </c>
    </row>
    <row r="1372" spans="1:2" x14ac:dyDescent="0.25">
      <c r="A1372" s="9">
        <v>6274</v>
      </c>
      <c r="B1372" s="8" t="s">
        <v>115</v>
      </c>
    </row>
    <row r="1373" spans="1:2" x14ac:dyDescent="0.25">
      <c r="A1373" s="9">
        <v>6275</v>
      </c>
      <c r="B1373" s="8" t="s">
        <v>666</v>
      </c>
    </row>
    <row r="1374" spans="1:2" x14ac:dyDescent="0.25">
      <c r="A1374" s="9">
        <v>6276</v>
      </c>
      <c r="B1374" s="8" t="s">
        <v>667</v>
      </c>
    </row>
    <row r="1375" spans="1:2" x14ac:dyDescent="0.25">
      <c r="A1375" s="9">
        <v>6277</v>
      </c>
      <c r="B1375" s="8" t="s">
        <v>668</v>
      </c>
    </row>
    <row r="1376" spans="1:2" x14ac:dyDescent="0.25">
      <c r="A1376" s="7">
        <v>628</v>
      </c>
      <c r="B1376" s="8" t="s">
        <v>669</v>
      </c>
    </row>
    <row r="1377" spans="1:2" x14ac:dyDescent="0.25">
      <c r="A1377" s="7">
        <v>629</v>
      </c>
      <c r="B1377" s="8" t="s">
        <v>670</v>
      </c>
    </row>
    <row r="1378" spans="1:2" x14ac:dyDescent="0.25">
      <c r="A1378" s="9">
        <v>6291</v>
      </c>
      <c r="B1378" s="8" t="s">
        <v>671</v>
      </c>
    </row>
    <row r="1379" spans="1:2" x14ac:dyDescent="0.25">
      <c r="A1379" s="9">
        <v>62912</v>
      </c>
      <c r="B1379" s="8" t="s">
        <v>672</v>
      </c>
    </row>
    <row r="1380" spans="1:2" x14ac:dyDescent="0.25">
      <c r="A1380" s="9">
        <v>62911</v>
      </c>
      <c r="B1380" s="8" t="s">
        <v>673</v>
      </c>
    </row>
    <row r="1381" spans="1:2" x14ac:dyDescent="0.25">
      <c r="A1381" s="9">
        <v>6292</v>
      </c>
      <c r="B1381" s="8" t="s">
        <v>508</v>
      </c>
    </row>
    <row r="1382" spans="1:2" x14ac:dyDescent="0.25">
      <c r="A1382" s="9">
        <v>6293</v>
      </c>
      <c r="B1382" s="8" t="s">
        <v>674</v>
      </c>
    </row>
    <row r="1383" spans="1:2" x14ac:dyDescent="0.25">
      <c r="A1383" s="11">
        <v>63</v>
      </c>
      <c r="B1383" s="12" t="s">
        <v>675</v>
      </c>
    </row>
    <row r="1384" spans="1:2" x14ac:dyDescent="0.25">
      <c r="A1384" s="7">
        <v>631</v>
      </c>
      <c r="B1384" s="8" t="s">
        <v>676</v>
      </c>
    </row>
    <row r="1385" spans="1:2" x14ac:dyDescent="0.25">
      <c r="A1385" s="9">
        <v>6311</v>
      </c>
      <c r="B1385" s="8" t="s">
        <v>637</v>
      </c>
    </row>
    <row r="1386" spans="1:2" x14ac:dyDescent="0.25">
      <c r="A1386" s="10">
        <v>63111</v>
      </c>
      <c r="B1386" s="8" t="s">
        <v>677</v>
      </c>
    </row>
    <row r="1387" spans="1:2" x14ac:dyDescent="0.25">
      <c r="A1387" s="10">
        <v>63112</v>
      </c>
      <c r="B1387" s="8" t="s">
        <v>678</v>
      </c>
    </row>
    <row r="1388" spans="1:2" x14ac:dyDescent="0.25">
      <c r="A1388" s="9">
        <v>6312</v>
      </c>
      <c r="B1388" s="8" t="s">
        <v>679</v>
      </c>
    </row>
    <row r="1389" spans="1:2" x14ac:dyDescent="0.25">
      <c r="A1389" s="9">
        <v>6313</v>
      </c>
      <c r="B1389" s="8" t="s">
        <v>680</v>
      </c>
    </row>
    <row r="1390" spans="1:2" x14ac:dyDescent="0.25">
      <c r="A1390" s="9">
        <v>6314</v>
      </c>
      <c r="B1390" s="8" t="s">
        <v>660</v>
      </c>
    </row>
    <row r="1391" spans="1:2" x14ac:dyDescent="0.25">
      <c r="A1391" s="9">
        <v>6315</v>
      </c>
      <c r="B1391" s="8" t="s">
        <v>681</v>
      </c>
    </row>
    <row r="1392" spans="1:2" x14ac:dyDescent="0.25">
      <c r="A1392" s="7">
        <v>632</v>
      </c>
      <c r="B1392" s="8" t="s">
        <v>682</v>
      </c>
    </row>
    <row r="1393" spans="1:2" x14ac:dyDescent="0.25">
      <c r="A1393" s="9">
        <v>6321</v>
      </c>
      <c r="B1393" s="8" t="s">
        <v>683</v>
      </c>
    </row>
    <row r="1394" spans="1:2" x14ac:dyDescent="0.25">
      <c r="A1394" s="9">
        <v>6322</v>
      </c>
      <c r="B1394" s="8" t="s">
        <v>684</v>
      </c>
    </row>
    <row r="1395" spans="1:2" x14ac:dyDescent="0.25">
      <c r="A1395" s="9">
        <v>6323</v>
      </c>
      <c r="B1395" s="8" t="s">
        <v>685</v>
      </c>
    </row>
    <row r="1396" spans="1:2" x14ac:dyDescent="0.25">
      <c r="A1396" s="9">
        <v>6324</v>
      </c>
      <c r="B1396" s="8" t="s">
        <v>686</v>
      </c>
    </row>
    <row r="1397" spans="1:2" x14ac:dyDescent="0.25">
      <c r="A1397" s="9">
        <v>6325</v>
      </c>
      <c r="B1397" s="8" t="s">
        <v>687</v>
      </c>
    </row>
    <row r="1398" spans="1:2" x14ac:dyDescent="0.25">
      <c r="A1398" s="9">
        <v>6326</v>
      </c>
      <c r="B1398" s="8" t="s">
        <v>688</v>
      </c>
    </row>
    <row r="1399" spans="1:2" x14ac:dyDescent="0.25">
      <c r="A1399" s="9">
        <v>6327</v>
      </c>
      <c r="B1399" s="8" t="s">
        <v>689</v>
      </c>
    </row>
    <row r="1400" spans="1:2" x14ac:dyDescent="0.25">
      <c r="A1400" s="9">
        <v>6329</v>
      </c>
      <c r="B1400" s="8" t="s">
        <v>57</v>
      </c>
    </row>
    <row r="1401" spans="1:2" x14ac:dyDescent="0.25">
      <c r="A1401" s="7">
        <v>633</v>
      </c>
      <c r="B1401" s="8" t="s">
        <v>690</v>
      </c>
    </row>
    <row r="1402" spans="1:2" x14ac:dyDescent="0.25">
      <c r="A1402" s="7">
        <v>634</v>
      </c>
      <c r="B1402" s="8" t="s">
        <v>691</v>
      </c>
    </row>
    <row r="1403" spans="1:2" x14ac:dyDescent="0.25">
      <c r="A1403" s="9">
        <v>6341</v>
      </c>
      <c r="B1403" s="8" t="s">
        <v>409</v>
      </c>
    </row>
    <row r="1404" spans="1:2" x14ac:dyDescent="0.25">
      <c r="A1404" s="9">
        <v>6342</v>
      </c>
      <c r="B1404" s="8" t="s">
        <v>411</v>
      </c>
    </row>
    <row r="1405" spans="1:2" x14ac:dyDescent="0.25">
      <c r="A1405" s="9">
        <v>6343</v>
      </c>
      <c r="B1405" s="8" t="s">
        <v>94</v>
      </c>
    </row>
    <row r="1406" spans="1:2" x14ac:dyDescent="0.25">
      <c r="A1406" s="9">
        <v>6344</v>
      </c>
      <c r="B1406" s="8" t="s">
        <v>96</v>
      </c>
    </row>
    <row r="1407" spans="1:2" x14ac:dyDescent="0.25">
      <c r="A1407" s="9">
        <v>6345</v>
      </c>
      <c r="B1407" s="8" t="s">
        <v>692</v>
      </c>
    </row>
    <row r="1408" spans="1:2" x14ac:dyDescent="0.25">
      <c r="A1408" s="9">
        <v>6349</v>
      </c>
      <c r="B1408" s="8" t="s">
        <v>693</v>
      </c>
    </row>
    <row r="1409" spans="1:2" x14ac:dyDescent="0.25">
      <c r="A1409" s="7">
        <v>635</v>
      </c>
      <c r="B1409" s="8" t="s">
        <v>117</v>
      </c>
    </row>
    <row r="1410" spans="1:2" x14ac:dyDescent="0.25">
      <c r="A1410" s="9">
        <v>6351</v>
      </c>
      <c r="B1410" s="8" t="s">
        <v>200</v>
      </c>
    </row>
    <row r="1411" spans="1:2" x14ac:dyDescent="0.25">
      <c r="A1411" s="9">
        <v>6352</v>
      </c>
      <c r="B1411" s="8" t="s">
        <v>202</v>
      </c>
    </row>
    <row r="1412" spans="1:2" x14ac:dyDescent="0.25">
      <c r="A1412" s="10">
        <v>63521</v>
      </c>
      <c r="B1412" s="8" t="s">
        <v>694</v>
      </c>
    </row>
    <row r="1413" spans="1:2" x14ac:dyDescent="0.25">
      <c r="A1413" s="9">
        <v>6353</v>
      </c>
      <c r="B1413" s="8" t="s">
        <v>206</v>
      </c>
    </row>
    <row r="1414" spans="1:2" x14ac:dyDescent="0.25">
      <c r="A1414" s="9">
        <v>6354</v>
      </c>
      <c r="B1414" s="8" t="s">
        <v>207</v>
      </c>
    </row>
    <row r="1415" spans="1:2" x14ac:dyDescent="0.25">
      <c r="A1415" s="9">
        <v>6356</v>
      </c>
      <c r="B1415" s="8" t="s">
        <v>210</v>
      </c>
    </row>
    <row r="1416" spans="1:2" x14ac:dyDescent="0.25">
      <c r="A1416" s="7">
        <v>636</v>
      </c>
      <c r="B1416" s="8" t="s">
        <v>695</v>
      </c>
    </row>
    <row r="1417" spans="1:2" x14ac:dyDescent="0.25">
      <c r="A1417" s="9">
        <v>6361</v>
      </c>
      <c r="B1417" s="8" t="s">
        <v>696</v>
      </c>
    </row>
    <row r="1418" spans="1:2" x14ac:dyDescent="0.25">
      <c r="A1418" s="10">
        <v>63611</v>
      </c>
      <c r="B1418" s="8" t="s">
        <v>697</v>
      </c>
    </row>
    <row r="1419" spans="1:2" x14ac:dyDescent="0.25">
      <c r="A1419" s="9">
        <v>6362</v>
      </c>
      <c r="B1419" s="8" t="s">
        <v>698</v>
      </c>
    </row>
    <row r="1420" spans="1:2" x14ac:dyDescent="0.25">
      <c r="A1420" s="9">
        <v>6363</v>
      </c>
      <c r="B1420" s="8" t="s">
        <v>699</v>
      </c>
    </row>
    <row r="1421" spans="1:2" x14ac:dyDescent="0.25">
      <c r="A1421" s="10">
        <v>63631</v>
      </c>
      <c r="B1421" s="8" t="s">
        <v>700</v>
      </c>
    </row>
    <row r="1422" spans="1:2" x14ac:dyDescent="0.25">
      <c r="A1422" s="9">
        <v>6364</v>
      </c>
      <c r="B1422" s="8" t="s">
        <v>701</v>
      </c>
    </row>
    <row r="1423" spans="1:2" x14ac:dyDescent="0.25">
      <c r="A1423" s="10">
        <v>63641</v>
      </c>
      <c r="B1423" s="8" t="s">
        <v>702</v>
      </c>
    </row>
    <row r="1424" spans="1:2" x14ac:dyDescent="0.25">
      <c r="A1424" s="9">
        <v>6365</v>
      </c>
      <c r="B1424" s="8" t="s">
        <v>703</v>
      </c>
    </row>
    <row r="1425" spans="1:2" x14ac:dyDescent="0.25">
      <c r="A1425" s="9">
        <v>6366</v>
      </c>
      <c r="B1425" s="8" t="s">
        <v>704</v>
      </c>
    </row>
    <row r="1426" spans="1:2" x14ac:dyDescent="0.25">
      <c r="A1426" s="9">
        <v>6367</v>
      </c>
      <c r="B1426" s="8" t="s">
        <v>705</v>
      </c>
    </row>
    <row r="1427" spans="1:2" x14ac:dyDescent="0.25">
      <c r="A1427" s="7">
        <v>637</v>
      </c>
      <c r="B1427" s="8" t="s">
        <v>706</v>
      </c>
    </row>
    <row r="1428" spans="1:2" x14ac:dyDescent="0.25">
      <c r="A1428" s="9">
        <v>6371</v>
      </c>
      <c r="B1428" s="8" t="s">
        <v>707</v>
      </c>
    </row>
    <row r="1429" spans="1:2" x14ac:dyDescent="0.25">
      <c r="A1429" s="9">
        <v>6372</v>
      </c>
      <c r="B1429" s="8" t="s">
        <v>708</v>
      </c>
    </row>
    <row r="1430" spans="1:2" x14ac:dyDescent="0.25">
      <c r="A1430" s="9">
        <v>6373</v>
      </c>
      <c r="B1430" s="8" t="s">
        <v>709</v>
      </c>
    </row>
    <row r="1431" spans="1:2" x14ac:dyDescent="0.25">
      <c r="A1431" s="7">
        <v>638</v>
      </c>
      <c r="B1431" s="8" t="s">
        <v>710</v>
      </c>
    </row>
    <row r="1432" spans="1:2" x14ac:dyDescent="0.25">
      <c r="A1432" s="7">
        <v>639</v>
      </c>
      <c r="B1432" s="8" t="s">
        <v>711</v>
      </c>
    </row>
    <row r="1433" spans="1:2" x14ac:dyDescent="0.25">
      <c r="A1433" s="9">
        <v>6391</v>
      </c>
      <c r="B1433" s="8" t="s">
        <v>712</v>
      </c>
    </row>
    <row r="1434" spans="1:2" x14ac:dyDescent="0.25">
      <c r="A1434" s="9">
        <v>6392</v>
      </c>
      <c r="B1434" s="8" t="s">
        <v>713</v>
      </c>
    </row>
    <row r="1435" spans="1:2" x14ac:dyDescent="0.25">
      <c r="A1435" s="9">
        <v>6399</v>
      </c>
      <c r="B1435" s="8" t="s">
        <v>714</v>
      </c>
    </row>
    <row r="1436" spans="1:2" x14ac:dyDescent="0.25">
      <c r="A1436" s="11">
        <v>64</v>
      </c>
      <c r="B1436" s="12" t="s">
        <v>715</v>
      </c>
    </row>
    <row r="1437" spans="1:2" x14ac:dyDescent="0.25">
      <c r="A1437" s="7">
        <v>641</v>
      </c>
      <c r="B1437" s="8" t="s">
        <v>438</v>
      </c>
    </row>
    <row r="1438" spans="1:2" x14ac:dyDescent="0.25">
      <c r="A1438" s="9">
        <v>6411</v>
      </c>
      <c r="B1438" s="8" t="s">
        <v>439</v>
      </c>
    </row>
    <row r="1439" spans="1:2" x14ac:dyDescent="0.25">
      <c r="A1439" s="9">
        <v>6412</v>
      </c>
      <c r="B1439" s="8" t="s">
        <v>716</v>
      </c>
    </row>
    <row r="1440" spans="1:2" x14ac:dyDescent="0.25">
      <c r="A1440" s="9">
        <v>6413</v>
      </c>
      <c r="B1440" s="8" t="s">
        <v>460</v>
      </c>
    </row>
    <row r="1441" spans="1:2" x14ac:dyDescent="0.25">
      <c r="A1441" s="9">
        <v>6414</v>
      </c>
      <c r="B1441" s="8" t="s">
        <v>717</v>
      </c>
    </row>
    <row r="1442" spans="1:2" x14ac:dyDescent="0.25">
      <c r="A1442" s="9">
        <v>6415</v>
      </c>
      <c r="B1442" s="8" t="s">
        <v>718</v>
      </c>
    </row>
    <row r="1443" spans="1:2" x14ac:dyDescent="0.25">
      <c r="A1443" s="9">
        <v>6416</v>
      </c>
      <c r="B1443" s="8" t="s">
        <v>719</v>
      </c>
    </row>
    <row r="1444" spans="1:2" x14ac:dyDescent="0.25">
      <c r="A1444" s="9">
        <v>6419</v>
      </c>
      <c r="B1444" s="8" t="s">
        <v>57</v>
      </c>
    </row>
    <row r="1445" spans="1:2" x14ac:dyDescent="0.25">
      <c r="A1445" s="7">
        <v>642</v>
      </c>
      <c r="B1445" s="8" t="s">
        <v>720</v>
      </c>
    </row>
    <row r="1446" spans="1:2" x14ac:dyDescent="0.25">
      <c r="A1446" s="9">
        <v>6421</v>
      </c>
      <c r="B1446" s="8" t="s">
        <v>721</v>
      </c>
    </row>
    <row r="1447" spans="1:2" x14ac:dyDescent="0.25">
      <c r="A1447" s="7">
        <v>643</v>
      </c>
      <c r="B1447" s="8" t="s">
        <v>722</v>
      </c>
    </row>
    <row r="1448" spans="1:2" x14ac:dyDescent="0.25">
      <c r="A1448" s="9">
        <v>6431</v>
      </c>
      <c r="B1448" s="8" t="s">
        <v>478</v>
      </c>
    </row>
    <row r="1449" spans="1:2" x14ac:dyDescent="0.25">
      <c r="A1449" s="9">
        <v>6432</v>
      </c>
      <c r="B1449" s="8" t="s">
        <v>723</v>
      </c>
    </row>
    <row r="1450" spans="1:2" x14ac:dyDescent="0.25">
      <c r="A1450" s="9">
        <v>6433</v>
      </c>
      <c r="B1450" s="8" t="s">
        <v>474</v>
      </c>
    </row>
    <row r="1451" spans="1:2" x14ac:dyDescent="0.25">
      <c r="A1451" s="9">
        <v>6434</v>
      </c>
      <c r="B1451" s="8" t="s">
        <v>724</v>
      </c>
    </row>
    <row r="1452" spans="1:2" x14ac:dyDescent="0.25">
      <c r="A1452" s="9">
        <v>6439</v>
      </c>
      <c r="B1452" s="8" t="s">
        <v>57</v>
      </c>
    </row>
    <row r="1453" spans="1:2" x14ac:dyDescent="0.25">
      <c r="A1453" s="7">
        <v>644</v>
      </c>
      <c r="B1453" s="8" t="s">
        <v>725</v>
      </c>
    </row>
    <row r="1454" spans="1:2" x14ac:dyDescent="0.25">
      <c r="A1454" s="9">
        <v>6441</v>
      </c>
      <c r="B1454" s="8" t="s">
        <v>726</v>
      </c>
    </row>
    <row r="1455" spans="1:2" x14ac:dyDescent="0.25">
      <c r="A1455" s="9">
        <v>6442</v>
      </c>
      <c r="B1455" s="8" t="s">
        <v>727</v>
      </c>
    </row>
    <row r="1456" spans="1:2" x14ac:dyDescent="0.25">
      <c r="A1456" s="9">
        <v>6443</v>
      </c>
      <c r="B1456" s="8" t="s">
        <v>728</v>
      </c>
    </row>
    <row r="1457" spans="1:2" x14ac:dyDescent="0.25">
      <c r="A1457" s="11">
        <v>65</v>
      </c>
      <c r="B1457" s="12" t="s">
        <v>729</v>
      </c>
    </row>
    <row r="1458" spans="1:2" x14ac:dyDescent="0.25">
      <c r="A1458" s="7">
        <v>651</v>
      </c>
      <c r="B1458" s="8" t="s">
        <v>110</v>
      </c>
    </row>
    <row r="1459" spans="1:2" x14ac:dyDescent="0.25">
      <c r="A1459" s="10">
        <v>65111</v>
      </c>
      <c r="B1459" s="8" t="s">
        <v>730</v>
      </c>
    </row>
    <row r="1460" spans="1:2" x14ac:dyDescent="0.25">
      <c r="A1460" s="7">
        <v>652</v>
      </c>
      <c r="B1460" s="8" t="s">
        <v>84</v>
      </c>
    </row>
    <row r="1461" spans="1:2" x14ac:dyDescent="0.25">
      <c r="A1461" s="7">
        <v>653</v>
      </c>
      <c r="B1461" s="8" t="s">
        <v>731</v>
      </c>
    </row>
    <row r="1462" spans="1:2" x14ac:dyDescent="0.25">
      <c r="A1462" s="9">
        <v>6531</v>
      </c>
      <c r="B1462" s="8" t="s">
        <v>732</v>
      </c>
    </row>
    <row r="1463" spans="1:2" x14ac:dyDescent="0.25">
      <c r="A1463" s="7">
        <v>654</v>
      </c>
      <c r="B1463" s="8" t="s">
        <v>733</v>
      </c>
    </row>
    <row r="1464" spans="1:2" x14ac:dyDescent="0.25">
      <c r="A1464" s="7">
        <v>655</v>
      </c>
      <c r="B1464" s="8" t="s">
        <v>734</v>
      </c>
    </row>
    <row r="1465" spans="1:2" x14ac:dyDescent="0.25">
      <c r="A1465" s="9">
        <v>6551</v>
      </c>
      <c r="B1465" s="8" t="s">
        <v>735</v>
      </c>
    </row>
    <row r="1466" spans="1:2" x14ac:dyDescent="0.25">
      <c r="A1466" s="10">
        <v>65511</v>
      </c>
      <c r="B1466" s="8" t="s">
        <v>409</v>
      </c>
    </row>
    <row r="1467" spans="1:2" x14ac:dyDescent="0.25">
      <c r="A1467" s="10">
        <v>65512</v>
      </c>
      <c r="B1467" s="8" t="s">
        <v>411</v>
      </c>
    </row>
    <row r="1468" spans="1:2" x14ac:dyDescent="0.25">
      <c r="A1468" s="10">
        <v>65513</v>
      </c>
      <c r="B1468" s="8" t="s">
        <v>94</v>
      </c>
    </row>
    <row r="1469" spans="1:2" x14ac:dyDescent="0.25">
      <c r="A1469" s="10">
        <v>65514</v>
      </c>
      <c r="B1469" s="8" t="s">
        <v>96</v>
      </c>
    </row>
    <row r="1470" spans="1:2" x14ac:dyDescent="0.25">
      <c r="A1470" s="10">
        <v>65515</v>
      </c>
      <c r="B1470" s="8" t="s">
        <v>97</v>
      </c>
    </row>
    <row r="1471" spans="1:2" x14ac:dyDescent="0.25">
      <c r="A1471" s="9">
        <v>6552</v>
      </c>
      <c r="B1471" s="8" t="s">
        <v>736</v>
      </c>
    </row>
    <row r="1472" spans="1:2" x14ac:dyDescent="0.25">
      <c r="A1472" s="10">
        <v>65521</v>
      </c>
      <c r="B1472" s="8" t="s">
        <v>409</v>
      </c>
    </row>
    <row r="1473" spans="1:2" x14ac:dyDescent="0.25">
      <c r="A1473" s="10">
        <v>65522</v>
      </c>
      <c r="B1473" s="8" t="s">
        <v>411</v>
      </c>
    </row>
    <row r="1474" spans="1:2" x14ac:dyDescent="0.25">
      <c r="A1474" s="10">
        <v>65523</v>
      </c>
      <c r="B1474" s="8" t="s">
        <v>737</v>
      </c>
    </row>
    <row r="1475" spans="1:2" x14ac:dyDescent="0.25">
      <c r="A1475" s="10">
        <v>65524</v>
      </c>
      <c r="B1475" s="8" t="s">
        <v>96</v>
      </c>
    </row>
    <row r="1476" spans="1:2" x14ac:dyDescent="0.25">
      <c r="A1476" s="10">
        <v>65525</v>
      </c>
      <c r="B1476" s="8" t="s">
        <v>97</v>
      </c>
    </row>
    <row r="1477" spans="1:2" x14ac:dyDescent="0.25">
      <c r="A1477" s="7">
        <v>656</v>
      </c>
      <c r="B1477" s="8" t="s">
        <v>180</v>
      </c>
    </row>
    <row r="1478" spans="1:2" x14ac:dyDescent="0.25">
      <c r="A1478" s="9">
        <v>6561</v>
      </c>
      <c r="B1478" s="8" t="s">
        <v>738</v>
      </c>
    </row>
    <row r="1479" spans="1:2" x14ac:dyDescent="0.25">
      <c r="A1479" s="9">
        <v>6562</v>
      </c>
      <c r="B1479" s="8" t="s">
        <v>739</v>
      </c>
    </row>
    <row r="1480" spans="1:2" x14ac:dyDescent="0.25">
      <c r="A1480" s="9">
        <v>6563</v>
      </c>
      <c r="B1480" s="8" t="s">
        <v>740</v>
      </c>
    </row>
    <row r="1481" spans="1:2" x14ac:dyDescent="0.25">
      <c r="A1481" s="9">
        <v>6564</v>
      </c>
      <c r="B1481" s="8" t="s">
        <v>741</v>
      </c>
    </row>
    <row r="1482" spans="1:2" x14ac:dyDescent="0.25">
      <c r="A1482" s="9">
        <v>6565</v>
      </c>
      <c r="B1482" s="8" t="s">
        <v>742</v>
      </c>
    </row>
    <row r="1483" spans="1:2" x14ac:dyDescent="0.25">
      <c r="A1483" s="9">
        <v>6566</v>
      </c>
      <c r="B1483" s="8" t="s">
        <v>743</v>
      </c>
    </row>
    <row r="1484" spans="1:2" x14ac:dyDescent="0.25">
      <c r="A1484" s="9">
        <v>6569</v>
      </c>
      <c r="B1484" s="8" t="s">
        <v>186</v>
      </c>
    </row>
    <row r="1485" spans="1:2" x14ac:dyDescent="0.25">
      <c r="A1485" s="7">
        <v>658</v>
      </c>
      <c r="B1485" s="8" t="s">
        <v>744</v>
      </c>
    </row>
    <row r="1486" spans="1:2" x14ac:dyDescent="0.25">
      <c r="A1486" s="7">
        <v>659</v>
      </c>
      <c r="B1486" s="8" t="s">
        <v>745</v>
      </c>
    </row>
    <row r="1487" spans="1:2" x14ac:dyDescent="0.25">
      <c r="A1487" s="9">
        <v>6591</v>
      </c>
      <c r="B1487" s="8" t="s">
        <v>746</v>
      </c>
    </row>
    <row r="1488" spans="1:2" x14ac:dyDescent="0.25">
      <c r="A1488" s="9">
        <v>6592</v>
      </c>
      <c r="B1488" s="8" t="s">
        <v>747</v>
      </c>
    </row>
    <row r="1489" spans="1:2" x14ac:dyDescent="0.25">
      <c r="A1489" s="11">
        <v>66</v>
      </c>
      <c r="B1489" s="12" t="s">
        <v>748</v>
      </c>
    </row>
    <row r="1490" spans="1:2" x14ac:dyDescent="0.25">
      <c r="A1490" s="7">
        <v>661</v>
      </c>
      <c r="B1490" s="8" t="s">
        <v>749</v>
      </c>
    </row>
    <row r="1491" spans="1:2" x14ac:dyDescent="0.25">
      <c r="A1491" s="9">
        <v>6611</v>
      </c>
      <c r="B1491" s="8" t="s">
        <v>234</v>
      </c>
    </row>
    <row r="1492" spans="1:2" x14ac:dyDescent="0.25">
      <c r="A1492" s="9">
        <v>6612</v>
      </c>
      <c r="B1492" s="8" t="s">
        <v>750</v>
      </c>
    </row>
    <row r="1493" spans="1:2" x14ac:dyDescent="0.25">
      <c r="A1493" s="9">
        <v>6613</v>
      </c>
      <c r="B1493" s="8" t="s">
        <v>751</v>
      </c>
    </row>
    <row r="1494" spans="1:2" x14ac:dyDescent="0.25">
      <c r="A1494" s="10">
        <v>66131</v>
      </c>
      <c r="B1494" s="8" t="s">
        <v>409</v>
      </c>
    </row>
    <row r="1495" spans="1:2" x14ac:dyDescent="0.25">
      <c r="A1495" s="10">
        <v>66132</v>
      </c>
      <c r="B1495" s="8" t="s">
        <v>737</v>
      </c>
    </row>
    <row r="1496" spans="1:2" x14ac:dyDescent="0.25">
      <c r="A1496" s="10">
        <v>66133</v>
      </c>
      <c r="B1496" s="8" t="s">
        <v>96</v>
      </c>
    </row>
    <row r="1497" spans="1:2" x14ac:dyDescent="0.25">
      <c r="A1497" s="10">
        <v>66134</v>
      </c>
      <c r="B1497" s="8" t="s">
        <v>97</v>
      </c>
    </row>
    <row r="1498" spans="1:2" x14ac:dyDescent="0.25">
      <c r="A1498" s="7">
        <v>662</v>
      </c>
      <c r="B1498" s="8" t="s">
        <v>752</v>
      </c>
    </row>
    <row r="1499" spans="1:2" x14ac:dyDescent="0.25">
      <c r="A1499" s="9">
        <v>6621</v>
      </c>
      <c r="B1499" s="8" t="s">
        <v>409</v>
      </c>
    </row>
    <row r="1500" spans="1:2" x14ac:dyDescent="0.25">
      <c r="A1500" s="9">
        <v>6622</v>
      </c>
      <c r="B1500" s="8" t="s">
        <v>97</v>
      </c>
    </row>
    <row r="1501" spans="1:2" x14ac:dyDescent="0.25">
      <c r="A1501" s="11">
        <v>67</v>
      </c>
      <c r="B1501" s="12" t="s">
        <v>753</v>
      </c>
    </row>
    <row r="1502" spans="1:2" x14ac:dyDescent="0.25">
      <c r="A1502" s="7">
        <v>671</v>
      </c>
      <c r="B1502" s="8" t="s">
        <v>754</v>
      </c>
    </row>
    <row r="1503" spans="1:2" x14ac:dyDescent="0.25">
      <c r="A1503" s="9">
        <v>6711</v>
      </c>
      <c r="B1503" s="8" t="s">
        <v>547</v>
      </c>
    </row>
    <row r="1504" spans="1:2" x14ac:dyDescent="0.25">
      <c r="A1504" s="9">
        <v>6712</v>
      </c>
      <c r="B1504" s="8" t="s">
        <v>549</v>
      </c>
    </row>
    <row r="1505" spans="1:2" x14ac:dyDescent="0.25">
      <c r="A1505" s="9">
        <v>6713</v>
      </c>
      <c r="B1505" s="8" t="s">
        <v>755</v>
      </c>
    </row>
    <row r="1506" spans="1:2" x14ac:dyDescent="0.25">
      <c r="A1506" s="9">
        <v>6714</v>
      </c>
      <c r="B1506" s="8" t="s">
        <v>756</v>
      </c>
    </row>
    <row r="1507" spans="1:2" x14ac:dyDescent="0.25">
      <c r="A1507" s="7">
        <v>672</v>
      </c>
      <c r="B1507" s="8" t="s">
        <v>757</v>
      </c>
    </row>
    <row r="1508" spans="1:2" x14ac:dyDescent="0.25">
      <c r="A1508" s="7">
        <v>673</v>
      </c>
      <c r="B1508" s="8" t="s">
        <v>758</v>
      </c>
    </row>
    <row r="1509" spans="1:2" x14ac:dyDescent="0.25">
      <c r="A1509" s="9">
        <v>6731</v>
      </c>
      <c r="B1509" s="8" t="s">
        <v>547</v>
      </c>
    </row>
    <row r="1510" spans="1:2" x14ac:dyDescent="0.25">
      <c r="A1510" s="10">
        <v>67311</v>
      </c>
      <c r="B1510" s="8" t="s">
        <v>759</v>
      </c>
    </row>
    <row r="1511" spans="1:2" x14ac:dyDescent="0.25">
      <c r="A1511" s="10">
        <v>67312</v>
      </c>
      <c r="B1511" s="8" t="s">
        <v>531</v>
      </c>
    </row>
    <row r="1512" spans="1:2" x14ac:dyDescent="0.25">
      <c r="A1512" s="9">
        <v>6732</v>
      </c>
      <c r="B1512" s="8" t="s">
        <v>549</v>
      </c>
    </row>
    <row r="1513" spans="1:2" x14ac:dyDescent="0.25">
      <c r="A1513" s="9">
        <v>6733</v>
      </c>
      <c r="B1513" s="8" t="s">
        <v>551</v>
      </c>
    </row>
    <row r="1514" spans="1:2" x14ac:dyDescent="0.25">
      <c r="A1514" s="9">
        <v>6734</v>
      </c>
      <c r="B1514" s="8" t="s">
        <v>756</v>
      </c>
    </row>
    <row r="1515" spans="1:2" x14ac:dyDescent="0.25">
      <c r="A1515" s="9">
        <v>6735</v>
      </c>
      <c r="B1515" s="8" t="s">
        <v>550</v>
      </c>
    </row>
    <row r="1516" spans="1:2" x14ac:dyDescent="0.25">
      <c r="A1516" s="9">
        <v>6736</v>
      </c>
      <c r="B1516" s="8" t="s">
        <v>760</v>
      </c>
    </row>
    <row r="1517" spans="1:2" x14ac:dyDescent="0.25">
      <c r="A1517" s="9">
        <v>6737</v>
      </c>
      <c r="B1517" s="8" t="s">
        <v>761</v>
      </c>
    </row>
    <row r="1518" spans="1:2" x14ac:dyDescent="0.25">
      <c r="A1518" s="7">
        <v>674</v>
      </c>
      <c r="B1518" s="8" t="s">
        <v>762</v>
      </c>
    </row>
    <row r="1519" spans="1:2" x14ac:dyDescent="0.25">
      <c r="A1519" s="7">
        <v>6741</v>
      </c>
      <c r="B1519" s="8" t="s">
        <v>763</v>
      </c>
    </row>
    <row r="1520" spans="1:2" x14ac:dyDescent="0.25">
      <c r="A1520" s="7">
        <v>675</v>
      </c>
      <c r="B1520" s="8" t="s">
        <v>764</v>
      </c>
    </row>
    <row r="1521" spans="1:2" x14ac:dyDescent="0.25">
      <c r="A1521" s="7">
        <v>676</v>
      </c>
      <c r="B1521" s="8" t="s">
        <v>765</v>
      </c>
    </row>
    <row r="1522" spans="1:2" x14ac:dyDescent="0.25">
      <c r="A1522" s="7">
        <v>677</v>
      </c>
      <c r="B1522" s="8" t="s">
        <v>766</v>
      </c>
    </row>
    <row r="1523" spans="1:2" x14ac:dyDescent="0.25">
      <c r="A1523" s="7">
        <v>6771</v>
      </c>
      <c r="B1523" s="8" t="s">
        <v>767</v>
      </c>
    </row>
    <row r="1524" spans="1:2" x14ac:dyDescent="0.25">
      <c r="A1524" s="7">
        <v>6772</v>
      </c>
      <c r="B1524" s="8" t="s">
        <v>768</v>
      </c>
    </row>
    <row r="1525" spans="1:2" x14ac:dyDescent="0.25">
      <c r="A1525" s="7">
        <v>6773</v>
      </c>
      <c r="B1525" s="8" t="s">
        <v>769</v>
      </c>
    </row>
    <row r="1526" spans="1:2" x14ac:dyDescent="0.25">
      <c r="A1526" s="7">
        <v>678</v>
      </c>
      <c r="B1526" s="8" t="s">
        <v>770</v>
      </c>
    </row>
    <row r="1527" spans="1:2" x14ac:dyDescent="0.25">
      <c r="A1527" s="7">
        <v>6781</v>
      </c>
      <c r="B1527" s="8" t="s">
        <v>771</v>
      </c>
    </row>
    <row r="1528" spans="1:2" x14ac:dyDescent="0.25">
      <c r="A1528" s="7">
        <v>6782</v>
      </c>
      <c r="B1528" s="8" t="s">
        <v>772</v>
      </c>
    </row>
    <row r="1529" spans="1:2" x14ac:dyDescent="0.25">
      <c r="A1529" s="7">
        <v>679</v>
      </c>
      <c r="B1529" s="8" t="s">
        <v>773</v>
      </c>
    </row>
    <row r="1530" spans="1:2" x14ac:dyDescent="0.25">
      <c r="A1530" s="9">
        <v>6791</v>
      </c>
      <c r="B1530" s="8" t="s">
        <v>774</v>
      </c>
    </row>
    <row r="1531" spans="1:2" x14ac:dyDescent="0.25">
      <c r="A1531" s="9">
        <v>6792</v>
      </c>
      <c r="B1531" s="8" t="s">
        <v>775</v>
      </c>
    </row>
    <row r="1532" spans="1:2" x14ac:dyDescent="0.25">
      <c r="A1532" s="11">
        <v>68</v>
      </c>
      <c r="B1532" s="12" t="s">
        <v>776</v>
      </c>
    </row>
    <row r="1533" spans="1:2" x14ac:dyDescent="0.25">
      <c r="A1533" s="7">
        <v>681</v>
      </c>
      <c r="B1533" s="8" t="s">
        <v>777</v>
      </c>
    </row>
    <row r="1534" spans="1:2" x14ac:dyDescent="0.25">
      <c r="A1534" s="9">
        <v>6811</v>
      </c>
      <c r="B1534" s="8" t="s">
        <v>778</v>
      </c>
    </row>
    <row r="1535" spans="1:2" x14ac:dyDescent="0.25">
      <c r="A1535" s="10">
        <v>68111</v>
      </c>
      <c r="B1535" s="8" t="s">
        <v>779</v>
      </c>
    </row>
    <row r="1536" spans="1:2" x14ac:dyDescent="0.25">
      <c r="A1536" s="10">
        <v>68112</v>
      </c>
      <c r="B1536" s="8" t="s">
        <v>410</v>
      </c>
    </row>
    <row r="1537" spans="1:2" x14ac:dyDescent="0.25">
      <c r="A1537" s="10">
        <v>68113</v>
      </c>
      <c r="B1537" s="8" t="s">
        <v>780</v>
      </c>
    </row>
    <row r="1538" spans="1:2" x14ac:dyDescent="0.25">
      <c r="A1538" s="9">
        <v>6812</v>
      </c>
      <c r="B1538" s="8" t="s">
        <v>781</v>
      </c>
    </row>
    <row r="1539" spans="1:2" x14ac:dyDescent="0.25">
      <c r="A1539" s="10">
        <v>68121</v>
      </c>
      <c r="B1539" s="8" t="s">
        <v>202</v>
      </c>
    </row>
    <row r="1540" spans="1:2" x14ac:dyDescent="0.25">
      <c r="A1540" s="9">
        <v>6813</v>
      </c>
      <c r="B1540" s="8" t="s">
        <v>782</v>
      </c>
    </row>
    <row r="1541" spans="1:2" x14ac:dyDescent="0.25">
      <c r="A1541" s="10">
        <v>68131</v>
      </c>
      <c r="B1541" s="8" t="s">
        <v>202</v>
      </c>
    </row>
    <row r="1542" spans="1:2" x14ac:dyDescent="0.25">
      <c r="A1542" s="10">
        <v>68132</v>
      </c>
      <c r="B1542" s="8" t="s">
        <v>206</v>
      </c>
    </row>
    <row r="1543" spans="1:2" x14ac:dyDescent="0.25">
      <c r="A1543" s="10">
        <v>68133</v>
      </c>
      <c r="B1543" s="8" t="s">
        <v>207</v>
      </c>
    </row>
    <row r="1544" spans="1:2" x14ac:dyDescent="0.25">
      <c r="A1544" s="10">
        <v>68134</v>
      </c>
      <c r="B1544" s="8" t="s">
        <v>210</v>
      </c>
    </row>
    <row r="1545" spans="1:2" x14ac:dyDescent="0.25">
      <c r="A1545" s="9">
        <v>6814</v>
      </c>
      <c r="B1545" s="8" t="s">
        <v>783</v>
      </c>
    </row>
    <row r="1546" spans="1:2" x14ac:dyDescent="0.25">
      <c r="A1546" s="10">
        <v>68141</v>
      </c>
      <c r="B1546" s="8" t="s">
        <v>202</v>
      </c>
    </row>
    <row r="1547" spans="1:2" x14ac:dyDescent="0.25">
      <c r="A1547" s="10">
        <v>68142</v>
      </c>
      <c r="B1547" s="8" t="s">
        <v>206</v>
      </c>
    </row>
    <row r="1548" spans="1:2" x14ac:dyDescent="0.25">
      <c r="A1548" s="10">
        <v>68143</v>
      </c>
      <c r="B1548" s="8" t="s">
        <v>207</v>
      </c>
    </row>
    <row r="1549" spans="1:2" x14ac:dyDescent="0.25">
      <c r="A1549" s="10">
        <v>68144</v>
      </c>
      <c r="B1549" s="8" t="s">
        <v>784</v>
      </c>
    </row>
    <row r="1550" spans="1:2" x14ac:dyDescent="0.25">
      <c r="A1550" s="10">
        <v>68145</v>
      </c>
      <c r="B1550" s="8" t="s">
        <v>785</v>
      </c>
    </row>
    <row r="1551" spans="1:2" x14ac:dyDescent="0.25">
      <c r="A1551" s="10">
        <v>68146</v>
      </c>
      <c r="B1551" s="8" t="s">
        <v>211</v>
      </c>
    </row>
    <row r="1552" spans="1:2" x14ac:dyDescent="0.25">
      <c r="A1552" s="9">
        <v>6815</v>
      </c>
      <c r="B1552" s="8" t="s">
        <v>786</v>
      </c>
    </row>
    <row r="1553" spans="1:2" x14ac:dyDescent="0.25">
      <c r="A1553" s="10">
        <v>68151</v>
      </c>
      <c r="B1553" s="8" t="s">
        <v>202</v>
      </c>
    </row>
    <row r="1554" spans="1:2" x14ac:dyDescent="0.25">
      <c r="A1554" s="10">
        <v>68152</v>
      </c>
      <c r="B1554" s="8" t="s">
        <v>206</v>
      </c>
    </row>
    <row r="1555" spans="1:2" x14ac:dyDescent="0.25">
      <c r="A1555" s="10">
        <v>68153</v>
      </c>
      <c r="B1555" s="8" t="s">
        <v>207</v>
      </c>
    </row>
    <row r="1556" spans="1:2" x14ac:dyDescent="0.25">
      <c r="A1556" s="10">
        <v>68154</v>
      </c>
      <c r="B1556" s="8" t="s">
        <v>208</v>
      </c>
    </row>
    <row r="1557" spans="1:2" x14ac:dyDescent="0.25">
      <c r="A1557" s="10">
        <v>68155</v>
      </c>
      <c r="B1557" s="8" t="s">
        <v>210</v>
      </c>
    </row>
    <row r="1558" spans="1:2" x14ac:dyDescent="0.25">
      <c r="A1558" s="10">
        <v>68156</v>
      </c>
      <c r="B1558" s="8" t="s">
        <v>211</v>
      </c>
    </row>
    <row r="1559" spans="1:2" x14ac:dyDescent="0.25">
      <c r="A1559" s="9">
        <v>6816</v>
      </c>
      <c r="B1559" s="8" t="s">
        <v>787</v>
      </c>
    </row>
    <row r="1560" spans="1:2" x14ac:dyDescent="0.25">
      <c r="A1560" s="10">
        <v>68161</v>
      </c>
      <c r="B1560" s="8" t="s">
        <v>202</v>
      </c>
    </row>
    <row r="1561" spans="1:2" x14ac:dyDescent="0.25">
      <c r="A1561" s="10">
        <v>68162</v>
      </c>
      <c r="B1561" s="8" t="s">
        <v>206</v>
      </c>
    </row>
    <row r="1562" spans="1:2" x14ac:dyDescent="0.25">
      <c r="A1562" s="9">
        <v>6817</v>
      </c>
      <c r="B1562" s="8" t="s">
        <v>788</v>
      </c>
    </row>
    <row r="1563" spans="1:2" x14ac:dyDescent="0.25">
      <c r="A1563" s="10">
        <v>68171</v>
      </c>
      <c r="B1563" s="8" t="s">
        <v>427</v>
      </c>
    </row>
    <row r="1564" spans="1:2" x14ac:dyDescent="0.25">
      <c r="A1564" s="10">
        <v>68172</v>
      </c>
      <c r="B1564" s="8" t="s">
        <v>428</v>
      </c>
    </row>
    <row r="1565" spans="1:2" x14ac:dyDescent="0.25">
      <c r="A1565" s="9">
        <v>6818</v>
      </c>
      <c r="B1565" s="8" t="s">
        <v>789</v>
      </c>
    </row>
    <row r="1566" spans="1:2" x14ac:dyDescent="0.25">
      <c r="A1566" s="10">
        <v>68181</v>
      </c>
      <c r="B1566" s="8" t="s">
        <v>427</v>
      </c>
    </row>
    <row r="1567" spans="1:2" x14ac:dyDescent="0.25">
      <c r="A1567" s="10">
        <v>68182</v>
      </c>
      <c r="B1567" s="8" t="s">
        <v>428</v>
      </c>
    </row>
    <row r="1568" spans="1:2" x14ac:dyDescent="0.25">
      <c r="A1568" s="7">
        <v>682</v>
      </c>
      <c r="B1568" s="8" t="s">
        <v>790</v>
      </c>
    </row>
    <row r="1569" spans="1:2" x14ac:dyDescent="0.25">
      <c r="A1569" s="9">
        <v>6821</v>
      </c>
      <c r="B1569" s="8" t="s">
        <v>791</v>
      </c>
    </row>
    <row r="1570" spans="1:2" x14ac:dyDescent="0.25">
      <c r="A1570" s="10">
        <v>68211</v>
      </c>
      <c r="B1570" s="8" t="s">
        <v>384</v>
      </c>
    </row>
    <row r="1571" spans="1:2" x14ac:dyDescent="0.25">
      <c r="A1571" s="10">
        <v>68212</v>
      </c>
      <c r="B1571" s="8" t="s">
        <v>213</v>
      </c>
    </row>
    <row r="1572" spans="1:2" x14ac:dyDescent="0.25">
      <c r="A1572" s="10">
        <v>68213</v>
      </c>
      <c r="B1572" s="8" t="s">
        <v>214</v>
      </c>
    </row>
    <row r="1573" spans="1:2" x14ac:dyDescent="0.25">
      <c r="A1573" s="10">
        <v>68214</v>
      </c>
      <c r="B1573" s="8" t="s">
        <v>231</v>
      </c>
    </row>
    <row r="1574" spans="1:2" x14ac:dyDescent="0.25">
      <c r="A1574" s="10">
        <v>68215</v>
      </c>
      <c r="B1574" s="8" t="s">
        <v>216</v>
      </c>
    </row>
    <row r="1575" spans="1:2" x14ac:dyDescent="0.25">
      <c r="A1575" s="10">
        <v>68219</v>
      </c>
      <c r="B1575" s="8" t="s">
        <v>218</v>
      </c>
    </row>
    <row r="1576" spans="1:2" x14ac:dyDescent="0.25">
      <c r="A1576" s="9">
        <v>6822</v>
      </c>
      <c r="B1576" s="8" t="s">
        <v>792</v>
      </c>
    </row>
    <row r="1577" spans="1:2" x14ac:dyDescent="0.25">
      <c r="A1577" s="10">
        <v>68221</v>
      </c>
      <c r="B1577" s="8" t="s">
        <v>384</v>
      </c>
    </row>
    <row r="1578" spans="1:2" x14ac:dyDescent="0.25">
      <c r="A1578" s="10">
        <v>68222</v>
      </c>
      <c r="B1578" s="8" t="s">
        <v>213</v>
      </c>
    </row>
    <row r="1579" spans="1:2" x14ac:dyDescent="0.25">
      <c r="A1579" s="10">
        <v>68223</v>
      </c>
      <c r="B1579" s="8" t="s">
        <v>214</v>
      </c>
    </row>
    <row r="1580" spans="1:2" x14ac:dyDescent="0.25">
      <c r="A1580" s="10">
        <v>68224</v>
      </c>
      <c r="B1580" s="8" t="s">
        <v>231</v>
      </c>
    </row>
    <row r="1581" spans="1:2" x14ac:dyDescent="0.25">
      <c r="A1581" s="10">
        <v>68225</v>
      </c>
      <c r="B1581" s="8" t="s">
        <v>216</v>
      </c>
    </row>
    <row r="1582" spans="1:2" x14ac:dyDescent="0.25">
      <c r="A1582" s="10">
        <v>68229</v>
      </c>
      <c r="B1582" s="8" t="s">
        <v>218</v>
      </c>
    </row>
    <row r="1583" spans="1:2" x14ac:dyDescent="0.25">
      <c r="A1583" s="9">
        <v>6823</v>
      </c>
      <c r="B1583" s="8" t="s">
        <v>793</v>
      </c>
    </row>
    <row r="1584" spans="1:2" x14ac:dyDescent="0.25">
      <c r="A1584" s="10">
        <v>68231</v>
      </c>
      <c r="B1584" s="8" t="s">
        <v>384</v>
      </c>
    </row>
    <row r="1585" spans="1:2" x14ac:dyDescent="0.25">
      <c r="A1585" s="10">
        <v>68232</v>
      </c>
      <c r="B1585" s="8" t="s">
        <v>213</v>
      </c>
    </row>
    <row r="1586" spans="1:2" x14ac:dyDescent="0.25">
      <c r="A1586" s="10">
        <v>68233</v>
      </c>
      <c r="B1586" s="8" t="s">
        <v>214</v>
      </c>
    </row>
    <row r="1587" spans="1:2" x14ac:dyDescent="0.25">
      <c r="A1587" s="10">
        <v>68234</v>
      </c>
      <c r="B1587" s="8" t="s">
        <v>231</v>
      </c>
    </row>
    <row r="1588" spans="1:2" x14ac:dyDescent="0.25">
      <c r="A1588" s="10">
        <v>68235</v>
      </c>
      <c r="B1588" s="8" t="s">
        <v>216</v>
      </c>
    </row>
    <row r="1589" spans="1:2" x14ac:dyDescent="0.25">
      <c r="A1589" s="10">
        <v>68239</v>
      </c>
      <c r="B1589" s="8" t="s">
        <v>218</v>
      </c>
    </row>
    <row r="1590" spans="1:2" x14ac:dyDescent="0.25">
      <c r="A1590" s="9">
        <v>6824</v>
      </c>
      <c r="B1590" s="8" t="s">
        <v>794</v>
      </c>
    </row>
    <row r="1591" spans="1:2" x14ac:dyDescent="0.25">
      <c r="A1591" s="10">
        <v>68241</v>
      </c>
      <c r="B1591" s="8" t="s">
        <v>384</v>
      </c>
    </row>
    <row r="1592" spans="1:2" x14ac:dyDescent="0.25">
      <c r="A1592" s="10">
        <v>68242</v>
      </c>
      <c r="B1592" s="8" t="s">
        <v>213</v>
      </c>
    </row>
    <row r="1593" spans="1:2" x14ac:dyDescent="0.25">
      <c r="A1593" s="10">
        <v>68243</v>
      </c>
      <c r="B1593" s="8" t="s">
        <v>214</v>
      </c>
    </row>
    <row r="1594" spans="1:2" x14ac:dyDescent="0.25">
      <c r="A1594" s="10">
        <v>68244</v>
      </c>
      <c r="B1594" s="8" t="s">
        <v>231</v>
      </c>
    </row>
    <row r="1595" spans="1:2" x14ac:dyDescent="0.25">
      <c r="A1595" s="10">
        <v>68245</v>
      </c>
      <c r="B1595" s="8" t="s">
        <v>216</v>
      </c>
    </row>
    <row r="1596" spans="1:2" x14ac:dyDescent="0.25">
      <c r="A1596" s="10">
        <v>68259</v>
      </c>
      <c r="B1596" s="8" t="s">
        <v>218</v>
      </c>
    </row>
    <row r="1597" spans="1:2" x14ac:dyDescent="0.25">
      <c r="A1597" s="7">
        <v>683</v>
      </c>
      <c r="B1597" s="8" t="s">
        <v>795</v>
      </c>
    </row>
    <row r="1598" spans="1:2" x14ac:dyDescent="0.25">
      <c r="A1598" s="9">
        <v>6831</v>
      </c>
      <c r="B1598" s="8" t="s">
        <v>796</v>
      </c>
    </row>
    <row r="1599" spans="1:2" x14ac:dyDescent="0.25">
      <c r="A1599" s="7">
        <v>684</v>
      </c>
      <c r="B1599" s="8" t="s">
        <v>797</v>
      </c>
    </row>
    <row r="1600" spans="1:2" x14ac:dyDescent="0.25">
      <c r="A1600" s="9">
        <v>6841</v>
      </c>
      <c r="B1600" s="8" t="s">
        <v>798</v>
      </c>
    </row>
    <row r="1601" spans="1:2" x14ac:dyDescent="0.25">
      <c r="A1601" s="9">
        <v>68411</v>
      </c>
      <c r="B1601" s="8" t="s">
        <v>126</v>
      </c>
    </row>
    <row r="1602" spans="1:2" x14ac:dyDescent="0.25">
      <c r="A1602" s="9">
        <v>68412</v>
      </c>
      <c r="B1602" s="8" t="s">
        <v>129</v>
      </c>
    </row>
    <row r="1603" spans="1:2" x14ac:dyDescent="0.25">
      <c r="A1603" s="9">
        <v>68413</v>
      </c>
      <c r="B1603" s="8" t="s">
        <v>799</v>
      </c>
    </row>
    <row r="1604" spans="1:2" x14ac:dyDescent="0.25">
      <c r="A1604" s="9">
        <v>68414</v>
      </c>
      <c r="B1604" s="8" t="s">
        <v>800</v>
      </c>
    </row>
    <row r="1605" spans="1:2" x14ac:dyDescent="0.25">
      <c r="A1605" s="9">
        <v>68415</v>
      </c>
      <c r="B1605" s="8" t="s">
        <v>801</v>
      </c>
    </row>
    <row r="1606" spans="1:2" x14ac:dyDescent="0.25">
      <c r="A1606" s="9">
        <v>6843</v>
      </c>
      <c r="B1606" s="8" t="s">
        <v>802</v>
      </c>
    </row>
    <row r="1607" spans="1:2" x14ac:dyDescent="0.25">
      <c r="A1607" s="9">
        <v>68431</v>
      </c>
      <c r="B1607" s="8" t="s">
        <v>803</v>
      </c>
    </row>
    <row r="1608" spans="1:2" x14ac:dyDescent="0.25">
      <c r="A1608" s="9">
        <v>68432</v>
      </c>
      <c r="B1608" s="8" t="s">
        <v>804</v>
      </c>
    </row>
    <row r="1609" spans="1:2" x14ac:dyDescent="0.25">
      <c r="A1609" s="7">
        <v>685</v>
      </c>
      <c r="B1609" s="8" t="s">
        <v>805</v>
      </c>
    </row>
    <row r="1610" spans="1:2" x14ac:dyDescent="0.25">
      <c r="A1610" s="9">
        <v>6851</v>
      </c>
      <c r="B1610" s="8" t="s">
        <v>806</v>
      </c>
    </row>
    <row r="1611" spans="1:2" x14ac:dyDescent="0.25">
      <c r="A1611" s="10">
        <v>68511</v>
      </c>
      <c r="B1611" s="8" t="s">
        <v>202</v>
      </c>
    </row>
    <row r="1612" spans="1:2" x14ac:dyDescent="0.25">
      <c r="A1612" s="9">
        <v>6852</v>
      </c>
      <c r="B1612" s="8" t="s">
        <v>807</v>
      </c>
    </row>
    <row r="1613" spans="1:2" x14ac:dyDescent="0.25">
      <c r="A1613" s="10">
        <v>68521</v>
      </c>
      <c r="B1613" s="8" t="s">
        <v>202</v>
      </c>
    </row>
    <row r="1614" spans="1:2" x14ac:dyDescent="0.25">
      <c r="A1614" s="10">
        <v>68522</v>
      </c>
      <c r="B1614" s="8" t="s">
        <v>206</v>
      </c>
    </row>
    <row r="1615" spans="1:2" x14ac:dyDescent="0.25">
      <c r="A1615" s="10">
        <v>68523</v>
      </c>
      <c r="B1615" s="8" t="s">
        <v>207</v>
      </c>
    </row>
    <row r="1616" spans="1:2" x14ac:dyDescent="0.25">
      <c r="A1616" s="10">
        <v>68524</v>
      </c>
      <c r="B1616" s="8" t="s">
        <v>208</v>
      </c>
    </row>
    <row r="1617" spans="1:2" x14ac:dyDescent="0.25">
      <c r="A1617" s="10">
        <v>68525</v>
      </c>
      <c r="B1617" s="8" t="s">
        <v>210</v>
      </c>
    </row>
    <row r="1618" spans="1:2" x14ac:dyDescent="0.25">
      <c r="A1618" s="10">
        <v>68526</v>
      </c>
      <c r="B1618" s="8" t="s">
        <v>211</v>
      </c>
    </row>
    <row r="1619" spans="1:2" x14ac:dyDescent="0.25">
      <c r="A1619" s="9">
        <v>6853</v>
      </c>
      <c r="B1619" s="8" t="s">
        <v>808</v>
      </c>
    </row>
    <row r="1620" spans="1:2" x14ac:dyDescent="0.25">
      <c r="A1620" s="10">
        <v>68531</v>
      </c>
      <c r="B1620" s="8" t="s">
        <v>384</v>
      </c>
    </row>
    <row r="1621" spans="1:2" x14ac:dyDescent="0.25">
      <c r="A1621" s="10">
        <v>68532</v>
      </c>
      <c r="B1621" s="8" t="s">
        <v>213</v>
      </c>
    </row>
    <row r="1622" spans="1:2" x14ac:dyDescent="0.25">
      <c r="A1622" s="10">
        <v>68533</v>
      </c>
      <c r="B1622" s="8" t="s">
        <v>214</v>
      </c>
    </row>
    <row r="1623" spans="1:2" x14ac:dyDescent="0.25">
      <c r="A1623" s="10">
        <v>68534</v>
      </c>
      <c r="B1623" s="8" t="s">
        <v>231</v>
      </c>
    </row>
    <row r="1624" spans="1:2" x14ac:dyDescent="0.25">
      <c r="A1624" s="10">
        <v>68535</v>
      </c>
      <c r="B1624" s="8" t="s">
        <v>216</v>
      </c>
    </row>
    <row r="1625" spans="1:2" x14ac:dyDescent="0.25">
      <c r="A1625" s="10">
        <v>68536</v>
      </c>
      <c r="B1625" s="8" t="s">
        <v>218</v>
      </c>
    </row>
    <row r="1626" spans="1:2" x14ac:dyDescent="0.25">
      <c r="A1626" s="9">
        <v>6854</v>
      </c>
      <c r="B1626" s="8" t="s">
        <v>809</v>
      </c>
    </row>
    <row r="1627" spans="1:2" x14ac:dyDescent="0.25">
      <c r="A1627" s="10">
        <v>68541</v>
      </c>
      <c r="B1627" s="8" t="s">
        <v>427</v>
      </c>
    </row>
    <row r="1628" spans="1:2" x14ac:dyDescent="0.25">
      <c r="A1628" s="10">
        <v>68542</v>
      </c>
      <c r="B1628" s="8" t="s">
        <v>428</v>
      </c>
    </row>
    <row r="1629" spans="1:2" x14ac:dyDescent="0.25">
      <c r="A1629" s="7">
        <v>686</v>
      </c>
      <c r="B1629" s="8" t="s">
        <v>810</v>
      </c>
    </row>
    <row r="1630" spans="1:2" x14ac:dyDescent="0.25">
      <c r="A1630" s="9">
        <v>6861</v>
      </c>
      <c r="B1630" s="8" t="s">
        <v>811</v>
      </c>
    </row>
    <row r="1631" spans="1:2" x14ac:dyDescent="0.25">
      <c r="A1631" s="10">
        <v>68611</v>
      </c>
      <c r="B1631" s="8" t="s">
        <v>812</v>
      </c>
    </row>
    <row r="1632" spans="1:2" x14ac:dyDescent="0.25">
      <c r="A1632" s="10">
        <v>68612</v>
      </c>
      <c r="B1632" s="8" t="s">
        <v>813</v>
      </c>
    </row>
    <row r="1633" spans="1:2" x14ac:dyDescent="0.25">
      <c r="A1633" s="9">
        <v>6862</v>
      </c>
      <c r="B1633" s="8" t="s">
        <v>814</v>
      </c>
    </row>
    <row r="1634" spans="1:2" x14ac:dyDescent="0.25">
      <c r="A1634" s="10">
        <v>68621</v>
      </c>
      <c r="B1634" s="8" t="s">
        <v>815</v>
      </c>
    </row>
    <row r="1635" spans="1:2" x14ac:dyDescent="0.25">
      <c r="A1635" s="10">
        <v>68622</v>
      </c>
      <c r="B1635" s="8" t="s">
        <v>816</v>
      </c>
    </row>
    <row r="1636" spans="1:2" x14ac:dyDescent="0.25">
      <c r="A1636" s="9">
        <v>6863</v>
      </c>
      <c r="B1636" s="8" t="s">
        <v>817</v>
      </c>
    </row>
    <row r="1637" spans="1:2" x14ac:dyDescent="0.25">
      <c r="A1637" s="9">
        <v>6864</v>
      </c>
      <c r="B1637" s="8" t="s">
        <v>818</v>
      </c>
    </row>
    <row r="1638" spans="1:2" x14ac:dyDescent="0.25">
      <c r="A1638" s="9">
        <v>68641</v>
      </c>
      <c r="B1638" s="8" t="s">
        <v>819</v>
      </c>
    </row>
    <row r="1639" spans="1:2" x14ac:dyDescent="0.25">
      <c r="A1639" s="9">
        <v>68642</v>
      </c>
      <c r="B1639" s="8" t="s">
        <v>820</v>
      </c>
    </row>
    <row r="1640" spans="1:2" x14ac:dyDescent="0.25">
      <c r="A1640" s="9">
        <v>6866</v>
      </c>
      <c r="B1640" s="8" t="s">
        <v>577</v>
      </c>
    </row>
    <row r="1641" spans="1:2" x14ac:dyDescent="0.25">
      <c r="A1641" s="9">
        <v>68661</v>
      </c>
      <c r="B1641" s="8" t="s">
        <v>821</v>
      </c>
    </row>
    <row r="1642" spans="1:2" x14ac:dyDescent="0.25">
      <c r="A1642" s="9">
        <v>68662</v>
      </c>
      <c r="B1642" s="8" t="s">
        <v>822</v>
      </c>
    </row>
    <row r="1643" spans="1:2" x14ac:dyDescent="0.25">
      <c r="A1643" s="9">
        <v>6869</v>
      </c>
      <c r="B1643" s="8" t="s">
        <v>823</v>
      </c>
    </row>
    <row r="1644" spans="1:2" x14ac:dyDescent="0.25">
      <c r="A1644" s="11">
        <v>69</v>
      </c>
      <c r="B1644" s="12" t="s">
        <v>824</v>
      </c>
    </row>
    <row r="1645" spans="1:2" x14ac:dyDescent="0.25">
      <c r="A1645" s="7">
        <v>691</v>
      </c>
      <c r="B1645" s="8" t="s">
        <v>234</v>
      </c>
    </row>
    <row r="1646" spans="1:2" x14ac:dyDescent="0.25">
      <c r="A1646" s="9">
        <v>6911</v>
      </c>
      <c r="B1646" s="8" t="s">
        <v>142</v>
      </c>
    </row>
    <row r="1647" spans="1:2" x14ac:dyDescent="0.25">
      <c r="A1647" s="10">
        <v>69111</v>
      </c>
      <c r="B1647" s="8" t="s">
        <v>825</v>
      </c>
    </row>
    <row r="1648" spans="1:2" x14ac:dyDescent="0.25">
      <c r="A1648" s="10">
        <v>69112</v>
      </c>
      <c r="B1648" s="8" t="s">
        <v>826</v>
      </c>
    </row>
    <row r="1649" spans="1:2" x14ac:dyDescent="0.25">
      <c r="A1649" s="9">
        <v>6912</v>
      </c>
      <c r="B1649" s="8" t="s">
        <v>239</v>
      </c>
    </row>
    <row r="1650" spans="1:2" x14ac:dyDescent="0.25">
      <c r="A1650" s="10">
        <v>69121</v>
      </c>
      <c r="B1650" s="8" t="s">
        <v>827</v>
      </c>
    </row>
    <row r="1651" spans="1:2" x14ac:dyDescent="0.25">
      <c r="A1651" s="10">
        <v>69122</v>
      </c>
      <c r="B1651" s="8" t="s">
        <v>826</v>
      </c>
    </row>
    <row r="1652" spans="1:2" x14ac:dyDescent="0.25">
      <c r="A1652" s="9">
        <v>6913</v>
      </c>
      <c r="B1652" s="8" t="s">
        <v>240</v>
      </c>
    </row>
    <row r="1653" spans="1:2" x14ac:dyDescent="0.25">
      <c r="A1653" s="10">
        <v>69131</v>
      </c>
      <c r="B1653" s="8" t="s">
        <v>827</v>
      </c>
    </row>
    <row r="1654" spans="1:2" x14ac:dyDescent="0.25">
      <c r="A1654" s="10">
        <v>69132</v>
      </c>
      <c r="B1654" s="8" t="s">
        <v>826</v>
      </c>
    </row>
    <row r="1655" spans="1:2" x14ac:dyDescent="0.25">
      <c r="A1655" s="9">
        <v>6914</v>
      </c>
      <c r="B1655" s="8" t="s">
        <v>241</v>
      </c>
    </row>
    <row r="1656" spans="1:2" x14ac:dyDescent="0.25">
      <c r="A1656" s="10">
        <v>69141</v>
      </c>
      <c r="B1656" s="8" t="s">
        <v>827</v>
      </c>
    </row>
    <row r="1657" spans="1:2" x14ac:dyDescent="0.25">
      <c r="A1657" s="10">
        <v>69142</v>
      </c>
      <c r="B1657" s="8" t="s">
        <v>826</v>
      </c>
    </row>
    <row r="1658" spans="1:2" x14ac:dyDescent="0.25">
      <c r="A1658" s="9">
        <v>6915</v>
      </c>
      <c r="B1658" s="8" t="s">
        <v>149</v>
      </c>
    </row>
    <row r="1659" spans="1:2" x14ac:dyDescent="0.25">
      <c r="A1659" s="10">
        <v>69151</v>
      </c>
      <c r="B1659" s="8" t="s">
        <v>827</v>
      </c>
    </row>
    <row r="1660" spans="1:2" x14ac:dyDescent="0.25">
      <c r="A1660" s="10">
        <v>69152</v>
      </c>
      <c r="B1660" s="8" t="s">
        <v>826</v>
      </c>
    </row>
    <row r="1661" spans="1:2" x14ac:dyDescent="0.25">
      <c r="A1661" s="7">
        <v>692</v>
      </c>
      <c r="B1661" s="8" t="s">
        <v>242</v>
      </c>
    </row>
    <row r="1662" spans="1:2" x14ac:dyDescent="0.25">
      <c r="A1662" s="9">
        <v>6921</v>
      </c>
      <c r="B1662" s="8" t="s">
        <v>243</v>
      </c>
    </row>
    <row r="1663" spans="1:2" x14ac:dyDescent="0.25">
      <c r="A1663" s="10">
        <v>69211</v>
      </c>
      <c r="B1663" s="8" t="s">
        <v>827</v>
      </c>
    </row>
    <row r="1664" spans="1:2" x14ac:dyDescent="0.25">
      <c r="A1664" s="10">
        <v>69212</v>
      </c>
      <c r="B1664" s="8" t="s">
        <v>826</v>
      </c>
    </row>
    <row r="1665" spans="1:2" x14ac:dyDescent="0.25">
      <c r="A1665" s="9">
        <v>6922</v>
      </c>
      <c r="B1665" s="8" t="s">
        <v>244</v>
      </c>
    </row>
    <row r="1666" spans="1:2" x14ac:dyDescent="0.25">
      <c r="A1666" s="10">
        <v>69221</v>
      </c>
      <c r="B1666" s="8" t="s">
        <v>827</v>
      </c>
    </row>
    <row r="1667" spans="1:2" x14ac:dyDescent="0.25">
      <c r="A1667" s="10">
        <v>69222</v>
      </c>
      <c r="B1667" s="8" t="s">
        <v>826</v>
      </c>
    </row>
    <row r="1668" spans="1:2" x14ac:dyDescent="0.25">
      <c r="A1668" s="9">
        <v>6923</v>
      </c>
      <c r="B1668" s="8" t="s">
        <v>245</v>
      </c>
    </row>
    <row r="1669" spans="1:2" x14ac:dyDescent="0.25">
      <c r="A1669" s="10">
        <v>69231</v>
      </c>
      <c r="B1669" s="8" t="s">
        <v>827</v>
      </c>
    </row>
    <row r="1670" spans="1:2" x14ac:dyDescent="0.25">
      <c r="A1670" s="10">
        <v>69232</v>
      </c>
      <c r="B1670" s="8" t="s">
        <v>826</v>
      </c>
    </row>
    <row r="1671" spans="1:2" x14ac:dyDescent="0.25">
      <c r="A1671" s="9">
        <v>6924</v>
      </c>
      <c r="B1671" s="8" t="s">
        <v>828</v>
      </c>
    </row>
    <row r="1672" spans="1:2" x14ac:dyDescent="0.25">
      <c r="A1672" s="10">
        <v>69241</v>
      </c>
      <c r="B1672" s="8" t="s">
        <v>827</v>
      </c>
    </row>
    <row r="1673" spans="1:2" x14ac:dyDescent="0.25">
      <c r="A1673" s="10">
        <v>69242</v>
      </c>
      <c r="B1673" s="8" t="s">
        <v>826</v>
      </c>
    </row>
    <row r="1674" spans="1:2" x14ac:dyDescent="0.25">
      <c r="A1674" s="9">
        <v>6925</v>
      </c>
      <c r="B1674" s="8" t="s">
        <v>247</v>
      </c>
    </row>
    <row r="1675" spans="1:2" x14ac:dyDescent="0.25">
      <c r="A1675" s="10">
        <v>69251</v>
      </c>
      <c r="B1675" s="8" t="s">
        <v>827</v>
      </c>
    </row>
    <row r="1676" spans="1:2" x14ac:dyDescent="0.25">
      <c r="A1676" s="10">
        <v>69252</v>
      </c>
      <c r="B1676" s="8" t="s">
        <v>826</v>
      </c>
    </row>
    <row r="1677" spans="1:2" x14ac:dyDescent="0.25">
      <c r="A1677" s="9">
        <v>6926</v>
      </c>
      <c r="B1677" s="8" t="s">
        <v>249</v>
      </c>
    </row>
    <row r="1678" spans="1:2" x14ac:dyDescent="0.25">
      <c r="A1678" s="10">
        <v>69261</v>
      </c>
      <c r="B1678" s="8" t="s">
        <v>827</v>
      </c>
    </row>
    <row r="1679" spans="1:2" x14ac:dyDescent="0.25">
      <c r="A1679" s="10">
        <v>692611</v>
      </c>
      <c r="B1679" s="8" t="s">
        <v>243</v>
      </c>
    </row>
    <row r="1680" spans="1:2" x14ac:dyDescent="0.25">
      <c r="A1680" s="10">
        <v>692612</v>
      </c>
      <c r="B1680" s="8" t="s">
        <v>244</v>
      </c>
    </row>
    <row r="1681" spans="1:2" x14ac:dyDescent="0.25">
      <c r="A1681" s="10">
        <v>692613</v>
      </c>
      <c r="B1681" s="8" t="s">
        <v>245</v>
      </c>
    </row>
    <row r="1682" spans="1:2" x14ac:dyDescent="0.25">
      <c r="A1682" s="10">
        <v>692614</v>
      </c>
      <c r="B1682" s="8" t="s">
        <v>828</v>
      </c>
    </row>
    <row r="1683" spans="1:2" x14ac:dyDescent="0.25">
      <c r="A1683" s="10">
        <v>692615</v>
      </c>
      <c r="B1683" s="8" t="s">
        <v>247</v>
      </c>
    </row>
    <row r="1684" spans="1:2" x14ac:dyDescent="0.25">
      <c r="A1684" s="10">
        <v>69262</v>
      </c>
      <c r="B1684" s="8" t="s">
        <v>826</v>
      </c>
    </row>
    <row r="1685" spans="1:2" x14ac:dyDescent="0.25">
      <c r="A1685" s="10">
        <v>692621</v>
      </c>
      <c r="B1685" s="8" t="s">
        <v>243</v>
      </c>
    </row>
    <row r="1686" spans="1:2" x14ac:dyDescent="0.25">
      <c r="A1686" s="10">
        <v>692622</v>
      </c>
      <c r="B1686" s="8" t="s">
        <v>244</v>
      </c>
    </row>
    <row r="1687" spans="1:2" x14ac:dyDescent="0.25">
      <c r="A1687" s="10">
        <v>692623</v>
      </c>
      <c r="B1687" s="8" t="s">
        <v>245</v>
      </c>
    </row>
    <row r="1688" spans="1:2" x14ac:dyDescent="0.25">
      <c r="A1688" s="10">
        <v>692624</v>
      </c>
      <c r="B1688" s="8" t="s">
        <v>828</v>
      </c>
    </row>
    <row r="1689" spans="1:2" x14ac:dyDescent="0.25">
      <c r="A1689" s="10">
        <v>692625</v>
      </c>
      <c r="B1689" s="8" t="s">
        <v>247</v>
      </c>
    </row>
    <row r="1690" spans="1:2" x14ac:dyDescent="0.25">
      <c r="A1690" s="7">
        <v>693</v>
      </c>
      <c r="B1690" s="8" t="s">
        <v>250</v>
      </c>
    </row>
    <row r="1691" spans="1:2" x14ac:dyDescent="0.25">
      <c r="A1691" s="9">
        <v>6931</v>
      </c>
      <c r="B1691" s="8" t="s">
        <v>163</v>
      </c>
    </row>
    <row r="1692" spans="1:2" x14ac:dyDescent="0.25">
      <c r="A1692" s="10">
        <v>69311</v>
      </c>
      <c r="B1692" s="8" t="s">
        <v>827</v>
      </c>
    </row>
    <row r="1693" spans="1:2" x14ac:dyDescent="0.25">
      <c r="A1693" s="10">
        <v>69312</v>
      </c>
      <c r="B1693" s="8" t="s">
        <v>826</v>
      </c>
    </row>
    <row r="1694" spans="1:2" x14ac:dyDescent="0.25">
      <c r="A1694" s="9">
        <v>6932</v>
      </c>
      <c r="B1694" s="8" t="s">
        <v>251</v>
      </c>
    </row>
    <row r="1695" spans="1:2" x14ac:dyDescent="0.25">
      <c r="A1695" s="10">
        <v>69321</v>
      </c>
      <c r="B1695" s="8" t="s">
        <v>827</v>
      </c>
    </row>
    <row r="1696" spans="1:2" x14ac:dyDescent="0.25">
      <c r="A1696" s="10">
        <v>69322</v>
      </c>
      <c r="B1696" s="8" t="s">
        <v>826</v>
      </c>
    </row>
    <row r="1697" spans="1:2" x14ac:dyDescent="0.25">
      <c r="A1697" s="7">
        <v>694</v>
      </c>
      <c r="B1697" s="8" t="s">
        <v>829</v>
      </c>
    </row>
    <row r="1698" spans="1:2" x14ac:dyDescent="0.25">
      <c r="A1698" s="9">
        <v>6941</v>
      </c>
      <c r="B1698" s="8" t="s">
        <v>827</v>
      </c>
    </row>
    <row r="1699" spans="1:2" x14ac:dyDescent="0.25">
      <c r="A1699" s="9">
        <v>6942</v>
      </c>
      <c r="B1699" s="8" t="s">
        <v>826</v>
      </c>
    </row>
    <row r="1700" spans="1:2" x14ac:dyDescent="0.25">
      <c r="A1700" s="7">
        <v>695</v>
      </c>
      <c r="B1700" s="8" t="s">
        <v>830</v>
      </c>
    </row>
    <row r="1701" spans="1:2" x14ac:dyDescent="0.25">
      <c r="A1701" s="9">
        <v>6951</v>
      </c>
      <c r="B1701" s="8" t="s">
        <v>234</v>
      </c>
    </row>
    <row r="1702" spans="1:2" x14ac:dyDescent="0.25">
      <c r="A1702" s="9">
        <v>69511</v>
      </c>
      <c r="B1702" s="8" t="s">
        <v>142</v>
      </c>
    </row>
    <row r="1703" spans="1:2" x14ac:dyDescent="0.25">
      <c r="A1703" s="9">
        <v>69512</v>
      </c>
      <c r="B1703" s="8" t="s">
        <v>239</v>
      </c>
    </row>
    <row r="1704" spans="1:2" x14ac:dyDescent="0.25">
      <c r="A1704" s="9">
        <v>69513</v>
      </c>
      <c r="B1704" s="8" t="s">
        <v>240</v>
      </c>
    </row>
    <row r="1705" spans="1:2" x14ac:dyDescent="0.25">
      <c r="A1705" s="9">
        <v>69514</v>
      </c>
      <c r="B1705" s="8" t="s">
        <v>241</v>
      </c>
    </row>
    <row r="1706" spans="1:2" x14ac:dyDescent="0.25">
      <c r="A1706" s="9">
        <v>69515</v>
      </c>
      <c r="B1706" s="8" t="s">
        <v>149</v>
      </c>
    </row>
    <row r="1707" spans="1:2" x14ac:dyDescent="0.25">
      <c r="A1707" s="9">
        <v>6952</v>
      </c>
      <c r="B1707" s="8" t="s">
        <v>242</v>
      </c>
    </row>
    <row r="1708" spans="1:2" x14ac:dyDescent="0.25">
      <c r="A1708" s="9">
        <v>69521</v>
      </c>
      <c r="B1708" s="8" t="s">
        <v>243</v>
      </c>
    </row>
    <row r="1709" spans="1:2" x14ac:dyDescent="0.25">
      <c r="A1709" s="9">
        <v>69522</v>
      </c>
      <c r="B1709" s="8" t="s">
        <v>244</v>
      </c>
    </row>
    <row r="1710" spans="1:2" x14ac:dyDescent="0.25">
      <c r="A1710" s="9">
        <v>69523</v>
      </c>
      <c r="B1710" s="8" t="s">
        <v>245</v>
      </c>
    </row>
    <row r="1711" spans="1:2" x14ac:dyDescent="0.25">
      <c r="A1711" s="9">
        <v>69524</v>
      </c>
      <c r="B1711" s="8" t="s">
        <v>828</v>
      </c>
    </row>
    <row r="1712" spans="1:2" x14ac:dyDescent="0.25">
      <c r="A1712" s="9">
        <v>69525</v>
      </c>
      <c r="B1712" s="8" t="s">
        <v>247</v>
      </c>
    </row>
    <row r="1713" spans="1:2" x14ac:dyDescent="0.25">
      <c r="A1713" s="9">
        <v>6953</v>
      </c>
      <c r="B1713" s="8" t="s">
        <v>250</v>
      </c>
    </row>
    <row r="1714" spans="1:2" x14ac:dyDescent="0.25">
      <c r="A1714" s="9">
        <v>69531</v>
      </c>
      <c r="B1714" s="8" t="s">
        <v>163</v>
      </c>
    </row>
    <row r="1715" spans="1:2" x14ac:dyDescent="0.25">
      <c r="A1715" s="9">
        <v>69532</v>
      </c>
      <c r="B1715" s="8" t="s">
        <v>164</v>
      </c>
    </row>
    <row r="1716" spans="1:2" x14ac:dyDescent="0.25">
      <c r="A1716" s="9">
        <v>6954</v>
      </c>
      <c r="B1716" s="8" t="s">
        <v>252</v>
      </c>
    </row>
    <row r="1717" spans="1:2" x14ac:dyDescent="0.25">
      <c r="A1717" s="9">
        <v>69541</v>
      </c>
      <c r="B1717" s="8" t="s">
        <v>253</v>
      </c>
    </row>
    <row r="1718" spans="1:2" x14ac:dyDescent="0.25">
      <c r="A1718" s="9">
        <v>69542</v>
      </c>
      <c r="B1718" s="8" t="s">
        <v>254</v>
      </c>
    </row>
    <row r="1719" spans="1:2" x14ac:dyDescent="0.25">
      <c r="A1719" s="9">
        <v>69543</v>
      </c>
      <c r="B1719" s="8" t="s">
        <v>255</v>
      </c>
    </row>
    <row r="1720" spans="1:2" x14ac:dyDescent="0.25">
      <c r="A1720" s="9">
        <v>69544</v>
      </c>
      <c r="B1720" s="8" t="s">
        <v>256</v>
      </c>
    </row>
    <row r="1721" spans="1:2" x14ac:dyDescent="0.25">
      <c r="A1721" s="9">
        <v>69545</v>
      </c>
      <c r="B1721" s="8" t="s">
        <v>257</v>
      </c>
    </row>
    <row r="1722" spans="1:2" x14ac:dyDescent="0.25">
      <c r="A1722" s="9">
        <v>69546</v>
      </c>
      <c r="B1722" s="8" t="s">
        <v>258</v>
      </c>
    </row>
    <row r="1723" spans="1:2" x14ac:dyDescent="0.25">
      <c r="A1723" s="9">
        <v>6955</v>
      </c>
      <c r="B1723" s="8" t="s">
        <v>235</v>
      </c>
    </row>
    <row r="1724" spans="1:2" x14ac:dyDescent="0.25">
      <c r="A1724" s="9">
        <v>69551</v>
      </c>
      <c r="B1724" s="8" t="s">
        <v>260</v>
      </c>
    </row>
    <row r="1725" spans="1:2" x14ac:dyDescent="0.25">
      <c r="A1725" s="9">
        <v>69552</v>
      </c>
      <c r="B1725" s="8" t="s">
        <v>261</v>
      </c>
    </row>
    <row r="1726" spans="1:2" x14ac:dyDescent="0.25">
      <c r="A1726" s="9">
        <v>69553</v>
      </c>
      <c r="B1726" s="8" t="s">
        <v>634</v>
      </c>
    </row>
    <row r="1727" spans="1:2" x14ac:dyDescent="0.25">
      <c r="A1727" s="9">
        <v>69554</v>
      </c>
      <c r="B1727" s="8" t="s">
        <v>263</v>
      </c>
    </row>
    <row r="1728" spans="1:2" x14ac:dyDescent="0.25">
      <c r="A1728" s="9">
        <v>6956</v>
      </c>
      <c r="B1728" s="8" t="s">
        <v>236</v>
      </c>
    </row>
    <row r="1729" spans="1:2" x14ac:dyDescent="0.25">
      <c r="A1729" s="9">
        <v>69561</v>
      </c>
      <c r="B1729" s="8" t="s">
        <v>179</v>
      </c>
    </row>
    <row r="1730" spans="1:2" x14ac:dyDescent="0.25">
      <c r="A1730" s="9">
        <v>69562</v>
      </c>
      <c r="B1730" s="8" t="s">
        <v>831</v>
      </c>
    </row>
    <row r="1731" spans="1:2" x14ac:dyDescent="0.25">
      <c r="A1731" s="9">
        <v>69563</v>
      </c>
      <c r="B1731" s="8" t="s">
        <v>188</v>
      </c>
    </row>
    <row r="1732" spans="1:2" x14ac:dyDescent="0.25">
      <c r="A1732" s="9">
        <v>6957</v>
      </c>
      <c r="B1732" s="8" t="s">
        <v>268</v>
      </c>
    </row>
    <row r="1733" spans="1:2" x14ac:dyDescent="0.25">
      <c r="A1733" s="9">
        <v>69571</v>
      </c>
      <c r="B1733" s="8" t="s">
        <v>832</v>
      </c>
    </row>
    <row r="1734" spans="1:2" x14ac:dyDescent="0.25">
      <c r="A1734" s="9">
        <v>69572</v>
      </c>
      <c r="B1734" s="8" t="s">
        <v>197</v>
      </c>
    </row>
    <row r="1735" spans="1:2" x14ac:dyDescent="0.25">
      <c r="A1735" s="9">
        <v>6958</v>
      </c>
      <c r="B1735" s="8" t="s">
        <v>833</v>
      </c>
    </row>
    <row r="1736" spans="1:2" x14ac:dyDescent="0.25">
      <c r="A1736" s="9">
        <v>69581</v>
      </c>
      <c r="B1736" s="19" t="s">
        <v>234</v>
      </c>
    </row>
    <row r="1737" spans="1:2" x14ac:dyDescent="0.25">
      <c r="A1737" s="9">
        <v>695811</v>
      </c>
      <c r="B1737" s="8" t="s">
        <v>142</v>
      </c>
    </row>
    <row r="1738" spans="1:2" x14ac:dyDescent="0.25">
      <c r="A1738" s="9">
        <v>695812</v>
      </c>
      <c r="B1738" s="8" t="s">
        <v>239</v>
      </c>
    </row>
    <row r="1739" spans="1:2" x14ac:dyDescent="0.25">
      <c r="A1739" s="9">
        <v>695813</v>
      </c>
      <c r="B1739" s="8" t="s">
        <v>240</v>
      </c>
    </row>
    <row r="1740" spans="1:2" x14ac:dyDescent="0.25">
      <c r="A1740" s="9">
        <v>695814</v>
      </c>
      <c r="B1740" s="8" t="s">
        <v>241</v>
      </c>
    </row>
    <row r="1741" spans="1:2" x14ac:dyDescent="0.25">
      <c r="A1741" s="9">
        <v>695815</v>
      </c>
      <c r="B1741" s="8" t="s">
        <v>149</v>
      </c>
    </row>
    <row r="1742" spans="1:2" x14ac:dyDescent="0.25">
      <c r="A1742" s="9">
        <v>69582</v>
      </c>
      <c r="B1742" s="19" t="s">
        <v>235</v>
      </c>
    </row>
    <row r="1743" spans="1:2" x14ac:dyDescent="0.25">
      <c r="A1743" s="9">
        <v>695821</v>
      </c>
      <c r="B1743" s="8" t="s">
        <v>260</v>
      </c>
    </row>
    <row r="1744" spans="1:2" x14ac:dyDescent="0.25">
      <c r="A1744" s="9">
        <v>695822</v>
      </c>
      <c r="B1744" s="8" t="s">
        <v>261</v>
      </c>
    </row>
    <row r="1745" spans="1:2" x14ac:dyDescent="0.25">
      <c r="A1745" s="9">
        <v>695823</v>
      </c>
      <c r="B1745" s="8" t="s">
        <v>634</v>
      </c>
    </row>
    <row r="1746" spans="1:2" x14ac:dyDescent="0.25">
      <c r="A1746" s="9">
        <v>695824</v>
      </c>
      <c r="B1746" s="8" t="s">
        <v>263</v>
      </c>
    </row>
    <row r="1747" spans="1:2" x14ac:dyDescent="0.25">
      <c r="A1747" s="9">
        <v>69583</v>
      </c>
      <c r="B1747" s="19" t="s">
        <v>236</v>
      </c>
    </row>
    <row r="1748" spans="1:2" x14ac:dyDescent="0.25">
      <c r="A1748" s="9">
        <v>695831</v>
      </c>
      <c r="B1748" s="8" t="s">
        <v>179</v>
      </c>
    </row>
    <row r="1749" spans="1:2" x14ac:dyDescent="0.25">
      <c r="A1749" s="9">
        <v>695832</v>
      </c>
      <c r="B1749" s="8" t="s">
        <v>831</v>
      </c>
    </row>
    <row r="1750" spans="1:2" x14ac:dyDescent="0.25">
      <c r="A1750" s="9">
        <v>695833</v>
      </c>
      <c r="B1750" s="8" t="s">
        <v>188</v>
      </c>
    </row>
    <row r="1751" spans="1:2" x14ac:dyDescent="0.25">
      <c r="A1751" s="9">
        <v>69584</v>
      </c>
      <c r="B1751" s="19" t="s">
        <v>268</v>
      </c>
    </row>
    <row r="1752" spans="1:2" x14ac:dyDescent="0.25">
      <c r="A1752" s="9">
        <v>695841</v>
      </c>
      <c r="B1752" s="8" t="s">
        <v>832</v>
      </c>
    </row>
    <row r="1753" spans="1:2" x14ac:dyDescent="0.25">
      <c r="A1753" s="9">
        <v>695842</v>
      </c>
      <c r="B1753" s="8" t="s">
        <v>197</v>
      </c>
    </row>
    <row r="1754" spans="1:2" x14ac:dyDescent="0.25">
      <c r="A1754" s="11">
        <v>70</v>
      </c>
      <c r="B1754" s="12" t="s">
        <v>834</v>
      </c>
    </row>
    <row r="1755" spans="1:2" x14ac:dyDescent="0.25">
      <c r="A1755" s="7">
        <v>701</v>
      </c>
      <c r="B1755" s="8" t="s">
        <v>234</v>
      </c>
    </row>
    <row r="1756" spans="1:2" x14ac:dyDescent="0.25">
      <c r="A1756" s="9">
        <v>7011</v>
      </c>
      <c r="B1756" s="8" t="s">
        <v>142</v>
      </c>
    </row>
    <row r="1757" spans="1:2" x14ac:dyDescent="0.25">
      <c r="A1757" s="10">
        <v>70111</v>
      </c>
      <c r="B1757" s="8" t="s">
        <v>835</v>
      </c>
    </row>
    <row r="1758" spans="1:2" x14ac:dyDescent="0.25">
      <c r="A1758" s="10">
        <v>70112</v>
      </c>
      <c r="B1758" s="8" t="s">
        <v>826</v>
      </c>
    </row>
    <row r="1759" spans="1:2" x14ac:dyDescent="0.25">
      <c r="A1759" s="9">
        <v>7012</v>
      </c>
      <c r="B1759" s="8" t="s">
        <v>239</v>
      </c>
    </row>
    <row r="1760" spans="1:2" x14ac:dyDescent="0.25">
      <c r="A1760" s="10">
        <v>70121</v>
      </c>
      <c r="B1760" s="8" t="s">
        <v>827</v>
      </c>
    </row>
    <row r="1761" spans="1:2" x14ac:dyDescent="0.25">
      <c r="A1761" s="10">
        <v>70122</v>
      </c>
      <c r="B1761" s="8" t="s">
        <v>826</v>
      </c>
    </row>
    <row r="1762" spans="1:2" x14ac:dyDescent="0.25">
      <c r="A1762" s="9">
        <v>7013</v>
      </c>
      <c r="B1762" s="8" t="s">
        <v>240</v>
      </c>
    </row>
    <row r="1763" spans="1:2" x14ac:dyDescent="0.25">
      <c r="A1763" s="10">
        <v>70131</v>
      </c>
      <c r="B1763" s="8" t="s">
        <v>827</v>
      </c>
    </row>
    <row r="1764" spans="1:2" x14ac:dyDescent="0.25">
      <c r="A1764" s="10">
        <v>70132</v>
      </c>
      <c r="B1764" s="8" t="s">
        <v>826</v>
      </c>
    </row>
    <row r="1765" spans="1:2" x14ac:dyDescent="0.25">
      <c r="A1765" s="9">
        <v>7014</v>
      </c>
      <c r="B1765" s="8" t="s">
        <v>241</v>
      </c>
    </row>
    <row r="1766" spans="1:2" x14ac:dyDescent="0.25">
      <c r="A1766" s="10">
        <v>70141</v>
      </c>
      <c r="B1766" s="8" t="s">
        <v>827</v>
      </c>
    </row>
    <row r="1767" spans="1:2" x14ac:dyDescent="0.25">
      <c r="A1767" s="10">
        <v>70142</v>
      </c>
      <c r="B1767" s="8" t="s">
        <v>826</v>
      </c>
    </row>
    <row r="1768" spans="1:2" x14ac:dyDescent="0.25">
      <c r="A1768" s="9">
        <v>7015</v>
      </c>
      <c r="B1768" s="8" t="s">
        <v>836</v>
      </c>
    </row>
    <row r="1769" spans="1:2" x14ac:dyDescent="0.25">
      <c r="A1769" s="10">
        <v>70151</v>
      </c>
      <c r="B1769" s="8" t="s">
        <v>827</v>
      </c>
    </row>
    <row r="1770" spans="1:2" x14ac:dyDescent="0.25">
      <c r="A1770" s="10">
        <v>70152</v>
      </c>
      <c r="B1770" s="8" t="s">
        <v>826</v>
      </c>
    </row>
    <row r="1771" spans="1:2" x14ac:dyDescent="0.25">
      <c r="A1771" s="7">
        <v>702</v>
      </c>
      <c r="B1771" s="8" t="s">
        <v>242</v>
      </c>
    </row>
    <row r="1772" spans="1:2" x14ac:dyDescent="0.25">
      <c r="A1772" s="9">
        <v>7021</v>
      </c>
      <c r="B1772" s="8" t="s">
        <v>243</v>
      </c>
    </row>
    <row r="1773" spans="1:2" x14ac:dyDescent="0.25">
      <c r="A1773" s="10">
        <v>70211</v>
      </c>
      <c r="B1773" s="8" t="s">
        <v>827</v>
      </c>
    </row>
    <row r="1774" spans="1:2" x14ac:dyDescent="0.25">
      <c r="A1774" s="10">
        <v>70212</v>
      </c>
      <c r="B1774" s="8" t="s">
        <v>826</v>
      </c>
    </row>
    <row r="1775" spans="1:2" x14ac:dyDescent="0.25">
      <c r="A1775" s="9">
        <v>7022</v>
      </c>
      <c r="B1775" s="8" t="s">
        <v>244</v>
      </c>
    </row>
    <row r="1776" spans="1:2" x14ac:dyDescent="0.25">
      <c r="A1776" s="10">
        <v>70221</v>
      </c>
      <c r="B1776" s="8" t="s">
        <v>827</v>
      </c>
    </row>
    <row r="1777" spans="1:2" x14ac:dyDescent="0.25">
      <c r="A1777" s="10">
        <v>70222</v>
      </c>
      <c r="B1777" s="8" t="s">
        <v>826</v>
      </c>
    </row>
    <row r="1778" spans="1:2" x14ac:dyDescent="0.25">
      <c r="A1778" s="9">
        <v>7023</v>
      </c>
      <c r="B1778" s="8" t="s">
        <v>245</v>
      </c>
    </row>
    <row r="1779" spans="1:2" x14ac:dyDescent="0.25">
      <c r="A1779" s="10">
        <v>70231</v>
      </c>
      <c r="B1779" s="8" t="s">
        <v>827</v>
      </c>
    </row>
    <row r="1780" spans="1:2" x14ac:dyDescent="0.25">
      <c r="A1780" s="10">
        <v>70232</v>
      </c>
      <c r="B1780" s="8" t="s">
        <v>826</v>
      </c>
    </row>
    <row r="1781" spans="1:2" x14ac:dyDescent="0.25">
      <c r="A1781" s="9">
        <v>7024</v>
      </c>
      <c r="B1781" s="8" t="s">
        <v>828</v>
      </c>
    </row>
    <row r="1782" spans="1:2" x14ac:dyDescent="0.25">
      <c r="A1782" s="10">
        <v>70241</v>
      </c>
      <c r="B1782" s="8" t="s">
        <v>827</v>
      </c>
    </row>
    <row r="1783" spans="1:2" x14ac:dyDescent="0.25">
      <c r="A1783" s="10">
        <v>70242</v>
      </c>
      <c r="B1783" s="8" t="s">
        <v>826</v>
      </c>
    </row>
    <row r="1784" spans="1:2" x14ac:dyDescent="0.25">
      <c r="A1784" s="9">
        <v>7025</v>
      </c>
      <c r="B1784" s="8" t="s">
        <v>247</v>
      </c>
    </row>
    <row r="1785" spans="1:2" x14ac:dyDescent="0.25">
      <c r="A1785" s="10">
        <v>70251</v>
      </c>
      <c r="B1785" s="8" t="s">
        <v>827</v>
      </c>
    </row>
    <row r="1786" spans="1:2" x14ac:dyDescent="0.25">
      <c r="A1786" s="10">
        <v>70252</v>
      </c>
      <c r="B1786" s="8" t="s">
        <v>826</v>
      </c>
    </row>
    <row r="1787" spans="1:2" x14ac:dyDescent="0.25">
      <c r="A1787" s="7">
        <v>703</v>
      </c>
      <c r="B1787" s="8" t="s">
        <v>250</v>
      </c>
    </row>
    <row r="1788" spans="1:2" x14ac:dyDescent="0.25">
      <c r="A1788" s="9">
        <v>7031</v>
      </c>
      <c r="B1788" s="8" t="s">
        <v>163</v>
      </c>
    </row>
    <row r="1789" spans="1:2" x14ac:dyDescent="0.25">
      <c r="A1789" s="10">
        <v>70311</v>
      </c>
      <c r="B1789" s="8" t="s">
        <v>827</v>
      </c>
    </row>
    <row r="1790" spans="1:2" x14ac:dyDescent="0.25">
      <c r="A1790" s="10">
        <v>70312</v>
      </c>
      <c r="B1790" s="8" t="s">
        <v>826</v>
      </c>
    </row>
    <row r="1791" spans="1:2" x14ac:dyDescent="0.25">
      <c r="A1791" s="9">
        <v>7032</v>
      </c>
      <c r="B1791" s="8" t="s">
        <v>251</v>
      </c>
    </row>
    <row r="1792" spans="1:2" x14ac:dyDescent="0.25">
      <c r="A1792" s="10">
        <v>70321</v>
      </c>
      <c r="B1792" s="8" t="s">
        <v>827</v>
      </c>
    </row>
    <row r="1793" spans="1:2" x14ac:dyDescent="0.25">
      <c r="A1793" s="10">
        <v>70322</v>
      </c>
      <c r="B1793" s="8" t="s">
        <v>826</v>
      </c>
    </row>
    <row r="1794" spans="1:2" x14ac:dyDescent="0.25">
      <c r="A1794" s="7">
        <v>704</v>
      </c>
      <c r="B1794" s="8" t="s">
        <v>837</v>
      </c>
    </row>
    <row r="1795" spans="1:2" x14ac:dyDescent="0.25">
      <c r="A1795" s="9">
        <v>7041</v>
      </c>
      <c r="B1795" s="8" t="s">
        <v>827</v>
      </c>
    </row>
    <row r="1796" spans="1:2" x14ac:dyDescent="0.25">
      <c r="A1796" s="9">
        <v>7042</v>
      </c>
      <c r="B1796" s="8" t="s">
        <v>826</v>
      </c>
    </row>
    <row r="1797" spans="1:2" x14ac:dyDescent="0.25">
      <c r="A1797" s="7">
        <v>709</v>
      </c>
      <c r="B1797" s="8" t="s">
        <v>838</v>
      </c>
    </row>
    <row r="1798" spans="1:2" x14ac:dyDescent="0.25">
      <c r="A1798" s="9">
        <v>7091</v>
      </c>
      <c r="B1798" s="8" t="s">
        <v>839</v>
      </c>
    </row>
    <row r="1799" spans="1:2" x14ac:dyDescent="0.25">
      <c r="A1799" s="10">
        <v>70911</v>
      </c>
      <c r="B1799" s="8" t="s">
        <v>142</v>
      </c>
    </row>
    <row r="1800" spans="1:2" x14ac:dyDescent="0.25">
      <c r="A1800" s="10">
        <v>70912</v>
      </c>
      <c r="B1800" s="8" t="s">
        <v>239</v>
      </c>
    </row>
    <row r="1801" spans="1:2" x14ac:dyDescent="0.25">
      <c r="A1801" s="10">
        <v>70913</v>
      </c>
      <c r="B1801" s="8" t="s">
        <v>240</v>
      </c>
    </row>
    <row r="1802" spans="1:2" x14ac:dyDescent="0.25">
      <c r="A1802" s="10">
        <v>70914</v>
      </c>
      <c r="B1802" s="8" t="s">
        <v>241</v>
      </c>
    </row>
    <row r="1803" spans="1:2" x14ac:dyDescent="0.25">
      <c r="A1803" s="10">
        <v>70915</v>
      </c>
      <c r="B1803" s="8" t="s">
        <v>836</v>
      </c>
    </row>
    <row r="1804" spans="1:2" x14ac:dyDescent="0.25">
      <c r="A1804" s="9">
        <v>7092</v>
      </c>
      <c r="B1804" s="8" t="s">
        <v>840</v>
      </c>
    </row>
    <row r="1805" spans="1:2" x14ac:dyDescent="0.25">
      <c r="A1805" s="10">
        <v>70921</v>
      </c>
      <c r="B1805" s="8" t="s">
        <v>142</v>
      </c>
    </row>
    <row r="1806" spans="1:2" x14ac:dyDescent="0.25">
      <c r="A1806" s="10">
        <v>70922</v>
      </c>
      <c r="B1806" s="8" t="s">
        <v>239</v>
      </c>
    </row>
    <row r="1807" spans="1:2" x14ac:dyDescent="0.25">
      <c r="A1807" s="10">
        <v>70923</v>
      </c>
      <c r="B1807" s="8" t="s">
        <v>240</v>
      </c>
    </row>
    <row r="1808" spans="1:2" x14ac:dyDescent="0.25">
      <c r="A1808" s="10">
        <v>70924</v>
      </c>
      <c r="B1808" s="8" t="s">
        <v>241</v>
      </c>
    </row>
    <row r="1809" spans="1:2" x14ac:dyDescent="0.25">
      <c r="A1809" s="10">
        <v>70925</v>
      </c>
      <c r="B1809" s="8" t="s">
        <v>836</v>
      </c>
    </row>
    <row r="1810" spans="1:2" x14ac:dyDescent="0.25">
      <c r="A1810" s="9">
        <v>7093</v>
      </c>
      <c r="B1810" s="8" t="s">
        <v>841</v>
      </c>
    </row>
    <row r="1811" spans="1:2" x14ac:dyDescent="0.25">
      <c r="A1811" s="10">
        <v>70931</v>
      </c>
      <c r="B1811" s="8" t="s">
        <v>243</v>
      </c>
    </row>
    <row r="1812" spans="1:2" x14ac:dyDescent="0.25">
      <c r="A1812" s="10">
        <v>70932</v>
      </c>
      <c r="B1812" s="8" t="s">
        <v>244</v>
      </c>
    </row>
    <row r="1813" spans="1:2" x14ac:dyDescent="0.25">
      <c r="A1813" s="10">
        <v>70933</v>
      </c>
      <c r="B1813" s="8" t="s">
        <v>245</v>
      </c>
    </row>
    <row r="1814" spans="1:2" x14ac:dyDescent="0.25">
      <c r="A1814" s="10">
        <v>70934</v>
      </c>
      <c r="B1814" s="8" t="s">
        <v>828</v>
      </c>
    </row>
    <row r="1815" spans="1:2" x14ac:dyDescent="0.25">
      <c r="A1815" s="10">
        <v>70935</v>
      </c>
      <c r="B1815" s="8" t="s">
        <v>247</v>
      </c>
    </row>
    <row r="1816" spans="1:2" x14ac:dyDescent="0.25">
      <c r="A1816" s="9">
        <v>7094</v>
      </c>
      <c r="B1816" s="8" t="s">
        <v>842</v>
      </c>
    </row>
    <row r="1817" spans="1:2" x14ac:dyDescent="0.25">
      <c r="A1817" s="10">
        <v>70941</v>
      </c>
      <c r="B1817" s="8" t="s">
        <v>243</v>
      </c>
    </row>
    <row r="1818" spans="1:2" x14ac:dyDescent="0.25">
      <c r="A1818" s="10">
        <v>70942</v>
      </c>
      <c r="B1818" s="8" t="s">
        <v>244</v>
      </c>
    </row>
    <row r="1819" spans="1:2" x14ac:dyDescent="0.25">
      <c r="A1819" s="10">
        <v>70943</v>
      </c>
      <c r="B1819" s="8" t="s">
        <v>245</v>
      </c>
    </row>
    <row r="1820" spans="1:2" x14ac:dyDescent="0.25">
      <c r="A1820" s="10">
        <v>70944</v>
      </c>
      <c r="B1820" s="8" t="s">
        <v>828</v>
      </c>
    </row>
    <row r="1821" spans="1:2" x14ac:dyDescent="0.25">
      <c r="A1821" s="10">
        <v>70945</v>
      </c>
      <c r="B1821" s="8" t="s">
        <v>247</v>
      </c>
    </row>
    <row r="1822" spans="1:2" x14ac:dyDescent="0.25">
      <c r="A1822" s="9">
        <v>7095</v>
      </c>
      <c r="B1822" s="8" t="s">
        <v>843</v>
      </c>
    </row>
    <row r="1823" spans="1:2" x14ac:dyDescent="0.25">
      <c r="A1823" s="9">
        <v>7096</v>
      </c>
      <c r="B1823" s="8" t="s">
        <v>844</v>
      </c>
    </row>
    <row r="1824" spans="1:2" x14ac:dyDescent="0.25">
      <c r="A1824" s="9">
        <v>7097</v>
      </c>
      <c r="B1824" s="8" t="s">
        <v>845</v>
      </c>
    </row>
    <row r="1825" spans="1:2" x14ac:dyDescent="0.25">
      <c r="A1825" s="10">
        <v>70971</v>
      </c>
      <c r="B1825" s="8" t="s">
        <v>827</v>
      </c>
    </row>
    <row r="1826" spans="1:2" x14ac:dyDescent="0.25">
      <c r="A1826" s="10">
        <v>70972</v>
      </c>
      <c r="B1826" s="8" t="s">
        <v>826</v>
      </c>
    </row>
    <row r="1827" spans="1:2" x14ac:dyDescent="0.25">
      <c r="A1827" s="11">
        <v>71</v>
      </c>
      <c r="B1827" s="12" t="s">
        <v>846</v>
      </c>
    </row>
    <row r="1828" spans="1:2" x14ac:dyDescent="0.25">
      <c r="A1828" s="7">
        <v>711</v>
      </c>
      <c r="B1828" s="8" t="s">
        <v>847</v>
      </c>
    </row>
    <row r="1829" spans="1:2" x14ac:dyDescent="0.25">
      <c r="A1829" s="9">
        <v>7111</v>
      </c>
      <c r="B1829" s="8" t="s">
        <v>243</v>
      </c>
    </row>
    <row r="1830" spans="1:2" x14ac:dyDescent="0.25">
      <c r="A1830" s="9">
        <v>7112</v>
      </c>
      <c r="B1830" s="8" t="s">
        <v>244</v>
      </c>
    </row>
    <row r="1831" spans="1:2" x14ac:dyDescent="0.25">
      <c r="A1831" s="9">
        <v>7113</v>
      </c>
      <c r="B1831" s="8" t="s">
        <v>245</v>
      </c>
    </row>
    <row r="1832" spans="1:2" x14ac:dyDescent="0.25">
      <c r="A1832" s="9">
        <v>7114</v>
      </c>
      <c r="B1832" s="8" t="s">
        <v>828</v>
      </c>
    </row>
    <row r="1833" spans="1:2" x14ac:dyDescent="0.25">
      <c r="A1833" s="9">
        <v>7115</v>
      </c>
      <c r="B1833" s="8" t="s">
        <v>247</v>
      </c>
    </row>
    <row r="1834" spans="1:2" x14ac:dyDescent="0.25">
      <c r="A1834" s="7">
        <v>712</v>
      </c>
      <c r="B1834" s="8" t="s">
        <v>848</v>
      </c>
    </row>
    <row r="1835" spans="1:2" x14ac:dyDescent="0.25">
      <c r="A1835" s="9">
        <v>7121</v>
      </c>
      <c r="B1835" s="8" t="s">
        <v>163</v>
      </c>
    </row>
    <row r="1836" spans="1:2" x14ac:dyDescent="0.25">
      <c r="A1836" s="9">
        <v>7122</v>
      </c>
      <c r="B1836" s="8" t="s">
        <v>251</v>
      </c>
    </row>
    <row r="1837" spans="1:2" x14ac:dyDescent="0.25">
      <c r="A1837" s="7">
        <v>713</v>
      </c>
      <c r="B1837" s="8" t="s">
        <v>849</v>
      </c>
    </row>
    <row r="1838" spans="1:2" x14ac:dyDescent="0.25">
      <c r="A1838" s="9">
        <v>7131</v>
      </c>
      <c r="B1838" s="8" t="s">
        <v>253</v>
      </c>
    </row>
    <row r="1839" spans="1:2" x14ac:dyDescent="0.25">
      <c r="A1839" s="9">
        <v>7132</v>
      </c>
      <c r="B1839" s="8" t="s">
        <v>254</v>
      </c>
    </row>
    <row r="1840" spans="1:2" x14ac:dyDescent="0.25">
      <c r="A1840" s="9">
        <v>7133</v>
      </c>
      <c r="B1840" s="8" t="s">
        <v>255</v>
      </c>
    </row>
    <row r="1841" spans="1:2" x14ac:dyDescent="0.25">
      <c r="A1841" s="9">
        <v>7134</v>
      </c>
      <c r="B1841" s="8" t="s">
        <v>256</v>
      </c>
    </row>
    <row r="1842" spans="1:2" x14ac:dyDescent="0.25">
      <c r="A1842" s="9">
        <v>7135</v>
      </c>
      <c r="B1842" s="8" t="s">
        <v>257</v>
      </c>
    </row>
    <row r="1843" spans="1:2" x14ac:dyDescent="0.25">
      <c r="A1843" s="9">
        <v>7138</v>
      </c>
      <c r="B1843" s="8" t="s">
        <v>258</v>
      </c>
    </row>
    <row r="1844" spans="1:2" x14ac:dyDescent="0.25">
      <c r="A1844" s="7">
        <v>714</v>
      </c>
      <c r="B1844" s="8" t="s">
        <v>850</v>
      </c>
    </row>
    <row r="1845" spans="1:2" x14ac:dyDescent="0.25">
      <c r="A1845" s="9">
        <v>7141</v>
      </c>
      <c r="B1845" s="8" t="s">
        <v>196</v>
      </c>
    </row>
    <row r="1846" spans="1:2" x14ac:dyDescent="0.25">
      <c r="A1846" s="9">
        <v>7142</v>
      </c>
      <c r="B1846" s="8" t="s">
        <v>197</v>
      </c>
    </row>
    <row r="1847" spans="1:2" x14ac:dyDescent="0.25">
      <c r="A1847" s="7">
        <v>715</v>
      </c>
      <c r="B1847" s="8" t="s">
        <v>851</v>
      </c>
    </row>
    <row r="1848" spans="1:2" x14ac:dyDescent="0.25">
      <c r="A1848" s="11">
        <v>72</v>
      </c>
      <c r="B1848" s="12" t="s">
        <v>852</v>
      </c>
    </row>
    <row r="1849" spans="1:2" x14ac:dyDescent="0.25">
      <c r="A1849" s="7">
        <v>721</v>
      </c>
      <c r="B1849" s="8" t="s">
        <v>199</v>
      </c>
    </row>
    <row r="1850" spans="1:2" x14ac:dyDescent="0.25">
      <c r="A1850" s="9">
        <v>7211</v>
      </c>
      <c r="B1850" s="8" t="s">
        <v>202</v>
      </c>
    </row>
    <row r="1851" spans="1:2" x14ac:dyDescent="0.25">
      <c r="A1851" s="7">
        <v>722</v>
      </c>
      <c r="B1851" s="8" t="s">
        <v>204</v>
      </c>
    </row>
    <row r="1852" spans="1:2" x14ac:dyDescent="0.25">
      <c r="A1852" s="9">
        <v>7221</v>
      </c>
      <c r="B1852" s="8" t="s">
        <v>202</v>
      </c>
    </row>
    <row r="1853" spans="1:2" x14ac:dyDescent="0.25">
      <c r="A1853" s="9">
        <v>7222</v>
      </c>
      <c r="B1853" s="8" t="s">
        <v>853</v>
      </c>
    </row>
    <row r="1854" spans="1:2" x14ac:dyDescent="0.25">
      <c r="A1854" s="9">
        <v>7223</v>
      </c>
      <c r="B1854" s="8" t="s">
        <v>207</v>
      </c>
    </row>
    <row r="1855" spans="1:2" x14ac:dyDescent="0.25">
      <c r="A1855" s="9">
        <v>7224</v>
      </c>
      <c r="B1855" s="8" t="s">
        <v>208</v>
      </c>
    </row>
    <row r="1856" spans="1:2" x14ac:dyDescent="0.25">
      <c r="A1856" s="9">
        <v>7225</v>
      </c>
      <c r="B1856" s="8" t="s">
        <v>210</v>
      </c>
    </row>
    <row r="1857" spans="1:2" x14ac:dyDescent="0.25">
      <c r="A1857" s="9">
        <v>7226</v>
      </c>
      <c r="B1857" s="8" t="s">
        <v>327</v>
      </c>
    </row>
    <row r="1858" spans="1:2" x14ac:dyDescent="0.25">
      <c r="A1858" s="9">
        <v>7227</v>
      </c>
      <c r="B1858" s="8" t="s">
        <v>329</v>
      </c>
    </row>
    <row r="1859" spans="1:2" x14ac:dyDescent="0.25">
      <c r="A1859" s="9">
        <v>7228</v>
      </c>
      <c r="B1859" s="8" t="s">
        <v>330</v>
      </c>
    </row>
    <row r="1860" spans="1:2" x14ac:dyDescent="0.25">
      <c r="A1860" s="7">
        <v>723</v>
      </c>
      <c r="B1860" s="8" t="s">
        <v>96</v>
      </c>
    </row>
    <row r="1861" spans="1:2" x14ac:dyDescent="0.25">
      <c r="A1861" s="9">
        <v>7231</v>
      </c>
      <c r="B1861" s="8" t="s">
        <v>214</v>
      </c>
    </row>
    <row r="1862" spans="1:2" x14ac:dyDescent="0.25">
      <c r="A1862" s="9">
        <v>7232</v>
      </c>
      <c r="B1862" s="8" t="s">
        <v>231</v>
      </c>
    </row>
    <row r="1863" spans="1:2" x14ac:dyDescent="0.25">
      <c r="A1863" s="9">
        <v>7233</v>
      </c>
      <c r="B1863" s="8" t="s">
        <v>216</v>
      </c>
    </row>
    <row r="1864" spans="1:2" x14ac:dyDescent="0.25">
      <c r="A1864" s="7">
        <v>724</v>
      </c>
      <c r="B1864" s="8" t="s">
        <v>219</v>
      </c>
    </row>
    <row r="1865" spans="1:2" x14ac:dyDescent="0.25">
      <c r="A1865" s="9">
        <v>7241</v>
      </c>
      <c r="B1865" s="8" t="s">
        <v>854</v>
      </c>
    </row>
    <row r="1866" spans="1:2" x14ac:dyDescent="0.25">
      <c r="A1866" s="9">
        <v>7242</v>
      </c>
      <c r="B1866" s="8" t="s">
        <v>855</v>
      </c>
    </row>
    <row r="1867" spans="1:2" x14ac:dyDescent="0.25">
      <c r="A1867" s="7">
        <v>725</v>
      </c>
      <c r="B1867" s="8" t="s">
        <v>856</v>
      </c>
    </row>
    <row r="1868" spans="1:2" x14ac:dyDescent="0.25">
      <c r="A1868" s="9">
        <v>7251</v>
      </c>
      <c r="B1868" s="8" t="s">
        <v>290</v>
      </c>
    </row>
    <row r="1869" spans="1:2" x14ac:dyDescent="0.25">
      <c r="A1869" s="10">
        <v>72511</v>
      </c>
      <c r="B1869" s="8" t="s">
        <v>857</v>
      </c>
    </row>
    <row r="1870" spans="1:2" x14ac:dyDescent="0.25">
      <c r="A1870" s="9">
        <v>7252</v>
      </c>
      <c r="B1870" s="8" t="s">
        <v>858</v>
      </c>
    </row>
    <row r="1871" spans="1:2" x14ac:dyDescent="0.25">
      <c r="A1871" s="10">
        <v>72521</v>
      </c>
      <c r="B1871" s="8" t="s">
        <v>202</v>
      </c>
    </row>
    <row r="1872" spans="1:2" x14ac:dyDescent="0.25">
      <c r="A1872" s="10">
        <v>72522</v>
      </c>
      <c r="B1872" s="8" t="s">
        <v>853</v>
      </c>
    </row>
    <row r="1873" spans="1:2" x14ac:dyDescent="0.25">
      <c r="A1873" s="9">
        <v>7253</v>
      </c>
      <c r="B1873" s="8" t="s">
        <v>859</v>
      </c>
    </row>
    <row r="1874" spans="1:2" x14ac:dyDescent="0.25">
      <c r="A1874" s="9">
        <v>7254</v>
      </c>
      <c r="B1874" s="8" t="s">
        <v>860</v>
      </c>
    </row>
    <row r="1875" spans="1:2" x14ac:dyDescent="0.25">
      <c r="A1875" s="10">
        <v>72541</v>
      </c>
      <c r="B1875" s="8" t="s">
        <v>427</v>
      </c>
    </row>
    <row r="1876" spans="1:2" x14ac:dyDescent="0.25">
      <c r="A1876" s="10">
        <v>72542</v>
      </c>
      <c r="B1876" s="8" t="s">
        <v>428</v>
      </c>
    </row>
    <row r="1877" spans="1:2" x14ac:dyDescent="0.25">
      <c r="A1877" s="11">
        <v>73</v>
      </c>
      <c r="B1877" s="12" t="s">
        <v>861</v>
      </c>
    </row>
    <row r="1878" spans="1:2" x14ac:dyDescent="0.25">
      <c r="A1878" s="7">
        <v>731</v>
      </c>
      <c r="B1878" s="8" t="s">
        <v>862</v>
      </c>
    </row>
    <row r="1879" spans="1:2" x14ac:dyDescent="0.25">
      <c r="A1879" s="9">
        <v>7311</v>
      </c>
      <c r="B1879" s="8" t="s">
        <v>827</v>
      </c>
    </row>
    <row r="1880" spans="1:2" x14ac:dyDescent="0.25">
      <c r="A1880" s="9">
        <v>7312</v>
      </c>
      <c r="B1880" s="8" t="s">
        <v>826</v>
      </c>
    </row>
    <row r="1881" spans="1:2" x14ac:dyDescent="0.25">
      <c r="A1881" s="11">
        <v>74</v>
      </c>
      <c r="B1881" s="12" t="s">
        <v>863</v>
      </c>
    </row>
    <row r="1882" spans="1:2" x14ac:dyDescent="0.25">
      <c r="A1882" s="7">
        <v>741</v>
      </c>
      <c r="B1882" s="8" t="s">
        <v>864</v>
      </c>
    </row>
    <row r="1883" spans="1:2" x14ac:dyDescent="0.25">
      <c r="A1883" s="9">
        <v>7411</v>
      </c>
      <c r="B1883" s="8" t="s">
        <v>827</v>
      </c>
    </row>
    <row r="1884" spans="1:2" x14ac:dyDescent="0.25">
      <c r="A1884" s="9">
        <v>7412</v>
      </c>
      <c r="B1884" s="8" t="s">
        <v>826</v>
      </c>
    </row>
    <row r="1885" spans="1:2" x14ac:dyDescent="0.25">
      <c r="A1885" s="11">
        <v>75</v>
      </c>
      <c r="B1885" s="12" t="s">
        <v>865</v>
      </c>
    </row>
    <row r="1886" spans="1:2" x14ac:dyDescent="0.25">
      <c r="A1886" s="7">
        <v>751</v>
      </c>
      <c r="B1886" s="8" t="s">
        <v>866</v>
      </c>
    </row>
    <row r="1887" spans="1:2" x14ac:dyDescent="0.25">
      <c r="A1887" s="7">
        <v>752</v>
      </c>
      <c r="B1887" s="8" t="s">
        <v>867</v>
      </c>
    </row>
    <row r="1888" spans="1:2" x14ac:dyDescent="0.25">
      <c r="A1888" s="7">
        <v>753</v>
      </c>
      <c r="B1888" s="8" t="s">
        <v>84</v>
      </c>
    </row>
    <row r="1889" spans="1:2" x14ac:dyDescent="0.25">
      <c r="A1889" s="7">
        <v>754</v>
      </c>
      <c r="B1889" s="8" t="s">
        <v>117</v>
      </c>
    </row>
    <row r="1890" spans="1:2" x14ac:dyDescent="0.25">
      <c r="A1890" s="9">
        <v>7541</v>
      </c>
      <c r="B1890" s="8" t="s">
        <v>200</v>
      </c>
    </row>
    <row r="1891" spans="1:2" x14ac:dyDescent="0.25">
      <c r="A1891" s="9">
        <v>7542</v>
      </c>
      <c r="B1891" s="8" t="s">
        <v>202</v>
      </c>
    </row>
    <row r="1892" spans="1:2" x14ac:dyDescent="0.25">
      <c r="A1892" s="9">
        <v>7543</v>
      </c>
      <c r="B1892" s="8" t="s">
        <v>206</v>
      </c>
    </row>
    <row r="1893" spans="1:2" x14ac:dyDescent="0.25">
      <c r="A1893" s="9">
        <v>7544</v>
      </c>
      <c r="B1893" s="8" t="s">
        <v>207</v>
      </c>
    </row>
    <row r="1894" spans="1:2" x14ac:dyDescent="0.25">
      <c r="A1894" s="9">
        <v>7545</v>
      </c>
      <c r="B1894" s="8" t="s">
        <v>210</v>
      </c>
    </row>
    <row r="1895" spans="1:2" x14ac:dyDescent="0.25">
      <c r="A1895" s="7">
        <v>755</v>
      </c>
      <c r="B1895" s="8" t="s">
        <v>868</v>
      </c>
    </row>
    <row r="1896" spans="1:2" x14ac:dyDescent="0.25">
      <c r="A1896" s="9">
        <v>7551</v>
      </c>
      <c r="B1896" s="8" t="s">
        <v>869</v>
      </c>
    </row>
    <row r="1897" spans="1:2" x14ac:dyDescent="0.25">
      <c r="A1897" s="9">
        <v>7552</v>
      </c>
      <c r="B1897" s="8" t="s">
        <v>870</v>
      </c>
    </row>
    <row r="1898" spans="1:2" x14ac:dyDescent="0.25">
      <c r="A1898" s="9">
        <v>7553</v>
      </c>
      <c r="B1898" s="8" t="s">
        <v>871</v>
      </c>
    </row>
    <row r="1899" spans="1:2" x14ac:dyDescent="0.25">
      <c r="A1899" s="7">
        <v>756</v>
      </c>
      <c r="B1899" s="8" t="s">
        <v>872</v>
      </c>
    </row>
    <row r="1900" spans="1:2" x14ac:dyDescent="0.25">
      <c r="A1900" s="9">
        <v>7561</v>
      </c>
      <c r="B1900" s="8" t="s">
        <v>409</v>
      </c>
    </row>
    <row r="1901" spans="1:2" x14ac:dyDescent="0.25">
      <c r="A1901" s="9">
        <v>7562</v>
      </c>
      <c r="B1901" s="8" t="s">
        <v>411</v>
      </c>
    </row>
    <row r="1902" spans="1:2" x14ac:dyDescent="0.25">
      <c r="A1902" s="9">
        <v>7563</v>
      </c>
      <c r="B1902" s="8" t="s">
        <v>94</v>
      </c>
    </row>
    <row r="1903" spans="1:2" x14ac:dyDescent="0.25">
      <c r="A1903" s="10">
        <v>75631</v>
      </c>
      <c r="B1903" s="8" t="s">
        <v>873</v>
      </c>
    </row>
    <row r="1904" spans="1:2" x14ac:dyDescent="0.25">
      <c r="A1904" s="9">
        <v>7564</v>
      </c>
      <c r="B1904" s="8" t="s">
        <v>96</v>
      </c>
    </row>
    <row r="1905" spans="1:2" x14ac:dyDescent="0.25">
      <c r="A1905" s="9">
        <v>7565</v>
      </c>
      <c r="B1905" s="8" t="s">
        <v>97</v>
      </c>
    </row>
    <row r="1906" spans="1:2" x14ac:dyDescent="0.25">
      <c r="A1906" s="7">
        <v>757</v>
      </c>
      <c r="B1906" s="8" t="s">
        <v>874</v>
      </c>
    </row>
    <row r="1907" spans="1:2" x14ac:dyDescent="0.25">
      <c r="A1907" s="7">
        <v>759</v>
      </c>
      <c r="B1907" s="8" t="s">
        <v>875</v>
      </c>
    </row>
    <row r="1908" spans="1:2" x14ac:dyDescent="0.25">
      <c r="A1908" s="9">
        <v>7591</v>
      </c>
      <c r="B1908" s="8" t="s">
        <v>563</v>
      </c>
    </row>
    <row r="1909" spans="1:2" x14ac:dyDescent="0.25">
      <c r="A1909" s="11">
        <v>76</v>
      </c>
      <c r="B1909" s="12" t="s">
        <v>876</v>
      </c>
    </row>
    <row r="1910" spans="1:2" x14ac:dyDescent="0.25">
      <c r="A1910" s="7">
        <v>761</v>
      </c>
      <c r="B1910" s="8" t="s">
        <v>749</v>
      </c>
    </row>
    <row r="1911" spans="1:2" x14ac:dyDescent="0.25">
      <c r="A1911" s="9">
        <v>7611</v>
      </c>
      <c r="B1911" s="8" t="s">
        <v>234</v>
      </c>
    </row>
    <row r="1912" spans="1:2" x14ac:dyDescent="0.25">
      <c r="A1912" s="9">
        <v>7612</v>
      </c>
      <c r="B1912" s="8" t="s">
        <v>877</v>
      </c>
    </row>
    <row r="1913" spans="1:2" x14ac:dyDescent="0.25">
      <c r="A1913" s="9">
        <v>7613</v>
      </c>
      <c r="B1913" s="8" t="s">
        <v>751</v>
      </c>
    </row>
    <row r="1914" spans="1:2" x14ac:dyDescent="0.25">
      <c r="A1914" s="7">
        <v>762</v>
      </c>
      <c r="B1914" s="8" t="s">
        <v>752</v>
      </c>
    </row>
    <row r="1915" spans="1:2" x14ac:dyDescent="0.25">
      <c r="A1915" s="9">
        <v>7621</v>
      </c>
      <c r="B1915" s="8" t="s">
        <v>409</v>
      </c>
    </row>
    <row r="1916" spans="1:2" x14ac:dyDescent="0.25">
      <c r="A1916" s="9">
        <v>7622</v>
      </c>
      <c r="B1916" s="8" t="s">
        <v>97</v>
      </c>
    </row>
    <row r="1917" spans="1:2" x14ac:dyDescent="0.25">
      <c r="A1917" s="7">
        <v>763</v>
      </c>
      <c r="B1917" s="8" t="s">
        <v>878</v>
      </c>
    </row>
    <row r="1918" spans="1:2" x14ac:dyDescent="0.25">
      <c r="A1918" s="7">
        <v>764</v>
      </c>
      <c r="B1918" s="8" t="s">
        <v>879</v>
      </c>
    </row>
    <row r="1919" spans="1:2" x14ac:dyDescent="0.25">
      <c r="A1919" s="11">
        <v>77</v>
      </c>
      <c r="B1919" s="12" t="s">
        <v>880</v>
      </c>
    </row>
    <row r="1920" spans="1:2" x14ac:dyDescent="0.25">
      <c r="A1920" s="7">
        <v>771</v>
      </c>
      <c r="B1920" s="8" t="s">
        <v>881</v>
      </c>
    </row>
    <row r="1921" spans="1:2" x14ac:dyDescent="0.25">
      <c r="A1921" s="7">
        <v>772</v>
      </c>
      <c r="B1921" s="8" t="s">
        <v>882</v>
      </c>
    </row>
    <row r="1922" spans="1:2" x14ac:dyDescent="0.25">
      <c r="A1922" s="9">
        <v>7721</v>
      </c>
      <c r="B1922" s="8" t="s">
        <v>883</v>
      </c>
    </row>
    <row r="1923" spans="1:2" x14ac:dyDescent="0.25">
      <c r="A1923" s="9">
        <v>7722</v>
      </c>
      <c r="B1923" s="8" t="s">
        <v>884</v>
      </c>
    </row>
    <row r="1924" spans="1:2" x14ac:dyDescent="0.25">
      <c r="A1924" s="10">
        <v>77221</v>
      </c>
      <c r="B1924" s="8" t="s">
        <v>885</v>
      </c>
    </row>
    <row r="1925" spans="1:2" x14ac:dyDescent="0.25">
      <c r="A1925" s="9">
        <v>7723</v>
      </c>
      <c r="B1925" s="8" t="s">
        <v>886</v>
      </c>
    </row>
    <row r="1926" spans="1:2" x14ac:dyDescent="0.25">
      <c r="A1926" s="9">
        <v>7724</v>
      </c>
      <c r="B1926" s="8" t="s">
        <v>387</v>
      </c>
    </row>
    <row r="1927" spans="1:2" x14ac:dyDescent="0.25">
      <c r="A1927" s="9">
        <v>7725</v>
      </c>
      <c r="B1927" s="8" t="s">
        <v>887</v>
      </c>
    </row>
    <row r="1928" spans="1:2" x14ac:dyDescent="0.25">
      <c r="A1928" s="7">
        <v>773</v>
      </c>
      <c r="B1928" s="8" t="s">
        <v>85</v>
      </c>
    </row>
    <row r="1929" spans="1:2" x14ac:dyDescent="0.25">
      <c r="A1929" s="7">
        <v>774</v>
      </c>
      <c r="B1929" s="8" t="s">
        <v>888</v>
      </c>
    </row>
    <row r="1930" spans="1:2" x14ac:dyDescent="0.25">
      <c r="A1930" s="7">
        <v>775</v>
      </c>
      <c r="B1930" s="8" t="s">
        <v>889</v>
      </c>
    </row>
    <row r="1931" spans="1:2" x14ac:dyDescent="0.25">
      <c r="A1931" s="7">
        <v>776</v>
      </c>
      <c r="B1931" s="8" t="s">
        <v>890</v>
      </c>
    </row>
    <row r="1932" spans="1:2" x14ac:dyDescent="0.25">
      <c r="A1932" s="7">
        <v>777</v>
      </c>
      <c r="B1932" s="8" t="s">
        <v>891</v>
      </c>
    </row>
    <row r="1933" spans="1:2" x14ac:dyDescent="0.25">
      <c r="A1933" s="7">
        <v>7771</v>
      </c>
      <c r="B1933" s="8" t="s">
        <v>892</v>
      </c>
    </row>
    <row r="1934" spans="1:2" x14ac:dyDescent="0.25">
      <c r="A1934" s="7">
        <v>7772</v>
      </c>
      <c r="B1934" s="8" t="s">
        <v>893</v>
      </c>
    </row>
    <row r="1935" spans="1:2" x14ac:dyDescent="0.25">
      <c r="A1935" s="7">
        <v>7773</v>
      </c>
      <c r="B1935" s="8" t="s">
        <v>894</v>
      </c>
    </row>
    <row r="1936" spans="1:2" x14ac:dyDescent="0.25">
      <c r="A1936" s="7">
        <v>778</v>
      </c>
      <c r="B1936" s="8" t="s">
        <v>770</v>
      </c>
    </row>
    <row r="1937" spans="1:2" x14ac:dyDescent="0.25">
      <c r="A1937" s="7">
        <v>7781</v>
      </c>
      <c r="B1937" s="8" t="s">
        <v>895</v>
      </c>
    </row>
    <row r="1938" spans="1:2" x14ac:dyDescent="0.25">
      <c r="A1938" s="7">
        <v>7782</v>
      </c>
      <c r="B1938" s="8" t="s">
        <v>879</v>
      </c>
    </row>
    <row r="1939" spans="1:2" x14ac:dyDescent="0.25">
      <c r="A1939" s="7">
        <v>779</v>
      </c>
      <c r="B1939" s="8" t="s">
        <v>896</v>
      </c>
    </row>
    <row r="1940" spans="1:2" x14ac:dyDescent="0.25">
      <c r="A1940" s="9">
        <v>7792</v>
      </c>
      <c r="B1940" s="8" t="s">
        <v>897</v>
      </c>
    </row>
    <row r="1941" spans="1:2" x14ac:dyDescent="0.25">
      <c r="A1941" s="11">
        <v>78</v>
      </c>
      <c r="B1941" s="12" t="s">
        <v>898</v>
      </c>
    </row>
    <row r="1942" spans="1:2" x14ac:dyDescent="0.25">
      <c r="A1942" s="7">
        <v>781</v>
      </c>
      <c r="B1942" s="8" t="s">
        <v>899</v>
      </c>
    </row>
    <row r="1943" spans="1:2" x14ac:dyDescent="0.25">
      <c r="A1943" s="11">
        <v>79</v>
      </c>
      <c r="B1943" s="12" t="s">
        <v>900</v>
      </c>
    </row>
    <row r="1944" spans="1:2" x14ac:dyDescent="0.25">
      <c r="A1944" s="7">
        <v>791</v>
      </c>
      <c r="B1944" s="8" t="s">
        <v>901</v>
      </c>
    </row>
    <row r="1945" spans="1:2" x14ac:dyDescent="0.25">
      <c r="A1945" s="7">
        <v>79112</v>
      </c>
      <c r="B1945" s="8" t="s">
        <v>902</v>
      </c>
    </row>
    <row r="1946" spans="1:2" x14ac:dyDescent="0.25">
      <c r="A1946" s="7">
        <v>792</v>
      </c>
      <c r="B1946" s="8" t="s">
        <v>903</v>
      </c>
    </row>
    <row r="1947" spans="1:2" x14ac:dyDescent="0.25">
      <c r="A1947" s="11">
        <v>80</v>
      </c>
      <c r="B1947" s="12" t="s">
        <v>904</v>
      </c>
    </row>
    <row r="1948" spans="1:2" x14ac:dyDescent="0.25">
      <c r="A1948" s="7">
        <v>801</v>
      </c>
      <c r="B1948" s="8" t="s">
        <v>905</v>
      </c>
    </row>
    <row r="1949" spans="1:2" x14ac:dyDescent="0.25">
      <c r="A1949" s="11">
        <v>81</v>
      </c>
      <c r="B1949" s="12" t="s">
        <v>906</v>
      </c>
    </row>
    <row r="1950" spans="1:2" x14ac:dyDescent="0.25">
      <c r="A1950" s="7">
        <v>811</v>
      </c>
      <c r="B1950" s="8" t="s">
        <v>907</v>
      </c>
    </row>
    <row r="1951" spans="1:2" x14ac:dyDescent="0.25">
      <c r="A1951" s="7">
        <v>812</v>
      </c>
      <c r="B1951" s="8" t="s">
        <v>908</v>
      </c>
    </row>
    <row r="1952" spans="1:2" x14ac:dyDescent="0.25">
      <c r="A1952" s="7">
        <v>813</v>
      </c>
      <c r="B1952" s="8" t="s">
        <v>909</v>
      </c>
    </row>
    <row r="1953" spans="1:2" x14ac:dyDescent="0.25">
      <c r="A1953" s="11">
        <v>82</v>
      </c>
      <c r="B1953" s="12" t="s">
        <v>910</v>
      </c>
    </row>
    <row r="1954" spans="1:2" x14ac:dyDescent="0.25">
      <c r="A1954" s="7">
        <v>821</v>
      </c>
      <c r="B1954" s="8" t="s">
        <v>911</v>
      </c>
    </row>
    <row r="1955" spans="1:2" x14ac:dyDescent="0.25">
      <c r="A1955" s="11">
        <v>83</v>
      </c>
      <c r="B1955" s="12" t="s">
        <v>912</v>
      </c>
    </row>
    <row r="1956" spans="1:2" x14ac:dyDescent="0.25">
      <c r="A1956" s="7">
        <v>831</v>
      </c>
      <c r="B1956" s="8" t="s">
        <v>913</v>
      </c>
    </row>
    <row r="1957" spans="1:2" x14ac:dyDescent="0.25">
      <c r="A1957" s="11">
        <v>84</v>
      </c>
      <c r="B1957" s="12" t="s">
        <v>914</v>
      </c>
    </row>
    <row r="1958" spans="1:2" x14ac:dyDescent="0.25">
      <c r="A1958" s="7">
        <v>841</v>
      </c>
      <c r="B1958" s="8" t="s">
        <v>915</v>
      </c>
    </row>
    <row r="1959" spans="1:2" x14ac:dyDescent="0.25">
      <c r="A1959" s="11">
        <v>85</v>
      </c>
      <c r="B1959" s="12" t="s">
        <v>916</v>
      </c>
    </row>
    <row r="1960" spans="1:2" x14ac:dyDescent="0.25">
      <c r="A1960" s="7">
        <v>851</v>
      </c>
      <c r="B1960" s="8" t="s">
        <v>917</v>
      </c>
    </row>
    <row r="1961" spans="1:2" x14ac:dyDescent="0.25">
      <c r="A1961" s="11">
        <v>87</v>
      </c>
      <c r="B1961" s="12" t="s">
        <v>918</v>
      </c>
    </row>
    <row r="1962" spans="1:2" x14ac:dyDescent="0.25">
      <c r="A1962" s="7">
        <v>871</v>
      </c>
      <c r="B1962" s="8" t="s">
        <v>919</v>
      </c>
    </row>
    <row r="1963" spans="1:2" x14ac:dyDescent="0.25">
      <c r="A1963" s="7">
        <v>872</v>
      </c>
      <c r="B1963" s="8" t="s">
        <v>920</v>
      </c>
    </row>
    <row r="1964" spans="1:2" x14ac:dyDescent="0.25">
      <c r="A1964" s="11">
        <v>88</v>
      </c>
      <c r="B1964" s="12" t="s">
        <v>921</v>
      </c>
    </row>
    <row r="1965" spans="1:2" x14ac:dyDescent="0.25">
      <c r="A1965" s="7">
        <v>881</v>
      </c>
      <c r="B1965" s="8" t="s">
        <v>922</v>
      </c>
    </row>
    <row r="1966" spans="1:2" x14ac:dyDescent="0.25">
      <c r="A1966" s="7">
        <v>882</v>
      </c>
      <c r="B1966" s="8" t="s">
        <v>923</v>
      </c>
    </row>
    <row r="1967" spans="1:2" x14ac:dyDescent="0.25">
      <c r="A1967" s="11">
        <v>89</v>
      </c>
      <c r="B1967" s="12" t="s">
        <v>924</v>
      </c>
    </row>
    <row r="1968" spans="1:2" x14ac:dyDescent="0.25">
      <c r="A1968" s="7">
        <v>891</v>
      </c>
      <c r="B1968" s="8" t="s">
        <v>925</v>
      </c>
    </row>
    <row r="1969" spans="1:2" x14ac:dyDescent="0.25">
      <c r="A1969" s="7">
        <v>892</v>
      </c>
      <c r="B1969" s="8" t="s">
        <v>609</v>
      </c>
    </row>
    <row r="1970" spans="1:2" x14ac:dyDescent="0.25">
      <c r="A1970" s="20">
        <v>9</v>
      </c>
      <c r="B1970" s="21" t="s">
        <v>926</v>
      </c>
    </row>
    <row r="1971" spans="1:2" x14ac:dyDescent="0.25">
      <c r="A1971" s="20">
        <v>98</v>
      </c>
      <c r="B1971" s="21" t="s">
        <v>927</v>
      </c>
    </row>
    <row r="1972" spans="1:2" x14ac:dyDescent="0.25">
      <c r="A1972" s="20">
        <v>99</v>
      </c>
      <c r="B1972" s="21" t="s">
        <v>928</v>
      </c>
    </row>
    <row r="1973" spans="1:2" x14ac:dyDescent="0.25">
      <c r="A1973" s="20">
        <v>96</v>
      </c>
      <c r="B1973" s="21" t="s">
        <v>929</v>
      </c>
    </row>
    <row r="1974" spans="1:2" x14ac:dyDescent="0.25">
      <c r="A1974" s="20">
        <v>93</v>
      </c>
      <c r="B1974" s="21" t="s">
        <v>930</v>
      </c>
    </row>
    <row r="1975" spans="1:2" x14ac:dyDescent="0.25">
      <c r="A1975" s="20">
        <v>90</v>
      </c>
      <c r="B1975" s="21" t="s">
        <v>931</v>
      </c>
    </row>
    <row r="1976" spans="1:2" x14ac:dyDescent="0.25">
      <c r="A1976" s="22">
        <v>91</v>
      </c>
      <c r="B1976" s="23" t="s">
        <v>932</v>
      </c>
    </row>
    <row r="1977" spans="1:2" x14ac:dyDescent="0.25">
      <c r="A1977" s="24">
        <v>911</v>
      </c>
      <c r="B1977" s="25" t="s">
        <v>933</v>
      </c>
    </row>
    <row r="1978" spans="1:2" x14ac:dyDescent="0.25">
      <c r="A1978" s="26">
        <v>9111</v>
      </c>
      <c r="B1978" s="25" t="s">
        <v>934</v>
      </c>
    </row>
    <row r="1979" spans="1:2" x14ac:dyDescent="0.25">
      <c r="A1979" s="26">
        <v>9112</v>
      </c>
      <c r="B1979" s="25" t="s">
        <v>935</v>
      </c>
    </row>
    <row r="1980" spans="1:2" x14ac:dyDescent="0.25">
      <c r="A1980" s="26">
        <v>9113</v>
      </c>
      <c r="B1980" s="25" t="s">
        <v>117</v>
      </c>
    </row>
    <row r="1981" spans="1:2" x14ac:dyDescent="0.25">
      <c r="A1981" s="24">
        <v>912</v>
      </c>
      <c r="B1981" s="25" t="s">
        <v>936</v>
      </c>
    </row>
    <row r="1982" spans="1:2" x14ac:dyDescent="0.25">
      <c r="A1982" s="26">
        <v>9121</v>
      </c>
      <c r="B1982" s="25" t="s">
        <v>937</v>
      </c>
    </row>
    <row r="1983" spans="1:2" x14ac:dyDescent="0.25">
      <c r="A1983" s="26">
        <v>9122</v>
      </c>
      <c r="B1983" s="25" t="s">
        <v>938</v>
      </c>
    </row>
    <row r="1984" spans="1:2" x14ac:dyDescent="0.25">
      <c r="A1984" s="26">
        <v>9123</v>
      </c>
      <c r="B1984" s="25" t="s">
        <v>939</v>
      </c>
    </row>
    <row r="1985" spans="1:2" x14ac:dyDescent="0.25">
      <c r="A1985" s="26">
        <v>9124</v>
      </c>
      <c r="B1985" s="25" t="s">
        <v>117</v>
      </c>
    </row>
    <row r="1986" spans="1:2" x14ac:dyDescent="0.25">
      <c r="A1986" s="26">
        <v>9125</v>
      </c>
      <c r="B1986" s="25" t="s">
        <v>940</v>
      </c>
    </row>
    <row r="1987" spans="1:2" x14ac:dyDescent="0.25">
      <c r="A1987" s="26">
        <v>9126</v>
      </c>
      <c r="B1987" s="25" t="s">
        <v>941</v>
      </c>
    </row>
    <row r="1988" spans="1:2" x14ac:dyDescent="0.25">
      <c r="A1988" s="22">
        <v>92</v>
      </c>
      <c r="B1988" s="23" t="s">
        <v>942</v>
      </c>
    </row>
    <row r="1989" spans="1:2" x14ac:dyDescent="0.25">
      <c r="A1989" s="26">
        <v>920</v>
      </c>
      <c r="B1989" s="25" t="s">
        <v>943</v>
      </c>
    </row>
    <row r="1990" spans="1:2" x14ac:dyDescent="0.25">
      <c r="A1990" s="26">
        <v>921</v>
      </c>
      <c r="B1990" s="25" t="s">
        <v>944</v>
      </c>
    </row>
    <row r="1991" spans="1:2" x14ac:dyDescent="0.25">
      <c r="A1991" s="26">
        <v>92101</v>
      </c>
      <c r="B1991" s="25" t="s">
        <v>945</v>
      </c>
    </row>
    <row r="1992" spans="1:2" x14ac:dyDescent="0.25">
      <c r="A1992" s="26">
        <v>92102</v>
      </c>
      <c r="B1992" s="25" t="s">
        <v>946</v>
      </c>
    </row>
    <row r="1993" spans="1:2" x14ac:dyDescent="0.25">
      <c r="A1993" s="26">
        <v>92103</v>
      </c>
      <c r="B1993" s="25" t="s">
        <v>947</v>
      </c>
    </row>
    <row r="1994" spans="1:2" x14ac:dyDescent="0.25">
      <c r="A1994" s="26">
        <v>92104</v>
      </c>
      <c r="B1994" s="25" t="s">
        <v>948</v>
      </c>
    </row>
    <row r="1995" spans="1:2" x14ac:dyDescent="0.25">
      <c r="A1995" s="26">
        <v>92105</v>
      </c>
      <c r="B1995" s="25" t="s">
        <v>949</v>
      </c>
    </row>
    <row r="1996" spans="1:2" x14ac:dyDescent="0.25">
      <c r="A1996" s="26">
        <v>92106</v>
      </c>
      <c r="B1996" s="25" t="s">
        <v>950</v>
      </c>
    </row>
    <row r="1997" spans="1:2" x14ac:dyDescent="0.25">
      <c r="A1997" s="26">
        <v>92107</v>
      </c>
      <c r="B1997" s="25" t="s">
        <v>951</v>
      </c>
    </row>
    <row r="1998" spans="1:2" x14ac:dyDescent="0.25">
      <c r="A1998" s="26">
        <v>92108</v>
      </c>
      <c r="B1998" s="25" t="s">
        <v>952</v>
      </c>
    </row>
    <row r="1999" spans="1:2" x14ac:dyDescent="0.25">
      <c r="A1999" s="26">
        <v>92109</v>
      </c>
      <c r="B1999" s="25" t="s">
        <v>953</v>
      </c>
    </row>
    <row r="2000" spans="1:2" x14ac:dyDescent="0.25">
      <c r="A2000" s="26">
        <v>92110</v>
      </c>
      <c r="B2000" s="25" t="s">
        <v>954</v>
      </c>
    </row>
    <row r="2001" spans="1:2" x14ac:dyDescent="0.25">
      <c r="A2001" s="26">
        <v>92111</v>
      </c>
      <c r="B2001" s="25" t="s">
        <v>955</v>
      </c>
    </row>
    <row r="2002" spans="1:2" x14ac:dyDescent="0.25">
      <c r="A2002" s="26">
        <v>92112</v>
      </c>
      <c r="B2002" s="25" t="s">
        <v>956</v>
      </c>
    </row>
    <row r="2003" spans="1:2" x14ac:dyDescent="0.25">
      <c r="A2003" s="26">
        <v>92113</v>
      </c>
      <c r="B2003" s="25" t="s">
        <v>957</v>
      </c>
    </row>
    <row r="2004" spans="1:2" x14ac:dyDescent="0.25">
      <c r="A2004" s="26">
        <v>92114</v>
      </c>
      <c r="B2004" s="25" t="s">
        <v>958</v>
      </c>
    </row>
    <row r="2005" spans="1:2" x14ac:dyDescent="0.25">
      <c r="A2005" s="26">
        <v>92115</v>
      </c>
      <c r="B2005" s="25" t="s">
        <v>959</v>
      </c>
    </row>
    <row r="2006" spans="1:2" x14ac:dyDescent="0.25">
      <c r="A2006" s="26">
        <v>92117</v>
      </c>
      <c r="B2006" s="25" t="s">
        <v>960</v>
      </c>
    </row>
    <row r="2007" spans="1:2" x14ac:dyDescent="0.25">
      <c r="A2007" s="22">
        <v>94</v>
      </c>
      <c r="B2007" s="23" t="s">
        <v>961</v>
      </c>
    </row>
    <row r="2008" spans="1:2" x14ac:dyDescent="0.25">
      <c r="A2008" s="26">
        <v>941</v>
      </c>
      <c r="B2008" s="25" t="s">
        <v>962</v>
      </c>
    </row>
    <row r="2009" spans="1:2" x14ac:dyDescent="0.25">
      <c r="A2009" s="26">
        <v>943</v>
      </c>
      <c r="B2009" s="25" t="s">
        <v>945</v>
      </c>
    </row>
    <row r="2010" spans="1:2" x14ac:dyDescent="0.25">
      <c r="A2010" s="26">
        <v>94102</v>
      </c>
      <c r="B2010" s="25" t="s">
        <v>946</v>
      </c>
    </row>
    <row r="2011" spans="1:2" x14ac:dyDescent="0.25">
      <c r="A2011" s="26">
        <v>94103</v>
      </c>
      <c r="B2011" s="25" t="s">
        <v>947</v>
      </c>
    </row>
    <row r="2012" spans="1:2" x14ac:dyDescent="0.25">
      <c r="A2012" s="26">
        <v>94104</v>
      </c>
      <c r="B2012" s="25" t="s">
        <v>963</v>
      </c>
    </row>
    <row r="2013" spans="1:2" x14ac:dyDescent="0.25">
      <c r="A2013" s="26">
        <v>94105</v>
      </c>
      <c r="B2013" s="25" t="s">
        <v>949</v>
      </c>
    </row>
    <row r="2014" spans="1:2" x14ac:dyDescent="0.25">
      <c r="A2014" s="26">
        <v>94106</v>
      </c>
      <c r="B2014" s="25" t="s">
        <v>950</v>
      </c>
    </row>
    <row r="2015" spans="1:2" x14ac:dyDescent="0.25">
      <c r="A2015" s="26">
        <v>94107</v>
      </c>
      <c r="B2015" s="25" t="s">
        <v>951</v>
      </c>
    </row>
    <row r="2016" spans="1:2" x14ac:dyDescent="0.25">
      <c r="A2016" s="26">
        <v>94108</v>
      </c>
      <c r="B2016" s="25" t="s">
        <v>964</v>
      </c>
    </row>
    <row r="2017" spans="1:2" x14ac:dyDescent="0.25">
      <c r="A2017" s="26">
        <v>94109</v>
      </c>
      <c r="B2017" s="25" t="s">
        <v>953</v>
      </c>
    </row>
    <row r="2018" spans="1:2" x14ac:dyDescent="0.25">
      <c r="A2018" s="26">
        <v>94110</v>
      </c>
      <c r="B2018" s="25" t="s">
        <v>954</v>
      </c>
    </row>
    <row r="2019" spans="1:2" x14ac:dyDescent="0.25">
      <c r="A2019" s="26">
        <v>94111</v>
      </c>
      <c r="B2019" s="25" t="s">
        <v>955</v>
      </c>
    </row>
    <row r="2020" spans="1:2" x14ac:dyDescent="0.25">
      <c r="A2020" s="26">
        <v>94112</v>
      </c>
      <c r="B2020" s="25" t="s">
        <v>956</v>
      </c>
    </row>
    <row r="2021" spans="1:2" x14ac:dyDescent="0.25">
      <c r="A2021" s="26">
        <v>94113</v>
      </c>
      <c r="B2021" s="25" t="s">
        <v>957</v>
      </c>
    </row>
    <row r="2022" spans="1:2" x14ac:dyDescent="0.25">
      <c r="A2022" s="27">
        <v>95</v>
      </c>
      <c r="B2022" s="28" t="s">
        <v>965</v>
      </c>
    </row>
    <row r="2023" spans="1:2" x14ac:dyDescent="0.25">
      <c r="A2023" s="27">
        <v>951</v>
      </c>
      <c r="B2023" s="29" t="s">
        <v>966</v>
      </c>
    </row>
    <row r="2024" spans="1:2" x14ac:dyDescent="0.25">
      <c r="A2024" s="27">
        <v>952</v>
      </c>
      <c r="B2024" s="29" t="s">
        <v>967</v>
      </c>
    </row>
    <row r="2025" spans="1:2" x14ac:dyDescent="0.25">
      <c r="A2025" s="27">
        <v>953</v>
      </c>
      <c r="B2025" s="29" t="s">
        <v>638</v>
      </c>
    </row>
    <row r="2026" spans="1:2" x14ac:dyDescent="0.25">
      <c r="A2026" s="27">
        <v>954</v>
      </c>
      <c r="B2026" s="29" t="s">
        <v>647</v>
      </c>
    </row>
    <row r="2027" spans="1:2" x14ac:dyDescent="0.25">
      <c r="A2027" s="27">
        <v>955</v>
      </c>
      <c r="B2027" s="29" t="s">
        <v>968</v>
      </c>
    </row>
    <row r="2028" spans="1:2" x14ac:dyDescent="0.25">
      <c r="A2028" s="27">
        <v>957</v>
      </c>
      <c r="B2028" s="29" t="s">
        <v>969</v>
      </c>
    </row>
    <row r="2029" spans="1:2" x14ac:dyDescent="0.25">
      <c r="A2029" s="30">
        <v>97</v>
      </c>
      <c r="B2029" s="31" t="s">
        <v>753</v>
      </c>
    </row>
    <row r="2030" spans="1:2" x14ac:dyDescent="0.25">
      <c r="A2030" s="27">
        <v>971</v>
      </c>
      <c r="B2030" s="29" t="s">
        <v>266</v>
      </c>
    </row>
    <row r="2031" spans="1:2" x14ac:dyDescent="0.25">
      <c r="A2031" s="27">
        <v>972</v>
      </c>
      <c r="B2031" s="29" t="s">
        <v>970</v>
      </c>
    </row>
    <row r="2032" spans="1:2" x14ac:dyDescent="0.25">
      <c r="A2032" s="27">
        <v>973</v>
      </c>
      <c r="B2032" s="29" t="s">
        <v>971</v>
      </c>
    </row>
    <row r="2033" spans="1:2" x14ac:dyDescent="0.25">
      <c r="A2033" s="27">
        <v>974</v>
      </c>
      <c r="B2033" s="29" t="s">
        <v>972</v>
      </c>
    </row>
    <row r="2034" spans="1:2" x14ac:dyDescent="0.25">
      <c r="A2034" s="27">
        <v>975</v>
      </c>
      <c r="B2034" s="29" t="s">
        <v>833</v>
      </c>
    </row>
    <row r="2035" spans="1:2" x14ac:dyDescent="0.25">
      <c r="A2035" s="27">
        <v>976</v>
      </c>
      <c r="B2035" s="29" t="s">
        <v>973</v>
      </c>
    </row>
    <row r="2036" spans="1:2" x14ac:dyDescent="0.25">
      <c r="A2036" s="27">
        <v>977</v>
      </c>
      <c r="B2036" s="29" t="s">
        <v>163</v>
      </c>
    </row>
    <row r="2037" spans="1:2" x14ac:dyDescent="0.25">
      <c r="A2037" s="27">
        <v>978</v>
      </c>
      <c r="B2037" s="29" t="s">
        <v>974</v>
      </c>
    </row>
    <row r="2038" spans="1:2" x14ac:dyDescent="0.25">
      <c r="A2038" s="27">
        <v>979</v>
      </c>
      <c r="B2038" s="29" t="s">
        <v>975</v>
      </c>
    </row>
    <row r="2039" spans="1:2" x14ac:dyDescent="0.25">
      <c r="A2039" s="32" t="s">
        <v>976</v>
      </c>
      <c r="B2039" s="21" t="s">
        <v>977</v>
      </c>
    </row>
    <row r="2040" spans="1:2" x14ac:dyDescent="0.25">
      <c r="A2040" s="32" t="s">
        <v>978</v>
      </c>
      <c r="B2040" s="21" t="s">
        <v>979</v>
      </c>
    </row>
    <row r="2041" spans="1:2" x14ac:dyDescent="0.25">
      <c r="A2041" s="33" t="s">
        <v>980</v>
      </c>
      <c r="B2041" s="34" t="s">
        <v>981</v>
      </c>
    </row>
    <row r="2042" spans="1:2" x14ac:dyDescent="0.25">
      <c r="A2042" s="33" t="s">
        <v>982</v>
      </c>
      <c r="B2042" s="34" t="s">
        <v>983</v>
      </c>
    </row>
    <row r="2043" spans="1:2" x14ac:dyDescent="0.25">
      <c r="A2043" s="32" t="s">
        <v>984</v>
      </c>
      <c r="B2043" s="21" t="s">
        <v>985</v>
      </c>
    </row>
    <row r="2044" spans="1:2" x14ac:dyDescent="0.25">
      <c r="A2044" s="35" t="s">
        <v>986</v>
      </c>
      <c r="B2044" s="34" t="s">
        <v>987</v>
      </c>
    </row>
    <row r="2045" spans="1:2" x14ac:dyDescent="0.25">
      <c r="A2045" s="35" t="s">
        <v>988</v>
      </c>
      <c r="B2045" s="34" t="s">
        <v>989</v>
      </c>
    </row>
    <row r="2046" spans="1:2" x14ac:dyDescent="0.25">
      <c r="A2046" s="35" t="s">
        <v>990</v>
      </c>
      <c r="B2046" s="34" t="s">
        <v>991</v>
      </c>
    </row>
    <row r="2047" spans="1:2" x14ac:dyDescent="0.25">
      <c r="A2047" s="35" t="s">
        <v>992</v>
      </c>
      <c r="B2047" s="34" t="s">
        <v>993</v>
      </c>
    </row>
    <row r="2048" spans="1:2" x14ac:dyDescent="0.25">
      <c r="A2048" s="35" t="s">
        <v>994</v>
      </c>
      <c r="B2048" s="34" t="s">
        <v>93</v>
      </c>
    </row>
    <row r="2049" spans="1:2" x14ac:dyDescent="0.25">
      <c r="A2049" s="35" t="s">
        <v>995</v>
      </c>
      <c r="B2049" s="34" t="s">
        <v>94</v>
      </c>
    </row>
    <row r="2050" spans="1:2" x14ac:dyDescent="0.25">
      <c r="A2050" s="35" t="s">
        <v>996</v>
      </c>
      <c r="B2050" s="34" t="s">
        <v>96</v>
      </c>
    </row>
    <row r="2051" spans="1:2" x14ac:dyDescent="0.25">
      <c r="A2051" s="35" t="s">
        <v>997</v>
      </c>
      <c r="B2051" s="34" t="s">
        <v>219</v>
      </c>
    </row>
    <row r="2052" spans="1:2" x14ac:dyDescent="0.25">
      <c r="A2052" s="32" t="s">
        <v>998</v>
      </c>
      <c r="B2052" s="36" t="s">
        <v>999</v>
      </c>
    </row>
    <row r="2053" spans="1:2" x14ac:dyDescent="0.25">
      <c r="A2053" s="32" t="s">
        <v>1000</v>
      </c>
      <c r="B2053" s="21" t="s">
        <v>1001</v>
      </c>
    </row>
    <row r="2054" spans="1:2" x14ac:dyDescent="0.25">
      <c r="A2054" s="32" t="s">
        <v>1002</v>
      </c>
      <c r="B2054" s="21" t="s">
        <v>1003</v>
      </c>
    </row>
    <row r="2055" spans="1:2" x14ac:dyDescent="0.25">
      <c r="A2055" s="35" t="s">
        <v>1004</v>
      </c>
      <c r="B2055" s="34" t="s">
        <v>1005</v>
      </c>
    </row>
    <row r="2056" spans="1:2" x14ac:dyDescent="0.25">
      <c r="A2056" s="35" t="s">
        <v>1006</v>
      </c>
      <c r="B2056" s="34" t="s">
        <v>1007</v>
      </c>
    </row>
    <row r="2057" spans="1:2" x14ac:dyDescent="0.25">
      <c r="A2057" s="35" t="s">
        <v>1008</v>
      </c>
      <c r="B2057" s="37" t="s">
        <v>1009</v>
      </c>
    </row>
    <row r="2058" spans="1:2" x14ac:dyDescent="0.25">
      <c r="A2058" s="32" t="s">
        <v>1010</v>
      </c>
      <c r="B2058" s="21" t="s">
        <v>1011</v>
      </c>
    </row>
    <row r="2059" spans="1:2" x14ac:dyDescent="0.25">
      <c r="A2059" s="35" t="s">
        <v>1012</v>
      </c>
      <c r="B2059" s="34" t="s">
        <v>1013</v>
      </c>
    </row>
    <row r="2060" spans="1:2" x14ac:dyDescent="0.25">
      <c r="A2060" s="35" t="s">
        <v>1014</v>
      </c>
      <c r="B2060" s="34" t="s">
        <v>1015</v>
      </c>
    </row>
    <row r="2061" spans="1:2" x14ac:dyDescent="0.25">
      <c r="A2061" s="35" t="s">
        <v>1016</v>
      </c>
      <c r="B2061" s="34" t="s">
        <v>1017</v>
      </c>
    </row>
    <row r="2062" spans="1:2" x14ac:dyDescent="0.25">
      <c r="A2062" s="35" t="s">
        <v>1018</v>
      </c>
      <c r="B2062" s="34" t="s">
        <v>1019</v>
      </c>
    </row>
    <row r="2063" spans="1:2" x14ac:dyDescent="0.25">
      <c r="A2063" s="38" t="s">
        <v>1020</v>
      </c>
      <c r="B2063" s="21" t="s">
        <v>1021</v>
      </c>
    </row>
    <row r="2064" spans="1:2" x14ac:dyDescent="0.25">
      <c r="A2064" s="38" t="s">
        <v>1022</v>
      </c>
      <c r="B2064" s="21" t="s">
        <v>1023</v>
      </c>
    </row>
    <row r="2065" spans="1:2" x14ac:dyDescent="0.25">
      <c r="A2065" s="20" t="s">
        <v>1024</v>
      </c>
      <c r="B2065" s="34" t="s">
        <v>1025</v>
      </c>
    </row>
    <row r="2066" spans="1:2" x14ac:dyDescent="0.25">
      <c r="A2066" s="20" t="s">
        <v>1026</v>
      </c>
      <c r="B2066" s="34" t="s">
        <v>1027</v>
      </c>
    </row>
    <row r="2067" spans="1:2" x14ac:dyDescent="0.25">
      <c r="A2067" s="38" t="s">
        <v>1028</v>
      </c>
      <c r="B2067" s="21" t="s">
        <v>1029</v>
      </c>
    </row>
    <row r="2068" spans="1:2" x14ac:dyDescent="0.25">
      <c r="A2068" s="20" t="s">
        <v>1030</v>
      </c>
      <c r="B2068" s="34" t="s">
        <v>180</v>
      </c>
    </row>
    <row r="2069" spans="1:2" x14ac:dyDescent="0.25">
      <c r="A2069" s="20" t="s">
        <v>1031</v>
      </c>
      <c r="B2069" s="34" t="s">
        <v>1032</v>
      </c>
    </row>
    <row r="2070" spans="1:2" x14ac:dyDescent="0.25">
      <c r="A2070" s="38" t="s">
        <v>1033</v>
      </c>
      <c r="B2070" s="21" t="s">
        <v>72</v>
      </c>
    </row>
    <row r="2071" spans="1:2" ht="16.5" x14ac:dyDescent="0.3">
      <c r="A2071" s="38" t="s">
        <v>1034</v>
      </c>
      <c r="B2071" s="39" t="s">
        <v>1035</v>
      </c>
    </row>
    <row r="2072" spans="1:2" x14ac:dyDescent="0.25">
      <c r="A2072" s="38" t="s">
        <v>1036</v>
      </c>
      <c r="B2072" s="21" t="s">
        <v>1037</v>
      </c>
    </row>
    <row r="2073" spans="1:2" x14ac:dyDescent="0.25">
      <c r="A2073" s="20" t="s">
        <v>1038</v>
      </c>
      <c r="B2073" s="34" t="s">
        <v>1039</v>
      </c>
    </row>
    <row r="2074" spans="1:2" x14ac:dyDescent="0.25">
      <c r="A2074" s="20" t="s">
        <v>1040</v>
      </c>
      <c r="B2074" s="34" t="s">
        <v>1041</v>
      </c>
    </row>
    <row r="2075" spans="1:2" x14ac:dyDescent="0.25">
      <c r="A2075" s="20" t="s">
        <v>1042</v>
      </c>
      <c r="B2075" s="34" t="s">
        <v>1043</v>
      </c>
    </row>
    <row r="2076" spans="1:2" x14ac:dyDescent="0.25">
      <c r="A2076" s="38" t="s">
        <v>1044</v>
      </c>
      <c r="B2076" s="21" t="s">
        <v>1045</v>
      </c>
    </row>
    <row r="2077" spans="1:2" x14ac:dyDescent="0.25">
      <c r="A2077" s="20" t="s">
        <v>1046</v>
      </c>
      <c r="B2077" s="34" t="s">
        <v>1047</v>
      </c>
    </row>
    <row r="2078" spans="1:2" x14ac:dyDescent="0.25">
      <c r="A2078" s="20" t="s">
        <v>1048</v>
      </c>
      <c r="B2078" s="34" t="s">
        <v>989</v>
      </c>
    </row>
    <row r="2079" spans="1:2" x14ac:dyDescent="0.25">
      <c r="A2079" s="20" t="s">
        <v>1049</v>
      </c>
      <c r="B2079" s="34" t="s">
        <v>1050</v>
      </c>
    </row>
    <row r="2080" spans="1:2" x14ac:dyDescent="0.25">
      <c r="A2080" s="20" t="s">
        <v>1051</v>
      </c>
      <c r="B2080" s="34" t="s">
        <v>92</v>
      </c>
    </row>
    <row r="2081" spans="1:2" x14ac:dyDescent="0.25">
      <c r="A2081" s="20" t="s">
        <v>1052</v>
      </c>
      <c r="B2081" s="34" t="s">
        <v>93</v>
      </c>
    </row>
    <row r="2082" spans="1:2" x14ac:dyDescent="0.25">
      <c r="A2082" s="20" t="s">
        <v>1053</v>
      </c>
      <c r="B2082" s="34" t="s">
        <v>94</v>
      </c>
    </row>
    <row r="2083" spans="1:2" x14ac:dyDescent="0.25">
      <c r="A2083" s="20" t="s">
        <v>1054</v>
      </c>
      <c r="B2083" s="40" t="s">
        <v>96</v>
      </c>
    </row>
    <row r="2084" spans="1:2" x14ac:dyDescent="0.25">
      <c r="A2084" s="20" t="s">
        <v>1055</v>
      </c>
      <c r="B2084" s="34" t="s">
        <v>97</v>
      </c>
    </row>
    <row r="2085" spans="1:2" x14ac:dyDescent="0.25">
      <c r="A2085" s="41" t="s">
        <v>1056</v>
      </c>
      <c r="B2085" s="21" t="s">
        <v>1057</v>
      </c>
    </row>
    <row r="2086" spans="1:2" x14ac:dyDescent="0.25">
      <c r="A2086" s="38" t="s">
        <v>1058</v>
      </c>
      <c r="B2086" s="21" t="s">
        <v>1059</v>
      </c>
    </row>
    <row r="2087" spans="1:2" x14ac:dyDescent="0.25">
      <c r="A2087" s="41" t="s">
        <v>1060</v>
      </c>
      <c r="B2087" s="21" t="s">
        <v>1003</v>
      </c>
    </row>
    <row r="2088" spans="1:2" x14ac:dyDescent="0.25">
      <c r="A2088" s="20" t="s">
        <v>1061</v>
      </c>
      <c r="B2088" s="34" t="s">
        <v>1062</v>
      </c>
    </row>
    <row r="2089" spans="1:2" x14ac:dyDescent="0.25">
      <c r="A2089" s="20" t="s">
        <v>1063</v>
      </c>
      <c r="B2089" s="34" t="s">
        <v>768</v>
      </c>
    </row>
    <row r="2090" spans="1:2" x14ac:dyDescent="0.25">
      <c r="A2090" s="20" t="s">
        <v>1064</v>
      </c>
      <c r="B2090" s="42" t="s">
        <v>387</v>
      </c>
    </row>
    <row r="2091" spans="1:2" x14ac:dyDescent="0.25">
      <c r="A2091" s="41" t="s">
        <v>1065</v>
      </c>
      <c r="B2091" s="21" t="s">
        <v>1011</v>
      </c>
    </row>
    <row r="2092" spans="1:2" x14ac:dyDescent="0.25">
      <c r="A2092" s="20" t="s">
        <v>1066</v>
      </c>
      <c r="B2092" s="43" t="s">
        <v>1013</v>
      </c>
    </row>
    <row r="2093" spans="1:2" x14ac:dyDescent="0.25">
      <c r="A2093" s="20" t="s">
        <v>1067</v>
      </c>
      <c r="B2093" s="43" t="s">
        <v>1015</v>
      </c>
    </row>
    <row r="2094" spans="1:2" x14ac:dyDescent="0.25">
      <c r="A2094" s="20" t="s">
        <v>1068</v>
      </c>
      <c r="B2094" s="34" t="s">
        <v>1017</v>
      </c>
    </row>
    <row r="2095" spans="1:2" x14ac:dyDescent="0.25">
      <c r="A2095" s="20" t="s">
        <v>1069</v>
      </c>
      <c r="B2095" s="40" t="s">
        <v>1019</v>
      </c>
    </row>
    <row r="2096" spans="1:2" x14ac:dyDescent="0.25">
      <c r="A2096" s="41" t="s">
        <v>1070</v>
      </c>
      <c r="B2096" s="21" t="s">
        <v>1071</v>
      </c>
    </row>
    <row r="2097" spans="1:2" x14ac:dyDescent="0.25">
      <c r="A2097" s="20" t="s">
        <v>1072</v>
      </c>
      <c r="B2097" s="34" t="s">
        <v>72</v>
      </c>
    </row>
    <row r="2098" spans="1:2" x14ac:dyDescent="0.25">
      <c r="A2098" s="41" t="s">
        <v>1073</v>
      </c>
      <c r="B2098" s="21" t="s">
        <v>1074</v>
      </c>
    </row>
    <row r="2099" spans="1:2" x14ac:dyDescent="0.25">
      <c r="B2099"/>
    </row>
  </sheetData>
  <mergeCells count="1">
    <mergeCell ref="A1:B1"/>
  </mergeCell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21"/>
  <sheetViews>
    <sheetView showGridLines="0" workbookViewId="0">
      <selection activeCell="C25" sqref="C25"/>
    </sheetView>
  </sheetViews>
  <sheetFormatPr baseColWidth="10" defaultRowHeight="15" x14ac:dyDescent="0.25"/>
  <cols>
    <col min="1" max="1" width="9.85546875" style="78" customWidth="1"/>
    <col min="2" max="2" width="11.42578125" style="80"/>
    <col min="3" max="3" width="41.85546875" style="61" customWidth="1"/>
    <col min="4" max="4" width="7" style="80" customWidth="1"/>
    <col min="5" max="5" width="9" style="61" customWidth="1"/>
    <col min="6" max="6" width="8" style="80" customWidth="1"/>
    <col min="7" max="7" width="10" style="53" customWidth="1"/>
    <col min="8" max="8" width="36.42578125" style="60" customWidth="1"/>
    <col min="9" max="9" width="11.42578125" style="60"/>
    <col min="10" max="10" width="11.42578125" style="58"/>
  </cols>
  <sheetData>
    <row r="1" spans="1:11" ht="5.25" customHeight="1" x14ac:dyDescent="0.25">
      <c r="B1" s="48"/>
      <c r="C1" s="49"/>
      <c r="D1" s="49"/>
      <c r="E1" s="49"/>
      <c r="F1" s="49"/>
      <c r="G1" s="49"/>
      <c r="H1" s="49"/>
      <c r="I1" s="49"/>
      <c r="J1" s="46"/>
      <c r="K1" s="46"/>
    </row>
    <row r="2" spans="1:11" ht="18" customHeight="1" x14ac:dyDescent="0.25">
      <c r="A2" s="96" t="str">
        <f>+'Diario Mensual'!A1</f>
        <v>PERU CONTABLE</v>
      </c>
      <c r="B2" s="96"/>
      <c r="C2" s="96"/>
      <c r="D2" s="96"/>
      <c r="E2" s="96"/>
      <c r="F2" s="96"/>
      <c r="G2" s="96"/>
      <c r="H2" s="96"/>
      <c r="I2" s="96"/>
      <c r="J2" s="96"/>
      <c r="K2" s="46"/>
    </row>
    <row r="3" spans="1:11" ht="15.75" x14ac:dyDescent="0.25">
      <c r="A3" s="96" t="str">
        <f>+'Diario Mensual'!A3</f>
        <v>RUC : 20109999999</v>
      </c>
      <c r="B3" s="96"/>
      <c r="C3" s="96"/>
      <c r="D3" s="96"/>
      <c r="E3" s="96"/>
      <c r="F3" s="96"/>
      <c r="G3" s="96"/>
      <c r="H3" s="96"/>
      <c r="I3" s="96"/>
      <c r="J3" s="96"/>
      <c r="K3" s="46"/>
    </row>
    <row r="4" spans="1:11" s="46" customFormat="1" ht="15.75" x14ac:dyDescent="0.25">
      <c r="A4" s="96" t="str">
        <f>+'Diario Mensual'!A5</f>
        <v>LIBRO DIARIO MES DE  JUNIO DEL 2015</v>
      </c>
      <c r="B4" s="96"/>
      <c r="C4" s="96"/>
      <c r="D4" s="96"/>
      <c r="E4" s="96"/>
      <c r="F4" s="96"/>
      <c r="G4" s="96"/>
      <c r="H4" s="96"/>
      <c r="I4" s="96"/>
      <c r="J4" s="96"/>
    </row>
    <row r="5" spans="1:11" ht="7.5" customHeight="1" x14ac:dyDescent="0.25">
      <c r="A5"/>
      <c r="B5" s="47"/>
      <c r="C5" s="52"/>
      <c r="D5" s="56"/>
      <c r="E5" s="55"/>
      <c r="F5" s="51"/>
      <c r="G5" s="54"/>
      <c r="H5" s="54"/>
      <c r="I5" s="54"/>
      <c r="J5" s="46"/>
      <c r="K5" s="46"/>
    </row>
    <row r="6" spans="1:11" ht="23.25" customHeight="1" x14ac:dyDescent="0.25">
      <c r="A6" s="99" t="s">
        <v>1082</v>
      </c>
      <c r="B6" s="99" t="s">
        <v>1083</v>
      </c>
      <c r="C6" s="105" t="s">
        <v>1084</v>
      </c>
      <c r="D6" s="99" t="s">
        <v>1081</v>
      </c>
      <c r="E6" s="101" t="s">
        <v>1086</v>
      </c>
      <c r="F6" s="99" t="s">
        <v>1087</v>
      </c>
      <c r="G6" s="103" t="s">
        <v>1075</v>
      </c>
      <c r="H6" s="104"/>
      <c r="I6" s="97" t="s">
        <v>1089</v>
      </c>
      <c r="J6" s="97" t="s">
        <v>1076</v>
      </c>
      <c r="K6" s="46"/>
    </row>
    <row r="7" spans="1:11" x14ac:dyDescent="0.25">
      <c r="A7" s="100"/>
      <c r="B7" s="100"/>
      <c r="C7" s="106"/>
      <c r="D7" s="100"/>
      <c r="E7" s="102"/>
      <c r="F7" s="100"/>
      <c r="G7" s="57" t="s">
        <v>2</v>
      </c>
      <c r="H7" s="57" t="s">
        <v>1088</v>
      </c>
      <c r="I7" s="98"/>
      <c r="J7" s="98"/>
      <c r="K7" s="46"/>
    </row>
    <row r="8" spans="1:11" x14ac:dyDescent="0.25">
      <c r="A8" s="78" t="s">
        <v>1104</v>
      </c>
      <c r="B8" s="79" t="s">
        <v>1105</v>
      </c>
      <c r="C8" s="61" t="s">
        <v>1100</v>
      </c>
      <c r="D8" s="79"/>
      <c r="E8" s="59">
        <v>1</v>
      </c>
      <c r="F8" s="79"/>
      <c r="G8" s="58">
        <v>10411</v>
      </c>
      <c r="H8" s="59" t="s">
        <v>13</v>
      </c>
      <c r="I8" s="59">
        <v>10000000</v>
      </c>
      <c r="J8" s="59"/>
    </row>
    <row r="9" spans="1:11" x14ac:dyDescent="0.25">
      <c r="A9" s="78" t="s">
        <v>1104</v>
      </c>
      <c r="B9" s="80" t="s">
        <v>1105</v>
      </c>
      <c r="C9" s="61" t="s">
        <v>1100</v>
      </c>
      <c r="E9" s="60">
        <v>2</v>
      </c>
      <c r="G9" s="58">
        <v>20111</v>
      </c>
      <c r="H9" s="60" t="s">
        <v>143</v>
      </c>
      <c r="I9" s="60">
        <v>50000</v>
      </c>
      <c r="J9" s="60"/>
    </row>
    <row r="10" spans="1:11" x14ac:dyDescent="0.25">
      <c r="A10" s="78" t="s">
        <v>1104</v>
      </c>
      <c r="B10" s="80" t="s">
        <v>1105</v>
      </c>
      <c r="C10" s="61" t="s">
        <v>1100</v>
      </c>
      <c r="E10" s="60">
        <v>3</v>
      </c>
      <c r="G10" s="58">
        <v>50111</v>
      </c>
      <c r="H10" s="60" t="s">
        <v>589</v>
      </c>
      <c r="J10" s="60">
        <v>10050000</v>
      </c>
    </row>
    <row r="11" spans="1:11" x14ac:dyDescent="0.25">
      <c r="A11" s="78" t="s">
        <v>1106</v>
      </c>
      <c r="B11" s="80" t="s">
        <v>1105</v>
      </c>
      <c r="C11" s="61" t="s">
        <v>1107</v>
      </c>
      <c r="E11" s="60">
        <v>4</v>
      </c>
      <c r="G11" s="58">
        <v>60111</v>
      </c>
      <c r="H11" s="60" t="s">
        <v>31</v>
      </c>
      <c r="I11" s="60">
        <v>120000</v>
      </c>
      <c r="J11" s="60"/>
    </row>
    <row r="12" spans="1:11" x14ac:dyDescent="0.25">
      <c r="A12" s="78" t="s">
        <v>1106</v>
      </c>
      <c r="B12" s="80" t="s">
        <v>1105</v>
      </c>
      <c r="C12" s="61" t="s">
        <v>1107</v>
      </c>
      <c r="E12" s="60">
        <v>5</v>
      </c>
      <c r="G12" s="58">
        <v>40111</v>
      </c>
      <c r="H12" s="60" t="s">
        <v>440</v>
      </c>
      <c r="I12" s="60">
        <v>21600</v>
      </c>
      <c r="J12" s="60"/>
    </row>
    <row r="13" spans="1:11" x14ac:dyDescent="0.25">
      <c r="A13" s="78" t="s">
        <v>1106</v>
      </c>
      <c r="B13" s="80" t="s">
        <v>1105</v>
      </c>
      <c r="C13" s="61" t="s">
        <v>1107</v>
      </c>
      <c r="E13" s="60">
        <v>6</v>
      </c>
      <c r="G13" s="53">
        <v>4212</v>
      </c>
      <c r="H13" s="60" t="s">
        <v>512</v>
      </c>
      <c r="J13" s="60">
        <v>141600</v>
      </c>
    </row>
    <row r="14" spans="1:11" x14ac:dyDescent="0.25">
      <c r="A14" s="78" t="s">
        <v>1108</v>
      </c>
      <c r="B14" s="80" t="s">
        <v>1105</v>
      </c>
      <c r="C14" s="61" t="s">
        <v>1109</v>
      </c>
      <c r="E14" s="60">
        <v>7</v>
      </c>
      <c r="G14" s="53">
        <v>20111</v>
      </c>
      <c r="H14" s="60" t="s">
        <v>143</v>
      </c>
      <c r="I14" s="60">
        <v>120000</v>
      </c>
    </row>
    <row r="15" spans="1:11" x14ac:dyDescent="0.25">
      <c r="A15" s="78" t="s">
        <v>1108</v>
      </c>
      <c r="B15" s="80" t="s">
        <v>1105</v>
      </c>
      <c r="C15" s="61" t="s">
        <v>1109</v>
      </c>
      <c r="E15" s="60">
        <v>8</v>
      </c>
      <c r="G15" s="53">
        <v>6111</v>
      </c>
      <c r="H15" s="60" t="s">
        <v>142</v>
      </c>
      <c r="J15" s="58">
        <v>120000</v>
      </c>
    </row>
    <row r="16" spans="1:11" x14ac:dyDescent="0.25">
      <c r="A16" s="78" t="s">
        <v>1110</v>
      </c>
      <c r="B16" s="80" t="s">
        <v>1105</v>
      </c>
      <c r="C16" s="61" t="s">
        <v>1107</v>
      </c>
      <c r="E16" s="60">
        <v>9</v>
      </c>
      <c r="G16" s="53">
        <v>4212</v>
      </c>
      <c r="H16" s="60" t="s">
        <v>512</v>
      </c>
      <c r="I16" s="60">
        <v>7080</v>
      </c>
    </row>
    <row r="17" spans="1:10" x14ac:dyDescent="0.25">
      <c r="A17" s="78" t="s">
        <v>1111</v>
      </c>
      <c r="B17" s="80" t="s">
        <v>1105</v>
      </c>
      <c r="C17" s="61" t="s">
        <v>1112</v>
      </c>
      <c r="E17" s="60">
        <v>14</v>
      </c>
      <c r="G17" s="53">
        <v>1212</v>
      </c>
      <c r="H17" s="60" t="s">
        <v>44</v>
      </c>
      <c r="I17" s="60">
        <v>1062000</v>
      </c>
    </row>
    <row r="18" spans="1:10" x14ac:dyDescent="0.25">
      <c r="A18" s="78" t="s">
        <v>1111</v>
      </c>
      <c r="B18" s="80" t="s">
        <v>1105</v>
      </c>
      <c r="C18" s="61" t="s">
        <v>1112</v>
      </c>
      <c r="E18" s="60">
        <v>15</v>
      </c>
      <c r="G18" s="53">
        <v>40111</v>
      </c>
      <c r="H18" s="60" t="s">
        <v>440</v>
      </c>
      <c r="J18" s="58">
        <v>162000</v>
      </c>
    </row>
    <row r="19" spans="1:10" x14ac:dyDescent="0.25">
      <c r="A19" s="78" t="s">
        <v>1111</v>
      </c>
      <c r="B19" s="80" t="s">
        <v>1105</v>
      </c>
      <c r="C19" s="61" t="s">
        <v>1112</v>
      </c>
      <c r="E19" s="60">
        <v>16</v>
      </c>
      <c r="G19" s="53">
        <v>70111</v>
      </c>
      <c r="H19" s="60" t="s">
        <v>835</v>
      </c>
      <c r="J19" s="58">
        <v>900000</v>
      </c>
    </row>
    <row r="20" spans="1:10" x14ac:dyDescent="0.25">
      <c r="A20" s="78" t="s">
        <v>1113</v>
      </c>
      <c r="B20" s="80" t="s">
        <v>1114</v>
      </c>
      <c r="C20" s="61" t="s">
        <v>1115</v>
      </c>
      <c r="E20" s="60">
        <v>25</v>
      </c>
      <c r="G20" s="53">
        <v>69111</v>
      </c>
      <c r="H20" s="60" t="s">
        <v>825</v>
      </c>
      <c r="I20" s="60">
        <v>1000</v>
      </c>
    </row>
    <row r="21" spans="1:10" x14ac:dyDescent="0.25">
      <c r="A21" s="78" t="s">
        <v>1113</v>
      </c>
      <c r="B21" s="80" t="s">
        <v>1114</v>
      </c>
      <c r="C21" s="61" t="s">
        <v>1115</v>
      </c>
      <c r="E21" s="60">
        <v>26</v>
      </c>
      <c r="G21" s="53">
        <v>20111</v>
      </c>
      <c r="H21" s="60" t="s">
        <v>143</v>
      </c>
      <c r="J21" s="58">
        <v>1000</v>
      </c>
    </row>
  </sheetData>
  <mergeCells count="12">
    <mergeCell ref="A2:J2"/>
    <mergeCell ref="A3:J3"/>
    <mergeCell ref="A4:J4"/>
    <mergeCell ref="I6:I7"/>
    <mergeCell ref="J6:J7"/>
    <mergeCell ref="D6:D7"/>
    <mergeCell ref="E6:E7"/>
    <mergeCell ref="F6:F7"/>
    <mergeCell ref="G6:H6"/>
    <mergeCell ref="A6:A7"/>
    <mergeCell ref="B6:B7"/>
    <mergeCell ref="C6:C7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O297"/>
  <sheetViews>
    <sheetView showGridLines="0" workbookViewId="0">
      <selection activeCell="A59" sqref="A59:J61"/>
    </sheetView>
  </sheetViews>
  <sheetFormatPr baseColWidth="10" defaultColWidth="0" defaultRowHeight="15" x14ac:dyDescent="0.25"/>
  <cols>
    <col min="1" max="1" width="6.5703125" customWidth="1"/>
    <col min="2" max="6" width="11.42578125" customWidth="1"/>
    <col min="7" max="7" width="7.42578125" customWidth="1"/>
    <col min="8" max="8" width="33.85546875" customWidth="1"/>
    <col min="9" max="10" width="15.140625" style="81" bestFit="1" customWidth="1"/>
    <col min="11" max="13" width="15.140625" style="92" bestFit="1" customWidth="1"/>
    <col min="14" max="14" width="4.7109375" customWidth="1"/>
    <col min="15" max="15" width="4.42578125" customWidth="1"/>
    <col min="16" max="16384" width="11.42578125" hidden="1"/>
  </cols>
  <sheetData>
    <row r="1" spans="1:13" ht="15.75" x14ac:dyDescent="0.25">
      <c r="A1" s="47" t="s">
        <v>1077</v>
      </c>
      <c r="K1" s="93"/>
      <c r="L1" s="93"/>
      <c r="M1" s="93"/>
    </row>
    <row r="2" spans="1:13" x14ac:dyDescent="0.25">
      <c r="A2" s="50" t="s">
        <v>1078</v>
      </c>
      <c r="K2" s="93"/>
      <c r="L2" s="93"/>
      <c r="M2" s="93"/>
    </row>
    <row r="3" spans="1:13" x14ac:dyDescent="0.25">
      <c r="A3" s="50" t="s">
        <v>1079</v>
      </c>
      <c r="K3" s="93"/>
      <c r="L3" s="93"/>
      <c r="M3" s="93"/>
    </row>
    <row r="4" spans="1:13" x14ac:dyDescent="0.25">
      <c r="A4" s="50" t="s">
        <v>1080</v>
      </c>
      <c r="K4" s="93"/>
      <c r="L4" s="93"/>
      <c r="M4" s="93"/>
    </row>
    <row r="5" spans="1:13" s="46" customFormat="1" ht="4.5" customHeight="1" x14ac:dyDescent="0.25">
      <c r="A5" s="50"/>
      <c r="I5" s="81"/>
      <c r="J5" s="81"/>
      <c r="K5" s="93"/>
      <c r="L5" s="93"/>
      <c r="M5" s="93"/>
    </row>
    <row r="6" spans="1:13" ht="6" customHeight="1" x14ac:dyDescent="0.25">
      <c r="K6" s="93"/>
      <c r="L6" s="93"/>
      <c r="M6" s="93"/>
    </row>
    <row r="7" spans="1:13" ht="20.25" customHeight="1" x14ac:dyDescent="0.25">
      <c r="A7" s="99" t="s">
        <v>1082</v>
      </c>
      <c r="B7" s="99" t="s">
        <v>1083</v>
      </c>
      <c r="C7" s="105" t="s">
        <v>1084</v>
      </c>
      <c r="D7" s="111" t="s">
        <v>1081</v>
      </c>
      <c r="E7" s="111"/>
      <c r="F7" s="111"/>
      <c r="G7" s="103" t="s">
        <v>1075</v>
      </c>
      <c r="H7" s="104"/>
      <c r="I7" s="107" t="s">
        <v>1089</v>
      </c>
      <c r="J7" s="107" t="s">
        <v>1076</v>
      </c>
      <c r="K7" s="109" t="s">
        <v>1090</v>
      </c>
      <c r="L7" s="109" t="s">
        <v>1089</v>
      </c>
      <c r="M7" s="109" t="s">
        <v>1076</v>
      </c>
    </row>
    <row r="8" spans="1:13" x14ac:dyDescent="0.25">
      <c r="A8" s="100"/>
      <c r="B8" s="100"/>
      <c r="C8" s="106"/>
      <c r="D8" s="77" t="s">
        <v>1085</v>
      </c>
      <c r="E8" s="77" t="s">
        <v>1086</v>
      </c>
      <c r="F8" s="77" t="s">
        <v>1087</v>
      </c>
      <c r="G8" s="57" t="s">
        <v>2</v>
      </c>
      <c r="H8" s="57" t="s">
        <v>1088</v>
      </c>
      <c r="I8" s="108"/>
      <c r="J8" s="108"/>
      <c r="K8" s="110" t="s">
        <v>1090</v>
      </c>
      <c r="L8" s="110" t="s">
        <v>1089</v>
      </c>
      <c r="M8" s="110" t="s">
        <v>1076</v>
      </c>
    </row>
    <row r="9" spans="1:13" ht="0.75" customHeight="1" x14ac:dyDescent="0.25">
      <c r="G9" t="s">
        <v>1101</v>
      </c>
    </row>
    <row r="10" spans="1:13" s="46" customFormat="1" x14ac:dyDescent="0.25">
      <c r="A10" s="46" t="s">
        <v>1104</v>
      </c>
      <c r="B10" s="46" t="s">
        <v>1105</v>
      </c>
      <c r="C10" s="46" t="s">
        <v>1100</v>
      </c>
      <c r="E10" s="46">
        <v>1</v>
      </c>
      <c r="G10" s="46">
        <v>10</v>
      </c>
      <c r="H10" s="46" t="s">
        <v>5</v>
      </c>
      <c r="I10" s="81"/>
      <c r="J10" s="81"/>
      <c r="K10" s="92"/>
      <c r="L10" s="92">
        <v>10000000</v>
      </c>
      <c r="M10" s="92"/>
    </row>
    <row r="11" spans="1:13" s="46" customFormat="1" x14ac:dyDescent="0.25">
      <c r="A11" s="46" t="s">
        <v>1104</v>
      </c>
      <c r="B11" s="46" t="s">
        <v>1105</v>
      </c>
      <c r="C11" s="46" t="s">
        <v>1100</v>
      </c>
      <c r="E11" s="46">
        <v>1</v>
      </c>
      <c r="G11" s="46">
        <v>104</v>
      </c>
      <c r="H11" s="46" t="s">
        <v>11</v>
      </c>
      <c r="I11" s="81"/>
      <c r="J11" s="81"/>
      <c r="K11" s="92"/>
      <c r="L11" s="92"/>
      <c r="M11" s="92"/>
    </row>
    <row r="12" spans="1:13" s="46" customFormat="1" x14ac:dyDescent="0.25">
      <c r="A12" s="46" t="s">
        <v>1104</v>
      </c>
      <c r="B12" s="46" t="s">
        <v>1105</v>
      </c>
      <c r="C12" s="46" t="s">
        <v>1100</v>
      </c>
      <c r="E12" s="46">
        <v>1</v>
      </c>
      <c r="G12" s="46">
        <v>1041</v>
      </c>
      <c r="H12" s="46" t="s">
        <v>12</v>
      </c>
      <c r="I12" s="81"/>
      <c r="J12" s="81"/>
      <c r="K12" s="92"/>
      <c r="L12" s="92"/>
      <c r="M12" s="92"/>
    </row>
    <row r="13" spans="1:13" s="46" customFormat="1" x14ac:dyDescent="0.25">
      <c r="A13" s="46" t="s">
        <v>1104</v>
      </c>
      <c r="B13" s="46" t="s">
        <v>1105</v>
      </c>
      <c r="C13" s="46" t="s">
        <v>1100</v>
      </c>
      <c r="E13" s="46">
        <v>1</v>
      </c>
      <c r="G13" s="46">
        <v>10411</v>
      </c>
      <c r="H13" s="46" t="s">
        <v>13</v>
      </c>
      <c r="I13" s="81">
        <v>10000000</v>
      </c>
      <c r="J13" s="81"/>
      <c r="K13" s="92">
        <v>10000000</v>
      </c>
      <c r="L13" s="92"/>
      <c r="M13" s="92"/>
    </row>
    <row r="14" spans="1:13" s="46" customFormat="1" x14ac:dyDescent="0.25">
      <c r="A14" s="46" t="s">
        <v>1104</v>
      </c>
      <c r="B14" s="46" t="s">
        <v>1105</v>
      </c>
      <c r="C14" s="46" t="s">
        <v>1100</v>
      </c>
      <c r="E14" s="46">
        <v>2</v>
      </c>
      <c r="G14" s="46">
        <v>20</v>
      </c>
      <c r="H14" s="46" t="s">
        <v>140</v>
      </c>
      <c r="I14" s="81"/>
      <c r="J14" s="81"/>
      <c r="K14" s="92"/>
      <c r="L14" s="92">
        <v>50000</v>
      </c>
      <c r="M14" s="92"/>
    </row>
    <row r="15" spans="1:13" s="46" customFormat="1" x14ac:dyDescent="0.25">
      <c r="A15" s="46" t="s">
        <v>1104</v>
      </c>
      <c r="B15" s="46" t="s">
        <v>1105</v>
      </c>
      <c r="C15" s="46" t="s">
        <v>1100</v>
      </c>
      <c r="E15" s="46">
        <v>2</v>
      </c>
      <c r="G15" s="46">
        <v>201</v>
      </c>
      <c r="H15" s="46" t="s">
        <v>141</v>
      </c>
      <c r="I15" s="81"/>
      <c r="J15" s="81"/>
      <c r="K15" s="92"/>
      <c r="L15" s="92"/>
      <c r="M15" s="92"/>
    </row>
    <row r="16" spans="1:13" s="46" customFormat="1" x14ac:dyDescent="0.25">
      <c r="A16" s="46" t="s">
        <v>1104</v>
      </c>
      <c r="B16" s="46" t="s">
        <v>1105</v>
      </c>
      <c r="C16" s="46" t="s">
        <v>1100</v>
      </c>
      <c r="E16" s="46">
        <v>2</v>
      </c>
      <c r="G16" s="46">
        <v>2011</v>
      </c>
      <c r="H16" s="46" t="s">
        <v>142</v>
      </c>
      <c r="I16" s="81"/>
      <c r="J16" s="81"/>
      <c r="K16" s="92"/>
      <c r="L16" s="92"/>
      <c r="M16" s="92"/>
    </row>
    <row r="17" spans="1:13" s="46" customFormat="1" x14ac:dyDescent="0.25">
      <c r="A17" s="46" t="s">
        <v>1104</v>
      </c>
      <c r="B17" s="46" t="s">
        <v>1105</v>
      </c>
      <c r="C17" s="46" t="s">
        <v>1100</v>
      </c>
      <c r="E17" s="46">
        <v>2</v>
      </c>
      <c r="G17" s="46">
        <v>20111</v>
      </c>
      <c r="H17" s="46" t="s">
        <v>143</v>
      </c>
      <c r="I17" s="81">
        <v>50000</v>
      </c>
      <c r="J17" s="81"/>
      <c r="K17" s="92">
        <v>50000</v>
      </c>
      <c r="L17" s="92"/>
      <c r="M17" s="92"/>
    </row>
    <row r="18" spans="1:13" s="46" customFormat="1" x14ac:dyDescent="0.25">
      <c r="A18" s="46" t="s">
        <v>1104</v>
      </c>
      <c r="B18" s="46" t="s">
        <v>1105</v>
      </c>
      <c r="C18" s="46" t="s">
        <v>1100</v>
      </c>
      <c r="E18" s="46">
        <v>3</v>
      </c>
      <c r="G18" s="46">
        <v>50</v>
      </c>
      <c r="H18" s="46" t="s">
        <v>586</v>
      </c>
      <c r="I18" s="81"/>
      <c r="J18" s="81"/>
      <c r="K18" s="92"/>
      <c r="L18" s="92"/>
      <c r="M18" s="92">
        <v>10050000</v>
      </c>
    </row>
    <row r="19" spans="1:13" s="46" customFormat="1" x14ac:dyDescent="0.25">
      <c r="A19" s="46" t="s">
        <v>1104</v>
      </c>
      <c r="B19" s="46" t="s">
        <v>1105</v>
      </c>
      <c r="C19" s="46" t="s">
        <v>1100</v>
      </c>
      <c r="E19" s="46">
        <v>3</v>
      </c>
      <c r="G19" s="46">
        <v>501</v>
      </c>
      <c r="H19" s="46" t="s">
        <v>587</v>
      </c>
      <c r="I19" s="81"/>
      <c r="J19" s="81"/>
      <c r="K19" s="92"/>
      <c r="L19" s="92"/>
      <c r="M19" s="92"/>
    </row>
    <row r="20" spans="1:13" s="46" customFormat="1" x14ac:dyDescent="0.25">
      <c r="A20" s="46" t="s">
        <v>1104</v>
      </c>
      <c r="B20" s="46" t="s">
        <v>1105</v>
      </c>
      <c r="C20" s="46" t="s">
        <v>1100</v>
      </c>
      <c r="E20" s="46">
        <v>3</v>
      </c>
      <c r="G20" s="46">
        <v>5011</v>
      </c>
      <c r="H20" s="46" t="s">
        <v>588</v>
      </c>
      <c r="I20" s="81"/>
      <c r="J20" s="81"/>
      <c r="K20" s="92"/>
      <c r="L20" s="92"/>
      <c r="M20" s="92"/>
    </row>
    <row r="21" spans="1:13" s="46" customFormat="1" x14ac:dyDescent="0.25">
      <c r="A21" s="46" t="s">
        <v>1104</v>
      </c>
      <c r="B21" s="46" t="s">
        <v>1105</v>
      </c>
      <c r="C21" s="46" t="s">
        <v>1100</v>
      </c>
      <c r="E21" s="46">
        <v>3</v>
      </c>
      <c r="G21" s="46">
        <v>50111</v>
      </c>
      <c r="H21" s="46" t="s">
        <v>589</v>
      </c>
      <c r="I21" s="81"/>
      <c r="J21" s="81">
        <v>10050000</v>
      </c>
      <c r="K21" s="92">
        <v>10050000</v>
      </c>
      <c r="L21" s="92"/>
      <c r="M21" s="92"/>
    </row>
    <row r="22" spans="1:13" s="46" customFormat="1" x14ac:dyDescent="0.25">
      <c r="A22" s="46" t="s">
        <v>1106</v>
      </c>
      <c r="B22" s="46" t="s">
        <v>1105</v>
      </c>
      <c r="C22" s="46" t="s">
        <v>1107</v>
      </c>
      <c r="E22" s="46">
        <v>4</v>
      </c>
      <c r="G22" s="46">
        <v>60</v>
      </c>
      <c r="H22" s="46" t="s">
        <v>633</v>
      </c>
      <c r="I22" s="81"/>
      <c r="J22" s="81"/>
      <c r="K22" s="92"/>
      <c r="L22" s="92">
        <v>120000</v>
      </c>
      <c r="M22" s="92"/>
    </row>
    <row r="23" spans="1:13" s="46" customFormat="1" x14ac:dyDescent="0.25">
      <c r="A23" s="46" t="s">
        <v>1106</v>
      </c>
      <c r="B23" s="46" t="s">
        <v>1105</v>
      </c>
      <c r="C23" s="46" t="s">
        <v>1107</v>
      </c>
      <c r="E23" s="46">
        <v>4</v>
      </c>
      <c r="G23" s="46">
        <v>601</v>
      </c>
      <c r="H23" s="46" t="s">
        <v>234</v>
      </c>
      <c r="I23" s="81"/>
      <c r="J23" s="81"/>
      <c r="K23" s="92"/>
      <c r="L23" s="92"/>
      <c r="M23" s="92"/>
    </row>
    <row r="24" spans="1:13" s="46" customFormat="1" x14ac:dyDescent="0.25">
      <c r="A24" s="46" t="s">
        <v>1106</v>
      </c>
      <c r="B24" s="46" t="s">
        <v>1105</v>
      </c>
      <c r="C24" s="46" t="s">
        <v>1107</v>
      </c>
      <c r="E24" s="46">
        <v>4</v>
      </c>
      <c r="G24" s="46">
        <v>6011</v>
      </c>
      <c r="H24" s="46" t="s">
        <v>142</v>
      </c>
      <c r="I24" s="81"/>
      <c r="J24" s="81"/>
      <c r="K24" s="92"/>
      <c r="L24" s="92"/>
      <c r="M24" s="92"/>
    </row>
    <row r="25" spans="1:13" s="46" customFormat="1" x14ac:dyDescent="0.25">
      <c r="A25" s="46" t="s">
        <v>1106</v>
      </c>
      <c r="B25" s="46" t="s">
        <v>1105</v>
      </c>
      <c r="C25" s="46" t="s">
        <v>1107</v>
      </c>
      <c r="E25" s="46">
        <v>4</v>
      </c>
      <c r="G25" s="46">
        <v>60111</v>
      </c>
      <c r="H25" s="46" t="s">
        <v>31</v>
      </c>
      <c r="I25" s="81">
        <v>120000</v>
      </c>
      <c r="J25" s="81"/>
      <c r="K25" s="92">
        <v>120000</v>
      </c>
      <c r="L25" s="92"/>
      <c r="M25" s="92"/>
    </row>
    <row r="26" spans="1:13" s="46" customFormat="1" x14ac:dyDescent="0.25">
      <c r="A26" s="46" t="s">
        <v>1106</v>
      </c>
      <c r="B26" s="46" t="s">
        <v>1105</v>
      </c>
      <c r="C26" s="46" t="s">
        <v>1107</v>
      </c>
      <c r="E26" s="46">
        <v>5</v>
      </c>
      <c r="G26" s="46">
        <v>40</v>
      </c>
      <c r="H26" s="46" t="s">
        <v>437</v>
      </c>
      <c r="I26" s="81"/>
      <c r="J26" s="81"/>
      <c r="K26" s="92"/>
      <c r="L26" s="92">
        <v>21600</v>
      </c>
      <c r="M26" s="92"/>
    </row>
    <row r="27" spans="1:13" s="46" customFormat="1" x14ac:dyDescent="0.25">
      <c r="A27" s="46" t="s">
        <v>1106</v>
      </c>
      <c r="B27" s="46" t="s">
        <v>1105</v>
      </c>
      <c r="C27" s="46" t="s">
        <v>1107</v>
      </c>
      <c r="E27" s="46">
        <v>5</v>
      </c>
      <c r="G27" s="46">
        <v>401</v>
      </c>
      <c r="H27" s="46" t="s">
        <v>438</v>
      </c>
      <c r="I27" s="81"/>
      <c r="J27" s="81"/>
      <c r="K27" s="92"/>
      <c r="L27" s="92"/>
      <c r="M27" s="92"/>
    </row>
    <row r="28" spans="1:13" s="46" customFormat="1" x14ac:dyDescent="0.25">
      <c r="A28" s="46" t="s">
        <v>1106</v>
      </c>
      <c r="B28" s="46" t="s">
        <v>1105</v>
      </c>
      <c r="C28" s="46" t="s">
        <v>1107</v>
      </c>
      <c r="E28" s="46">
        <v>5</v>
      </c>
      <c r="G28" s="46">
        <v>4011</v>
      </c>
      <c r="H28" s="46" t="s">
        <v>439</v>
      </c>
      <c r="I28" s="81"/>
      <c r="J28" s="81"/>
      <c r="K28" s="92"/>
      <c r="L28" s="92"/>
      <c r="M28" s="92"/>
    </row>
    <row r="29" spans="1:13" s="46" customFormat="1" x14ac:dyDescent="0.25">
      <c r="A29" s="46" t="s">
        <v>1106</v>
      </c>
      <c r="B29" s="46" t="s">
        <v>1105</v>
      </c>
      <c r="C29" s="46" t="s">
        <v>1107</v>
      </c>
      <c r="E29" s="46">
        <v>5</v>
      </c>
      <c r="G29" s="46">
        <v>40111</v>
      </c>
      <c r="H29" s="46" t="s">
        <v>440</v>
      </c>
      <c r="I29" s="81">
        <v>21600</v>
      </c>
      <c r="J29" s="81"/>
      <c r="K29" s="92">
        <v>21600</v>
      </c>
      <c r="L29" s="92"/>
      <c r="M29" s="92"/>
    </row>
    <row r="30" spans="1:13" s="46" customFormat="1" x14ac:dyDescent="0.25">
      <c r="A30" s="46" t="s">
        <v>1106</v>
      </c>
      <c r="B30" s="46" t="s">
        <v>1105</v>
      </c>
      <c r="C30" s="46" t="s">
        <v>1107</v>
      </c>
      <c r="E30" s="46">
        <v>6</v>
      </c>
      <c r="G30" s="46">
        <v>42</v>
      </c>
      <c r="H30" s="46" t="s">
        <v>510</v>
      </c>
      <c r="I30" s="81"/>
      <c r="J30" s="81"/>
      <c r="K30" s="92"/>
      <c r="L30" s="92"/>
      <c r="M30" s="92">
        <v>141600</v>
      </c>
    </row>
    <row r="31" spans="1:13" s="46" customFormat="1" x14ac:dyDescent="0.25">
      <c r="A31" s="46" t="s">
        <v>1106</v>
      </c>
      <c r="B31" s="46" t="s">
        <v>1105</v>
      </c>
      <c r="C31" s="46" t="s">
        <v>1107</v>
      </c>
      <c r="E31" s="46">
        <v>6</v>
      </c>
      <c r="G31" s="46">
        <v>421</v>
      </c>
      <c r="H31" s="46" t="s">
        <v>511</v>
      </c>
      <c r="I31" s="81"/>
      <c r="J31" s="81"/>
      <c r="K31" s="92"/>
      <c r="L31" s="92"/>
      <c r="M31" s="92"/>
    </row>
    <row r="32" spans="1:13" s="46" customFormat="1" x14ac:dyDescent="0.25">
      <c r="A32" s="46" t="s">
        <v>1106</v>
      </c>
      <c r="B32" s="46" t="s">
        <v>1105</v>
      </c>
      <c r="C32" s="46" t="s">
        <v>1107</v>
      </c>
      <c r="E32" s="46">
        <v>6</v>
      </c>
      <c r="G32" s="46">
        <v>4212</v>
      </c>
      <c r="H32" s="46" t="s">
        <v>512</v>
      </c>
      <c r="I32" s="81"/>
      <c r="J32" s="81">
        <v>141600</v>
      </c>
      <c r="K32" s="92">
        <v>141600</v>
      </c>
      <c r="L32" s="92"/>
      <c r="M32" s="92"/>
    </row>
    <row r="33" spans="1:13" s="46" customFormat="1" x14ac:dyDescent="0.25">
      <c r="A33" s="46" t="s">
        <v>1108</v>
      </c>
      <c r="B33" s="46" t="s">
        <v>1105</v>
      </c>
      <c r="C33" s="46" t="s">
        <v>1109</v>
      </c>
      <c r="E33" s="46">
        <v>7</v>
      </c>
      <c r="G33" s="46">
        <v>20</v>
      </c>
      <c r="H33" s="46" t="s">
        <v>140</v>
      </c>
      <c r="I33" s="81"/>
      <c r="J33" s="81"/>
      <c r="K33" s="92"/>
      <c r="L33" s="92">
        <v>120000</v>
      </c>
      <c r="M33" s="92"/>
    </row>
    <row r="34" spans="1:13" s="46" customFormat="1" x14ac:dyDescent="0.25">
      <c r="A34" s="46" t="s">
        <v>1108</v>
      </c>
      <c r="B34" s="46" t="s">
        <v>1105</v>
      </c>
      <c r="C34" s="46" t="s">
        <v>1109</v>
      </c>
      <c r="E34" s="46">
        <v>7</v>
      </c>
      <c r="G34" s="46">
        <v>201</v>
      </c>
      <c r="H34" s="46" t="s">
        <v>141</v>
      </c>
      <c r="I34" s="81"/>
      <c r="J34" s="81"/>
      <c r="K34" s="92"/>
      <c r="L34" s="92"/>
      <c r="M34" s="92"/>
    </row>
    <row r="35" spans="1:13" s="46" customFormat="1" x14ac:dyDescent="0.25">
      <c r="A35" s="46" t="s">
        <v>1108</v>
      </c>
      <c r="B35" s="46" t="s">
        <v>1105</v>
      </c>
      <c r="C35" s="46" t="s">
        <v>1109</v>
      </c>
      <c r="E35" s="46">
        <v>7</v>
      </c>
      <c r="G35" s="46">
        <v>2011</v>
      </c>
      <c r="H35" s="46" t="s">
        <v>142</v>
      </c>
      <c r="I35" s="81"/>
      <c r="J35" s="81"/>
      <c r="K35" s="92"/>
      <c r="L35" s="92"/>
      <c r="M35" s="92"/>
    </row>
    <row r="36" spans="1:13" s="46" customFormat="1" x14ac:dyDescent="0.25">
      <c r="A36" s="46" t="s">
        <v>1108</v>
      </c>
      <c r="B36" s="46" t="s">
        <v>1105</v>
      </c>
      <c r="C36" s="46" t="s">
        <v>1109</v>
      </c>
      <c r="E36" s="46">
        <v>7</v>
      </c>
      <c r="G36" s="46">
        <v>20111</v>
      </c>
      <c r="H36" s="46" t="s">
        <v>143</v>
      </c>
      <c r="I36" s="81">
        <v>120000</v>
      </c>
      <c r="J36" s="81"/>
      <c r="K36" s="92">
        <v>120000</v>
      </c>
      <c r="L36" s="92"/>
      <c r="M36" s="92"/>
    </row>
    <row r="37" spans="1:13" s="46" customFormat="1" x14ac:dyDescent="0.25">
      <c r="A37" s="46" t="s">
        <v>1108</v>
      </c>
      <c r="B37" s="46" t="s">
        <v>1105</v>
      </c>
      <c r="C37" s="46" t="s">
        <v>1109</v>
      </c>
      <c r="E37" s="46">
        <v>8</v>
      </c>
      <c r="G37" s="46">
        <v>61</v>
      </c>
      <c r="H37" s="46" t="s">
        <v>643</v>
      </c>
      <c r="I37" s="81"/>
      <c r="J37" s="81"/>
      <c r="K37" s="92"/>
      <c r="L37" s="92"/>
      <c r="M37" s="92">
        <v>120000</v>
      </c>
    </row>
    <row r="38" spans="1:13" s="46" customFormat="1" x14ac:dyDescent="0.25">
      <c r="A38" s="46" t="s">
        <v>1108</v>
      </c>
      <c r="B38" s="46" t="s">
        <v>1105</v>
      </c>
      <c r="C38" s="46" t="s">
        <v>1109</v>
      </c>
      <c r="E38" s="46">
        <v>8</v>
      </c>
      <c r="G38" s="46">
        <v>611</v>
      </c>
      <c r="H38" s="46" t="s">
        <v>234</v>
      </c>
      <c r="I38" s="81"/>
      <c r="J38" s="81"/>
      <c r="K38" s="92"/>
      <c r="L38" s="92"/>
      <c r="M38" s="92"/>
    </row>
    <row r="39" spans="1:13" s="46" customFormat="1" x14ac:dyDescent="0.25">
      <c r="A39" s="46" t="s">
        <v>1108</v>
      </c>
      <c r="B39" s="46" t="s">
        <v>1105</v>
      </c>
      <c r="C39" s="46" t="s">
        <v>1109</v>
      </c>
      <c r="E39" s="46">
        <v>8</v>
      </c>
      <c r="G39" s="46">
        <v>6111</v>
      </c>
      <c r="H39" s="46" t="s">
        <v>142</v>
      </c>
      <c r="I39" s="81"/>
      <c r="J39" s="81">
        <v>120000</v>
      </c>
      <c r="K39" s="92">
        <v>120000</v>
      </c>
      <c r="L39" s="92"/>
      <c r="M39" s="92"/>
    </row>
    <row r="40" spans="1:13" s="46" customFormat="1" x14ac:dyDescent="0.25">
      <c r="A40" s="46" t="s">
        <v>1110</v>
      </c>
      <c r="B40" s="46" t="s">
        <v>1105</v>
      </c>
      <c r="C40" s="46" t="s">
        <v>1107</v>
      </c>
      <c r="E40" s="46">
        <v>9</v>
      </c>
      <c r="G40" s="46">
        <v>42</v>
      </c>
      <c r="H40" s="46" t="s">
        <v>510</v>
      </c>
      <c r="I40" s="81"/>
      <c r="J40" s="81"/>
      <c r="K40" s="92"/>
      <c r="L40" s="92">
        <v>7080</v>
      </c>
      <c r="M40" s="92"/>
    </row>
    <row r="41" spans="1:13" s="46" customFormat="1" x14ac:dyDescent="0.25">
      <c r="A41" s="46" t="s">
        <v>1110</v>
      </c>
      <c r="B41" s="46" t="s">
        <v>1105</v>
      </c>
      <c r="C41" s="46" t="s">
        <v>1107</v>
      </c>
      <c r="E41" s="46">
        <v>9</v>
      </c>
      <c r="G41" s="46">
        <v>421</v>
      </c>
      <c r="H41" s="46" t="s">
        <v>511</v>
      </c>
      <c r="I41" s="81"/>
      <c r="J41" s="81"/>
      <c r="K41" s="92"/>
      <c r="L41" s="92"/>
      <c r="M41" s="92"/>
    </row>
    <row r="42" spans="1:13" s="46" customFormat="1" x14ac:dyDescent="0.25">
      <c r="A42" s="46" t="s">
        <v>1110</v>
      </c>
      <c r="B42" s="46" t="s">
        <v>1105</v>
      </c>
      <c r="C42" s="46" t="s">
        <v>1107</v>
      </c>
      <c r="E42" s="46">
        <v>9</v>
      </c>
      <c r="G42" s="46">
        <v>4212</v>
      </c>
      <c r="H42" s="46" t="s">
        <v>512</v>
      </c>
      <c r="I42" s="81">
        <v>7080</v>
      </c>
      <c r="J42" s="81"/>
      <c r="K42" s="92">
        <v>7080</v>
      </c>
      <c r="L42" s="92"/>
      <c r="M42" s="92"/>
    </row>
    <row r="43" spans="1:13" s="46" customFormat="1" x14ac:dyDescent="0.25">
      <c r="A43" s="46" t="s">
        <v>1111</v>
      </c>
      <c r="B43" s="46" t="s">
        <v>1105</v>
      </c>
      <c r="C43" s="46" t="s">
        <v>1112</v>
      </c>
      <c r="E43" s="46">
        <v>14</v>
      </c>
      <c r="G43" s="46">
        <v>12</v>
      </c>
      <c r="H43" s="46" t="s">
        <v>41</v>
      </c>
      <c r="I43" s="81"/>
      <c r="J43" s="81"/>
      <c r="K43" s="92"/>
      <c r="L43" s="92">
        <v>1062000</v>
      </c>
      <c r="M43" s="92"/>
    </row>
    <row r="44" spans="1:13" s="46" customFormat="1" x14ac:dyDescent="0.25">
      <c r="A44" s="46" t="s">
        <v>1111</v>
      </c>
      <c r="B44" s="46" t="s">
        <v>1105</v>
      </c>
      <c r="C44" s="46" t="s">
        <v>1112</v>
      </c>
      <c r="E44" s="46">
        <v>14</v>
      </c>
      <c r="G44" s="46">
        <v>121</v>
      </c>
      <c r="H44" s="46" t="s">
        <v>42</v>
      </c>
      <c r="I44" s="81"/>
      <c r="J44" s="81"/>
      <c r="K44" s="92"/>
      <c r="L44" s="92"/>
      <c r="M44" s="92"/>
    </row>
    <row r="45" spans="1:13" s="46" customFormat="1" x14ac:dyDescent="0.25">
      <c r="A45" s="46" t="s">
        <v>1111</v>
      </c>
      <c r="B45" s="46" t="s">
        <v>1105</v>
      </c>
      <c r="C45" s="46" t="s">
        <v>1112</v>
      </c>
      <c r="E45" s="46">
        <v>14</v>
      </c>
      <c r="G45" s="46">
        <v>1212</v>
      </c>
      <c r="H45" s="46" t="s">
        <v>44</v>
      </c>
      <c r="I45" s="81">
        <v>1062000</v>
      </c>
      <c r="J45" s="81"/>
      <c r="K45" s="92">
        <v>1062000</v>
      </c>
      <c r="L45" s="92"/>
      <c r="M45" s="92"/>
    </row>
    <row r="46" spans="1:13" s="46" customFormat="1" x14ac:dyDescent="0.25">
      <c r="A46" s="46" t="s">
        <v>1111</v>
      </c>
      <c r="B46" s="46" t="s">
        <v>1105</v>
      </c>
      <c r="C46" s="46" t="s">
        <v>1112</v>
      </c>
      <c r="E46" s="46">
        <v>15</v>
      </c>
      <c r="G46" s="46">
        <v>40</v>
      </c>
      <c r="H46" s="46" t="s">
        <v>437</v>
      </c>
      <c r="I46" s="81"/>
      <c r="J46" s="81"/>
      <c r="K46" s="92"/>
      <c r="L46" s="92"/>
      <c r="M46" s="92">
        <v>162000</v>
      </c>
    </row>
    <row r="47" spans="1:13" s="46" customFormat="1" x14ac:dyDescent="0.25">
      <c r="A47" s="46" t="s">
        <v>1111</v>
      </c>
      <c r="B47" s="46" t="s">
        <v>1105</v>
      </c>
      <c r="C47" s="46" t="s">
        <v>1112</v>
      </c>
      <c r="E47" s="46">
        <v>15</v>
      </c>
      <c r="G47" s="46">
        <v>401</v>
      </c>
      <c r="H47" s="46" t="s">
        <v>438</v>
      </c>
      <c r="I47" s="81"/>
      <c r="J47" s="81"/>
      <c r="K47" s="92"/>
      <c r="L47" s="92"/>
      <c r="M47" s="92"/>
    </row>
    <row r="48" spans="1:13" s="46" customFormat="1" x14ac:dyDescent="0.25">
      <c r="A48" s="46" t="s">
        <v>1111</v>
      </c>
      <c r="B48" s="46" t="s">
        <v>1105</v>
      </c>
      <c r="C48" s="46" t="s">
        <v>1112</v>
      </c>
      <c r="E48" s="46">
        <v>15</v>
      </c>
      <c r="G48" s="46">
        <v>4011</v>
      </c>
      <c r="H48" s="46" t="s">
        <v>439</v>
      </c>
      <c r="I48" s="81"/>
      <c r="J48" s="81"/>
      <c r="K48" s="92"/>
      <c r="L48" s="92"/>
      <c r="M48" s="92"/>
    </row>
    <row r="49" spans="1:13" s="46" customFormat="1" x14ac:dyDescent="0.25">
      <c r="A49" s="46" t="s">
        <v>1111</v>
      </c>
      <c r="B49" s="46" t="s">
        <v>1105</v>
      </c>
      <c r="C49" s="46" t="s">
        <v>1112</v>
      </c>
      <c r="E49" s="46">
        <v>15</v>
      </c>
      <c r="G49" s="46">
        <v>40111</v>
      </c>
      <c r="H49" s="46" t="s">
        <v>440</v>
      </c>
      <c r="I49" s="81"/>
      <c r="J49" s="81">
        <v>162000</v>
      </c>
      <c r="K49" s="92">
        <v>162000</v>
      </c>
      <c r="L49" s="92"/>
      <c r="M49" s="92"/>
    </row>
    <row r="50" spans="1:13" s="46" customFormat="1" x14ac:dyDescent="0.25">
      <c r="A50" s="46" t="s">
        <v>1111</v>
      </c>
      <c r="B50" s="46" t="s">
        <v>1105</v>
      </c>
      <c r="C50" s="46" t="s">
        <v>1112</v>
      </c>
      <c r="E50" s="46">
        <v>16</v>
      </c>
      <c r="G50" s="46">
        <v>70</v>
      </c>
      <c r="H50" s="46" t="s">
        <v>834</v>
      </c>
      <c r="I50" s="81"/>
      <c r="J50" s="81"/>
      <c r="K50" s="92"/>
      <c r="L50" s="92"/>
      <c r="M50" s="92">
        <v>900000</v>
      </c>
    </row>
    <row r="51" spans="1:13" s="46" customFormat="1" x14ac:dyDescent="0.25">
      <c r="A51" s="46" t="s">
        <v>1111</v>
      </c>
      <c r="B51" s="46" t="s">
        <v>1105</v>
      </c>
      <c r="C51" s="46" t="s">
        <v>1112</v>
      </c>
      <c r="E51" s="46">
        <v>16</v>
      </c>
      <c r="G51" s="46">
        <v>701</v>
      </c>
      <c r="H51" s="46" t="s">
        <v>234</v>
      </c>
      <c r="I51" s="81"/>
      <c r="J51" s="81"/>
      <c r="K51" s="92"/>
      <c r="L51" s="92"/>
      <c r="M51" s="92"/>
    </row>
    <row r="52" spans="1:13" s="46" customFormat="1" x14ac:dyDescent="0.25">
      <c r="A52" s="46" t="s">
        <v>1111</v>
      </c>
      <c r="B52" s="46" t="s">
        <v>1105</v>
      </c>
      <c r="C52" s="46" t="s">
        <v>1112</v>
      </c>
      <c r="E52" s="46">
        <v>16</v>
      </c>
      <c r="G52" s="46">
        <v>7011</v>
      </c>
      <c r="H52" s="46" t="s">
        <v>142</v>
      </c>
      <c r="I52" s="81"/>
      <c r="J52" s="81"/>
      <c r="K52" s="92"/>
      <c r="L52" s="92"/>
      <c r="M52" s="92"/>
    </row>
    <row r="53" spans="1:13" s="46" customFormat="1" x14ac:dyDescent="0.25">
      <c r="A53" s="46" t="s">
        <v>1111</v>
      </c>
      <c r="B53" s="46" t="s">
        <v>1105</v>
      </c>
      <c r="C53" s="46" t="s">
        <v>1112</v>
      </c>
      <c r="E53" s="46">
        <v>16</v>
      </c>
      <c r="G53" s="46">
        <v>70111</v>
      </c>
      <c r="H53" s="46" t="s">
        <v>835</v>
      </c>
      <c r="I53" s="81"/>
      <c r="J53" s="81">
        <v>900000</v>
      </c>
      <c r="K53" s="92">
        <v>900000</v>
      </c>
      <c r="L53" s="92"/>
      <c r="M53" s="92"/>
    </row>
    <row r="54" spans="1:13" s="46" customFormat="1" x14ac:dyDescent="0.25">
      <c r="A54" s="46" t="s">
        <v>1113</v>
      </c>
      <c r="B54" s="46" t="s">
        <v>1114</v>
      </c>
      <c r="C54" s="46" t="s">
        <v>1115</v>
      </c>
      <c r="E54" s="46">
        <v>25</v>
      </c>
      <c r="G54" s="46">
        <v>69</v>
      </c>
      <c r="H54" s="46" t="s">
        <v>824</v>
      </c>
      <c r="I54" s="81"/>
      <c r="J54" s="81"/>
      <c r="K54" s="92"/>
      <c r="L54" s="92">
        <v>1000</v>
      </c>
      <c r="M54" s="92"/>
    </row>
    <row r="55" spans="1:13" s="46" customFormat="1" x14ac:dyDescent="0.25">
      <c r="A55" s="46" t="s">
        <v>1113</v>
      </c>
      <c r="B55" s="46" t="s">
        <v>1114</v>
      </c>
      <c r="C55" s="46" t="s">
        <v>1115</v>
      </c>
      <c r="E55" s="46">
        <v>25</v>
      </c>
      <c r="G55" s="46">
        <v>691</v>
      </c>
      <c r="H55" s="46" t="s">
        <v>234</v>
      </c>
      <c r="I55" s="81"/>
      <c r="J55" s="81"/>
      <c r="K55" s="92"/>
      <c r="L55" s="92"/>
      <c r="M55" s="92"/>
    </row>
    <row r="56" spans="1:13" s="46" customFormat="1" x14ac:dyDescent="0.25">
      <c r="A56" s="46" t="s">
        <v>1113</v>
      </c>
      <c r="B56" s="46" t="s">
        <v>1114</v>
      </c>
      <c r="C56" s="46" t="s">
        <v>1115</v>
      </c>
      <c r="E56" s="46">
        <v>25</v>
      </c>
      <c r="G56" s="46">
        <v>6911</v>
      </c>
      <c r="H56" s="46" t="s">
        <v>142</v>
      </c>
      <c r="I56" s="81"/>
      <c r="J56" s="81"/>
      <c r="K56" s="92"/>
      <c r="L56" s="92"/>
      <c r="M56" s="92"/>
    </row>
    <row r="57" spans="1:13" s="46" customFormat="1" x14ac:dyDescent="0.25">
      <c r="A57" s="46" t="s">
        <v>1113</v>
      </c>
      <c r="B57" s="46" t="s">
        <v>1114</v>
      </c>
      <c r="C57" s="46" t="s">
        <v>1115</v>
      </c>
      <c r="E57" s="46">
        <v>25</v>
      </c>
      <c r="G57" s="46">
        <v>69111</v>
      </c>
      <c r="H57" s="46" t="s">
        <v>825</v>
      </c>
      <c r="I57" s="81">
        <v>1000</v>
      </c>
      <c r="J57" s="81"/>
      <c r="K57" s="92">
        <v>1000</v>
      </c>
      <c r="L57" s="92"/>
      <c r="M57" s="92"/>
    </row>
    <row r="58" spans="1:13" s="46" customFormat="1" x14ac:dyDescent="0.25">
      <c r="A58" s="46" t="s">
        <v>1113</v>
      </c>
      <c r="B58" s="46" t="s">
        <v>1114</v>
      </c>
      <c r="C58" s="46" t="s">
        <v>1115</v>
      </c>
      <c r="E58" s="46">
        <v>26</v>
      </c>
      <c r="G58" s="46">
        <v>20</v>
      </c>
      <c r="H58" s="46" t="s">
        <v>140</v>
      </c>
      <c r="I58" s="81"/>
      <c r="J58" s="81"/>
      <c r="K58" s="92"/>
      <c r="L58" s="92"/>
      <c r="M58" s="92">
        <v>1000</v>
      </c>
    </row>
    <row r="59" spans="1:13" s="46" customFormat="1" x14ac:dyDescent="0.25">
      <c r="A59" s="46" t="s">
        <v>1113</v>
      </c>
      <c r="B59" s="46" t="s">
        <v>1114</v>
      </c>
      <c r="C59" s="46" t="s">
        <v>1115</v>
      </c>
      <c r="E59" s="46">
        <v>26</v>
      </c>
      <c r="G59" s="46">
        <v>201</v>
      </c>
      <c r="H59" s="46" t="s">
        <v>141</v>
      </c>
      <c r="I59" s="81"/>
      <c r="J59" s="81"/>
      <c r="K59" s="92"/>
      <c r="L59" s="92"/>
      <c r="M59" s="92"/>
    </row>
    <row r="60" spans="1:13" s="46" customFormat="1" x14ac:dyDescent="0.25">
      <c r="A60" s="46" t="s">
        <v>1113</v>
      </c>
      <c r="B60" s="46" t="s">
        <v>1114</v>
      </c>
      <c r="C60" s="46" t="s">
        <v>1115</v>
      </c>
      <c r="E60" s="46">
        <v>26</v>
      </c>
      <c r="G60" s="46">
        <v>2011</v>
      </c>
      <c r="H60" s="46" t="s">
        <v>142</v>
      </c>
      <c r="I60" s="81"/>
      <c r="J60" s="81"/>
      <c r="K60" s="92"/>
      <c r="L60" s="92"/>
      <c r="M60" s="92"/>
    </row>
    <row r="61" spans="1:13" s="46" customFormat="1" x14ac:dyDescent="0.25">
      <c r="A61" s="46" t="s">
        <v>1113</v>
      </c>
      <c r="B61" s="46" t="s">
        <v>1114</v>
      </c>
      <c r="C61" s="46" t="s">
        <v>1115</v>
      </c>
      <c r="E61" s="46">
        <v>26</v>
      </c>
      <c r="G61" s="46">
        <v>20111</v>
      </c>
      <c r="H61" s="46" t="s">
        <v>143</v>
      </c>
      <c r="I61" s="81"/>
      <c r="J61" s="81">
        <v>1000</v>
      </c>
      <c r="K61" s="92">
        <v>1000</v>
      </c>
      <c r="L61" s="92"/>
      <c r="M61" s="92"/>
    </row>
    <row r="62" spans="1:13" s="46" customFormat="1" x14ac:dyDescent="0.25">
      <c r="I62" s="81"/>
      <c r="J62" s="81"/>
      <c r="K62" s="92"/>
      <c r="L62" s="92"/>
      <c r="M62" s="92"/>
    </row>
    <row r="63" spans="1:13" s="46" customFormat="1" x14ac:dyDescent="0.25">
      <c r="I63" s="81"/>
      <c r="J63" s="81"/>
      <c r="K63" s="92"/>
      <c r="L63" s="92"/>
      <c r="M63" s="92"/>
    </row>
    <row r="64" spans="1:13" s="46" customFormat="1" x14ac:dyDescent="0.25">
      <c r="I64" s="81"/>
      <c r="J64" s="81"/>
      <c r="K64" s="92"/>
      <c r="L64" s="92"/>
      <c r="M64" s="92"/>
    </row>
    <row r="65" spans="9:13" s="46" customFormat="1" x14ac:dyDescent="0.25">
      <c r="I65" s="81"/>
      <c r="J65" s="81"/>
      <c r="K65" s="92"/>
      <c r="L65" s="92"/>
      <c r="M65" s="92"/>
    </row>
    <row r="66" spans="9:13" s="46" customFormat="1" x14ac:dyDescent="0.25">
      <c r="I66" s="81"/>
      <c r="J66" s="81"/>
      <c r="K66" s="92"/>
      <c r="L66" s="92"/>
      <c r="M66" s="92"/>
    </row>
    <row r="67" spans="9:13" s="46" customFormat="1" x14ac:dyDescent="0.25">
      <c r="I67" s="81"/>
      <c r="J67" s="81"/>
      <c r="K67" s="92"/>
      <c r="L67" s="92"/>
      <c r="M67" s="92"/>
    </row>
    <row r="68" spans="9:13" s="46" customFormat="1" x14ac:dyDescent="0.25">
      <c r="I68" s="81"/>
      <c r="J68" s="81"/>
      <c r="K68" s="92"/>
      <c r="L68" s="92"/>
      <c r="M68" s="92"/>
    </row>
    <row r="69" spans="9:13" s="46" customFormat="1" x14ac:dyDescent="0.25">
      <c r="I69" s="81"/>
      <c r="J69" s="81"/>
      <c r="K69" s="92"/>
      <c r="L69" s="92"/>
      <c r="M69" s="92"/>
    </row>
    <row r="70" spans="9:13" s="46" customFormat="1" x14ac:dyDescent="0.25">
      <c r="I70" s="81"/>
      <c r="J70" s="81"/>
      <c r="K70" s="92"/>
      <c r="L70" s="92"/>
      <c r="M70" s="92"/>
    </row>
    <row r="71" spans="9:13" s="46" customFormat="1" x14ac:dyDescent="0.25">
      <c r="I71" s="81"/>
      <c r="J71" s="81"/>
      <c r="K71" s="92"/>
      <c r="L71" s="92"/>
      <c r="M71" s="92"/>
    </row>
    <row r="72" spans="9:13" s="46" customFormat="1" x14ac:dyDescent="0.25">
      <c r="I72" s="81"/>
      <c r="J72" s="81"/>
      <c r="K72" s="92"/>
      <c r="L72" s="92"/>
      <c r="M72" s="92"/>
    </row>
    <row r="73" spans="9:13" s="46" customFormat="1" x14ac:dyDescent="0.25">
      <c r="I73" s="81"/>
      <c r="J73" s="81"/>
      <c r="K73" s="92"/>
      <c r="L73" s="92"/>
      <c r="M73" s="92"/>
    </row>
    <row r="74" spans="9:13" s="46" customFormat="1" x14ac:dyDescent="0.25">
      <c r="I74" s="81"/>
      <c r="J74" s="81"/>
      <c r="K74" s="92"/>
      <c r="L74" s="92"/>
      <c r="M74" s="92"/>
    </row>
    <row r="75" spans="9:13" s="46" customFormat="1" x14ac:dyDescent="0.25">
      <c r="I75" s="81"/>
      <c r="J75" s="81"/>
      <c r="K75" s="92"/>
      <c r="L75" s="92"/>
      <c r="M75" s="92"/>
    </row>
    <row r="76" spans="9:13" s="46" customFormat="1" x14ac:dyDescent="0.25">
      <c r="I76" s="81"/>
      <c r="J76" s="81"/>
      <c r="K76" s="92"/>
      <c r="L76" s="92"/>
      <c r="M76" s="92"/>
    </row>
    <row r="77" spans="9:13" s="46" customFormat="1" x14ac:dyDescent="0.25">
      <c r="I77" s="81"/>
      <c r="J77" s="81"/>
      <c r="K77" s="92"/>
      <c r="L77" s="92"/>
      <c r="M77" s="92"/>
    </row>
    <row r="78" spans="9:13" s="46" customFormat="1" x14ac:dyDescent="0.25">
      <c r="I78" s="81"/>
      <c r="J78" s="81"/>
      <c r="K78" s="92"/>
      <c r="L78" s="92"/>
      <c r="M78" s="92"/>
    </row>
    <row r="79" spans="9:13" s="46" customFormat="1" x14ac:dyDescent="0.25">
      <c r="I79" s="81"/>
      <c r="J79" s="81"/>
      <c r="K79" s="92"/>
      <c r="L79" s="92"/>
      <c r="M79" s="92"/>
    </row>
    <row r="80" spans="9:13" s="46" customFormat="1" x14ac:dyDescent="0.25">
      <c r="I80" s="81"/>
      <c r="J80" s="81"/>
      <c r="K80" s="92"/>
      <c r="L80" s="92"/>
      <c r="M80" s="92"/>
    </row>
    <row r="81" spans="9:13" s="46" customFormat="1" x14ac:dyDescent="0.25">
      <c r="I81" s="81"/>
      <c r="J81" s="81"/>
      <c r="K81" s="92"/>
      <c r="L81" s="92"/>
      <c r="M81" s="92"/>
    </row>
    <row r="82" spans="9:13" s="46" customFormat="1" x14ac:dyDescent="0.25">
      <c r="I82" s="81"/>
      <c r="J82" s="81"/>
      <c r="K82" s="92"/>
      <c r="L82" s="92"/>
      <c r="M82" s="92"/>
    </row>
    <row r="83" spans="9:13" s="46" customFormat="1" x14ac:dyDescent="0.25">
      <c r="I83" s="81"/>
      <c r="J83" s="81"/>
      <c r="K83" s="92"/>
      <c r="L83" s="92"/>
      <c r="M83" s="92"/>
    </row>
    <row r="84" spans="9:13" s="46" customFormat="1" x14ac:dyDescent="0.25">
      <c r="I84" s="81"/>
      <c r="J84" s="81"/>
      <c r="K84" s="92"/>
      <c r="L84" s="92"/>
      <c r="M84" s="92"/>
    </row>
    <row r="85" spans="9:13" s="46" customFormat="1" x14ac:dyDescent="0.25">
      <c r="I85" s="81"/>
      <c r="J85" s="81"/>
      <c r="K85" s="92"/>
      <c r="L85" s="92"/>
      <c r="M85" s="92"/>
    </row>
    <row r="86" spans="9:13" s="46" customFormat="1" x14ac:dyDescent="0.25">
      <c r="I86" s="81"/>
      <c r="J86" s="81"/>
      <c r="K86" s="92"/>
      <c r="L86" s="92"/>
      <c r="M86" s="92"/>
    </row>
    <row r="87" spans="9:13" s="46" customFormat="1" x14ac:dyDescent="0.25">
      <c r="I87" s="81"/>
      <c r="J87" s="81"/>
      <c r="K87" s="92"/>
      <c r="L87" s="92"/>
      <c r="M87" s="92"/>
    </row>
    <row r="88" spans="9:13" s="46" customFormat="1" x14ac:dyDescent="0.25">
      <c r="I88" s="81"/>
      <c r="J88" s="81"/>
      <c r="K88" s="92"/>
      <c r="L88" s="92"/>
      <c r="M88" s="92"/>
    </row>
    <row r="89" spans="9:13" s="46" customFormat="1" x14ac:dyDescent="0.25">
      <c r="I89" s="81"/>
      <c r="J89" s="81"/>
      <c r="K89" s="92"/>
      <c r="L89" s="92"/>
      <c r="M89" s="92"/>
    </row>
    <row r="90" spans="9:13" s="46" customFormat="1" x14ac:dyDescent="0.25">
      <c r="I90" s="81"/>
      <c r="J90" s="81"/>
      <c r="K90" s="92"/>
      <c r="L90" s="92"/>
      <c r="M90" s="92"/>
    </row>
    <row r="91" spans="9:13" s="46" customFormat="1" x14ac:dyDescent="0.25">
      <c r="I91" s="81"/>
      <c r="J91" s="81"/>
      <c r="K91" s="92"/>
      <c r="L91" s="92"/>
      <c r="M91" s="92"/>
    </row>
    <row r="92" spans="9:13" s="46" customFormat="1" x14ac:dyDescent="0.25">
      <c r="I92" s="81"/>
      <c r="J92" s="81"/>
      <c r="K92" s="92"/>
      <c r="L92" s="92"/>
      <c r="M92" s="92"/>
    </row>
    <row r="93" spans="9:13" s="46" customFormat="1" x14ac:dyDescent="0.25">
      <c r="I93" s="81"/>
      <c r="J93" s="81"/>
      <c r="K93" s="92"/>
      <c r="L93" s="92"/>
      <c r="M93" s="92"/>
    </row>
    <row r="94" spans="9:13" s="46" customFormat="1" x14ac:dyDescent="0.25">
      <c r="I94" s="81"/>
      <c r="J94" s="81"/>
      <c r="K94" s="92"/>
      <c r="L94" s="92"/>
      <c r="M94" s="92"/>
    </row>
    <row r="95" spans="9:13" s="46" customFormat="1" x14ac:dyDescent="0.25">
      <c r="I95" s="81"/>
      <c r="J95" s="81"/>
      <c r="K95" s="92"/>
      <c r="L95" s="92"/>
      <c r="M95" s="92"/>
    </row>
    <row r="96" spans="9:13" s="46" customFormat="1" x14ac:dyDescent="0.25">
      <c r="I96" s="81"/>
      <c r="J96" s="81"/>
      <c r="K96" s="92"/>
      <c r="L96" s="92"/>
      <c r="M96" s="92"/>
    </row>
    <row r="97" spans="9:13" s="46" customFormat="1" x14ac:dyDescent="0.25">
      <c r="I97" s="81"/>
      <c r="J97" s="81"/>
      <c r="K97" s="92"/>
      <c r="L97" s="92"/>
      <c r="M97" s="92"/>
    </row>
    <row r="98" spans="9:13" s="46" customFormat="1" x14ac:dyDescent="0.25">
      <c r="I98" s="81"/>
      <c r="J98" s="81"/>
      <c r="K98" s="92"/>
      <c r="L98" s="92"/>
      <c r="M98" s="92"/>
    </row>
    <row r="99" spans="9:13" s="46" customFormat="1" x14ac:dyDescent="0.25">
      <c r="I99" s="81"/>
      <c r="J99" s="81"/>
      <c r="K99" s="92"/>
      <c r="L99" s="92"/>
      <c r="M99" s="92"/>
    </row>
    <row r="100" spans="9:13" s="46" customFormat="1" x14ac:dyDescent="0.25">
      <c r="I100" s="81"/>
      <c r="J100" s="81"/>
      <c r="K100" s="92"/>
      <c r="L100" s="92"/>
      <c r="M100" s="92"/>
    </row>
    <row r="101" spans="9:13" s="46" customFormat="1" x14ac:dyDescent="0.25">
      <c r="I101" s="81"/>
      <c r="J101" s="81"/>
      <c r="K101" s="92"/>
      <c r="L101" s="92"/>
      <c r="M101" s="92"/>
    </row>
    <row r="102" spans="9:13" s="46" customFormat="1" x14ac:dyDescent="0.25">
      <c r="I102" s="81"/>
      <c r="J102" s="81"/>
      <c r="K102" s="92"/>
      <c r="L102" s="92"/>
      <c r="M102" s="92"/>
    </row>
    <row r="103" spans="9:13" s="46" customFormat="1" x14ac:dyDescent="0.25">
      <c r="I103" s="81"/>
      <c r="J103" s="81"/>
      <c r="K103" s="92"/>
      <c r="L103" s="92"/>
      <c r="M103" s="92"/>
    </row>
    <row r="104" spans="9:13" s="46" customFormat="1" x14ac:dyDescent="0.25">
      <c r="I104" s="81"/>
      <c r="J104" s="81"/>
      <c r="K104" s="92"/>
      <c r="L104" s="92"/>
      <c r="M104" s="92"/>
    </row>
    <row r="105" spans="9:13" s="46" customFormat="1" x14ac:dyDescent="0.25">
      <c r="I105" s="81"/>
      <c r="J105" s="81"/>
      <c r="K105" s="92"/>
      <c r="L105" s="92"/>
      <c r="M105" s="92"/>
    </row>
    <row r="106" spans="9:13" s="46" customFormat="1" x14ac:dyDescent="0.25">
      <c r="I106" s="81"/>
      <c r="J106" s="81"/>
      <c r="K106" s="92"/>
      <c r="L106" s="92"/>
      <c r="M106" s="92"/>
    </row>
    <row r="107" spans="9:13" s="46" customFormat="1" x14ac:dyDescent="0.25">
      <c r="I107" s="81"/>
      <c r="J107" s="81"/>
      <c r="K107" s="92"/>
      <c r="L107" s="92"/>
      <c r="M107" s="92"/>
    </row>
    <row r="108" spans="9:13" s="46" customFormat="1" x14ac:dyDescent="0.25">
      <c r="I108" s="81"/>
      <c r="J108" s="81"/>
      <c r="K108" s="92"/>
      <c r="L108" s="92"/>
      <c r="M108" s="92"/>
    </row>
    <row r="109" spans="9:13" s="46" customFormat="1" x14ac:dyDescent="0.25">
      <c r="I109" s="81"/>
      <c r="J109" s="81"/>
      <c r="K109" s="92"/>
      <c r="L109" s="92"/>
      <c r="M109" s="92"/>
    </row>
    <row r="110" spans="9:13" s="46" customFormat="1" x14ac:dyDescent="0.25">
      <c r="I110" s="81"/>
      <c r="J110" s="81"/>
      <c r="K110" s="92"/>
      <c r="L110" s="92"/>
      <c r="M110" s="92"/>
    </row>
    <row r="111" spans="9:13" s="46" customFormat="1" x14ac:dyDescent="0.25">
      <c r="I111" s="81"/>
      <c r="J111" s="81"/>
      <c r="K111" s="92"/>
      <c r="L111" s="92"/>
      <c r="M111" s="92"/>
    </row>
    <row r="112" spans="9:13" s="46" customFormat="1" x14ac:dyDescent="0.25">
      <c r="I112" s="81"/>
      <c r="J112" s="81"/>
      <c r="K112" s="92"/>
      <c r="L112" s="92"/>
      <c r="M112" s="92"/>
    </row>
    <row r="113" spans="9:13" s="46" customFormat="1" x14ac:dyDescent="0.25">
      <c r="I113" s="81"/>
      <c r="J113" s="81"/>
      <c r="K113" s="92"/>
      <c r="L113" s="92"/>
      <c r="M113" s="92"/>
    </row>
    <row r="114" spans="9:13" s="46" customFormat="1" x14ac:dyDescent="0.25">
      <c r="I114" s="81"/>
      <c r="J114" s="81"/>
      <c r="K114" s="92"/>
      <c r="L114" s="92"/>
      <c r="M114" s="92"/>
    </row>
    <row r="115" spans="9:13" s="46" customFormat="1" x14ac:dyDescent="0.25">
      <c r="I115" s="81"/>
      <c r="J115" s="81"/>
      <c r="K115" s="92"/>
      <c r="L115" s="92"/>
      <c r="M115" s="92"/>
    </row>
    <row r="116" spans="9:13" s="46" customFormat="1" x14ac:dyDescent="0.25">
      <c r="I116" s="81"/>
      <c r="J116" s="81"/>
      <c r="K116" s="92"/>
      <c r="L116" s="92"/>
      <c r="M116" s="92"/>
    </row>
    <row r="117" spans="9:13" s="46" customFormat="1" x14ac:dyDescent="0.25">
      <c r="I117" s="81"/>
      <c r="J117" s="81"/>
      <c r="K117" s="92"/>
      <c r="L117" s="92"/>
      <c r="M117" s="92"/>
    </row>
    <row r="118" spans="9:13" s="46" customFormat="1" x14ac:dyDescent="0.25">
      <c r="I118" s="81"/>
      <c r="J118" s="81"/>
      <c r="K118" s="92"/>
      <c r="L118" s="92"/>
      <c r="M118" s="92"/>
    </row>
    <row r="119" spans="9:13" s="46" customFormat="1" x14ac:dyDescent="0.25">
      <c r="I119" s="81"/>
      <c r="J119" s="81"/>
      <c r="K119" s="92"/>
      <c r="L119" s="92"/>
      <c r="M119" s="92"/>
    </row>
    <row r="120" spans="9:13" s="46" customFormat="1" x14ac:dyDescent="0.25">
      <c r="I120" s="81"/>
      <c r="J120" s="81"/>
      <c r="K120" s="92"/>
      <c r="L120" s="92"/>
      <c r="M120" s="92"/>
    </row>
    <row r="121" spans="9:13" s="46" customFormat="1" x14ac:dyDescent="0.25">
      <c r="I121" s="81"/>
      <c r="J121" s="81"/>
      <c r="K121" s="92"/>
      <c r="L121" s="92"/>
      <c r="M121" s="92"/>
    </row>
    <row r="122" spans="9:13" s="46" customFormat="1" x14ac:dyDescent="0.25">
      <c r="I122" s="81"/>
      <c r="J122" s="81"/>
      <c r="K122" s="92"/>
      <c r="L122" s="92"/>
      <c r="M122" s="92"/>
    </row>
    <row r="123" spans="9:13" s="46" customFormat="1" x14ac:dyDescent="0.25">
      <c r="I123" s="81"/>
      <c r="J123" s="81"/>
      <c r="K123" s="92"/>
      <c r="L123" s="92"/>
      <c r="M123" s="92"/>
    </row>
    <row r="124" spans="9:13" s="46" customFormat="1" x14ac:dyDescent="0.25">
      <c r="I124" s="81"/>
      <c r="J124" s="81"/>
      <c r="K124" s="92"/>
      <c r="L124" s="92"/>
      <c r="M124" s="92"/>
    </row>
    <row r="125" spans="9:13" s="46" customFormat="1" x14ac:dyDescent="0.25">
      <c r="I125" s="81"/>
      <c r="J125" s="81"/>
      <c r="K125" s="92"/>
      <c r="L125" s="92"/>
      <c r="M125" s="92"/>
    </row>
    <row r="126" spans="9:13" s="46" customFormat="1" x14ac:dyDescent="0.25">
      <c r="I126" s="81"/>
      <c r="J126" s="81"/>
      <c r="K126" s="92"/>
      <c r="L126" s="92"/>
      <c r="M126" s="92"/>
    </row>
    <row r="127" spans="9:13" s="46" customFormat="1" x14ac:dyDescent="0.25">
      <c r="I127" s="81"/>
      <c r="J127" s="81"/>
      <c r="K127" s="92"/>
      <c r="L127" s="92"/>
      <c r="M127" s="92"/>
    </row>
    <row r="128" spans="9:13" s="46" customFormat="1" x14ac:dyDescent="0.25">
      <c r="I128" s="81"/>
      <c r="J128" s="81"/>
      <c r="K128" s="92"/>
      <c r="L128" s="92"/>
      <c r="M128" s="92"/>
    </row>
    <row r="129" spans="9:13" s="46" customFormat="1" x14ac:dyDescent="0.25">
      <c r="I129" s="81"/>
      <c r="J129" s="81"/>
      <c r="K129" s="92"/>
      <c r="L129" s="92"/>
      <c r="M129" s="92"/>
    </row>
    <row r="130" spans="9:13" s="46" customFormat="1" x14ac:dyDescent="0.25">
      <c r="I130" s="81"/>
      <c r="J130" s="81"/>
      <c r="K130" s="92"/>
      <c r="L130" s="92"/>
      <c r="M130" s="92"/>
    </row>
    <row r="131" spans="9:13" s="46" customFormat="1" x14ac:dyDescent="0.25">
      <c r="I131" s="81"/>
      <c r="J131" s="81"/>
      <c r="K131" s="92"/>
      <c r="L131" s="92"/>
      <c r="M131" s="92"/>
    </row>
    <row r="132" spans="9:13" s="46" customFormat="1" x14ac:dyDescent="0.25">
      <c r="I132" s="81"/>
      <c r="J132" s="81"/>
      <c r="K132" s="92"/>
      <c r="L132" s="92"/>
      <c r="M132" s="92"/>
    </row>
    <row r="133" spans="9:13" s="46" customFormat="1" x14ac:dyDescent="0.25">
      <c r="I133" s="81"/>
      <c r="J133" s="81"/>
      <c r="K133" s="92"/>
      <c r="L133" s="92"/>
      <c r="M133" s="92"/>
    </row>
    <row r="134" spans="9:13" s="46" customFormat="1" x14ac:dyDescent="0.25">
      <c r="I134" s="81"/>
      <c r="J134" s="81"/>
      <c r="K134" s="92"/>
      <c r="L134" s="92"/>
      <c r="M134" s="92"/>
    </row>
    <row r="135" spans="9:13" s="46" customFormat="1" x14ac:dyDescent="0.25">
      <c r="I135" s="81"/>
      <c r="J135" s="81"/>
      <c r="K135" s="92"/>
      <c r="L135" s="92"/>
      <c r="M135" s="92"/>
    </row>
    <row r="136" spans="9:13" s="46" customFormat="1" x14ac:dyDescent="0.25">
      <c r="I136" s="81"/>
      <c r="J136" s="81"/>
      <c r="K136" s="92"/>
      <c r="L136" s="92"/>
      <c r="M136" s="92"/>
    </row>
    <row r="137" spans="9:13" s="46" customFormat="1" x14ac:dyDescent="0.25">
      <c r="I137" s="81"/>
      <c r="J137" s="81"/>
      <c r="K137" s="92"/>
      <c r="L137" s="92"/>
      <c r="M137" s="92"/>
    </row>
    <row r="138" spans="9:13" s="46" customFormat="1" x14ac:dyDescent="0.25">
      <c r="I138" s="81"/>
      <c r="J138" s="81"/>
      <c r="K138" s="92"/>
      <c r="L138" s="92"/>
      <c r="M138" s="92"/>
    </row>
    <row r="139" spans="9:13" s="46" customFormat="1" x14ac:dyDescent="0.25">
      <c r="I139" s="81"/>
      <c r="J139" s="81"/>
      <c r="K139" s="92"/>
      <c r="L139" s="92"/>
      <c r="M139" s="92"/>
    </row>
    <row r="140" spans="9:13" s="46" customFormat="1" x14ac:dyDescent="0.25">
      <c r="I140" s="81"/>
      <c r="J140" s="81"/>
      <c r="K140" s="92"/>
      <c r="L140" s="92"/>
      <c r="M140" s="92"/>
    </row>
    <row r="141" spans="9:13" s="46" customFormat="1" x14ac:dyDescent="0.25">
      <c r="I141" s="81"/>
      <c r="J141" s="81"/>
      <c r="K141" s="92"/>
      <c r="L141" s="92"/>
      <c r="M141" s="92"/>
    </row>
    <row r="142" spans="9:13" s="46" customFormat="1" x14ac:dyDescent="0.25">
      <c r="I142" s="81"/>
      <c r="J142" s="81"/>
      <c r="K142" s="92"/>
      <c r="L142" s="92"/>
      <c r="M142" s="92"/>
    </row>
    <row r="143" spans="9:13" s="46" customFormat="1" x14ac:dyDescent="0.25">
      <c r="I143" s="81"/>
      <c r="J143" s="81"/>
      <c r="K143" s="92"/>
      <c r="L143" s="92"/>
      <c r="M143" s="92"/>
    </row>
    <row r="144" spans="9:13" s="46" customFormat="1" x14ac:dyDescent="0.25">
      <c r="I144" s="81"/>
      <c r="J144" s="81"/>
      <c r="K144" s="92"/>
      <c r="L144" s="92"/>
      <c r="M144" s="92"/>
    </row>
    <row r="145" spans="9:13" s="46" customFormat="1" x14ac:dyDescent="0.25">
      <c r="I145" s="81"/>
      <c r="J145" s="81"/>
      <c r="K145" s="92"/>
      <c r="L145" s="92"/>
      <c r="M145" s="92"/>
    </row>
    <row r="146" spans="9:13" s="46" customFormat="1" x14ac:dyDescent="0.25">
      <c r="I146" s="81"/>
      <c r="J146" s="81"/>
      <c r="K146" s="92"/>
      <c r="L146" s="92"/>
      <c r="M146" s="92"/>
    </row>
    <row r="147" spans="9:13" s="46" customFormat="1" x14ac:dyDescent="0.25">
      <c r="I147" s="81"/>
      <c r="J147" s="81"/>
      <c r="K147" s="92"/>
      <c r="L147" s="92"/>
      <c r="M147" s="92"/>
    </row>
    <row r="148" spans="9:13" s="46" customFormat="1" x14ac:dyDescent="0.25">
      <c r="I148" s="81"/>
      <c r="J148" s="81"/>
      <c r="K148" s="92"/>
      <c r="L148" s="92"/>
      <c r="M148" s="92"/>
    </row>
    <row r="149" spans="9:13" s="46" customFormat="1" x14ac:dyDescent="0.25">
      <c r="I149" s="81"/>
      <c r="J149" s="81"/>
      <c r="K149" s="92"/>
      <c r="L149" s="92"/>
      <c r="M149" s="92"/>
    </row>
    <row r="150" spans="9:13" s="46" customFormat="1" x14ac:dyDescent="0.25">
      <c r="I150" s="81"/>
      <c r="J150" s="81"/>
      <c r="K150" s="92"/>
      <c r="L150" s="92"/>
      <c r="M150" s="92"/>
    </row>
    <row r="151" spans="9:13" s="46" customFormat="1" x14ac:dyDescent="0.25">
      <c r="I151" s="81"/>
      <c r="J151" s="81"/>
      <c r="K151" s="92"/>
      <c r="L151" s="92"/>
      <c r="M151" s="92"/>
    </row>
    <row r="152" spans="9:13" s="46" customFormat="1" x14ac:dyDescent="0.25">
      <c r="I152" s="81"/>
      <c r="J152" s="81"/>
      <c r="K152" s="92"/>
      <c r="L152" s="92"/>
      <c r="M152" s="92"/>
    </row>
    <row r="153" spans="9:13" s="46" customFormat="1" x14ac:dyDescent="0.25">
      <c r="I153" s="81"/>
      <c r="J153" s="81"/>
      <c r="K153" s="92"/>
      <c r="L153" s="92"/>
      <c r="M153" s="92"/>
    </row>
    <row r="154" spans="9:13" s="46" customFormat="1" x14ac:dyDescent="0.25">
      <c r="I154" s="81"/>
      <c r="J154" s="81"/>
      <c r="K154" s="92"/>
      <c r="L154" s="92"/>
      <c r="M154" s="92"/>
    </row>
    <row r="155" spans="9:13" s="46" customFormat="1" x14ac:dyDescent="0.25">
      <c r="I155" s="81"/>
      <c r="J155" s="81"/>
      <c r="K155" s="92"/>
      <c r="L155" s="92"/>
      <c r="M155" s="92"/>
    </row>
    <row r="156" spans="9:13" s="46" customFormat="1" x14ac:dyDescent="0.25">
      <c r="I156" s="81"/>
      <c r="J156" s="81"/>
      <c r="K156" s="92"/>
      <c r="L156" s="92"/>
      <c r="M156" s="92"/>
    </row>
    <row r="157" spans="9:13" s="46" customFormat="1" x14ac:dyDescent="0.25">
      <c r="I157" s="81"/>
      <c r="J157" s="81"/>
      <c r="K157" s="92"/>
      <c r="L157" s="92"/>
      <c r="M157" s="92"/>
    </row>
    <row r="158" spans="9:13" s="46" customFormat="1" x14ac:dyDescent="0.25">
      <c r="I158" s="81"/>
      <c r="J158" s="81"/>
      <c r="K158" s="92"/>
      <c r="L158" s="92"/>
      <c r="M158" s="92"/>
    </row>
    <row r="159" spans="9:13" s="46" customFormat="1" x14ac:dyDescent="0.25">
      <c r="I159" s="81"/>
      <c r="J159" s="81"/>
      <c r="K159" s="92"/>
      <c r="L159" s="92"/>
      <c r="M159" s="92"/>
    </row>
    <row r="160" spans="9:13" s="46" customFormat="1" x14ac:dyDescent="0.25">
      <c r="I160" s="81"/>
      <c r="J160" s="81"/>
      <c r="K160" s="92"/>
      <c r="L160" s="92"/>
      <c r="M160" s="92"/>
    </row>
    <row r="161" spans="9:13" s="46" customFormat="1" x14ac:dyDescent="0.25">
      <c r="I161" s="81"/>
      <c r="J161" s="81"/>
      <c r="K161" s="92"/>
      <c r="L161" s="92"/>
      <c r="M161" s="92"/>
    </row>
    <row r="162" spans="9:13" s="46" customFormat="1" x14ac:dyDescent="0.25">
      <c r="I162" s="81"/>
      <c r="J162" s="81"/>
      <c r="K162" s="92"/>
      <c r="L162" s="92"/>
      <c r="M162" s="92"/>
    </row>
    <row r="163" spans="9:13" s="46" customFormat="1" x14ac:dyDescent="0.25">
      <c r="I163" s="81"/>
      <c r="J163" s="81"/>
      <c r="K163" s="92"/>
      <c r="L163" s="92"/>
      <c r="M163" s="92"/>
    </row>
    <row r="164" spans="9:13" s="46" customFormat="1" x14ac:dyDescent="0.25">
      <c r="I164" s="81"/>
      <c r="J164" s="81"/>
      <c r="K164" s="92"/>
      <c r="L164" s="92"/>
      <c r="M164" s="92"/>
    </row>
    <row r="165" spans="9:13" s="46" customFormat="1" x14ac:dyDescent="0.25">
      <c r="I165" s="81"/>
      <c r="J165" s="81"/>
      <c r="K165" s="92"/>
      <c r="L165" s="92"/>
      <c r="M165" s="92"/>
    </row>
    <row r="166" spans="9:13" s="46" customFormat="1" x14ac:dyDescent="0.25">
      <c r="I166" s="81"/>
      <c r="J166" s="81"/>
      <c r="K166" s="92"/>
      <c r="L166" s="92"/>
      <c r="M166" s="92"/>
    </row>
    <row r="167" spans="9:13" s="46" customFormat="1" x14ac:dyDescent="0.25">
      <c r="I167" s="81"/>
      <c r="J167" s="81"/>
      <c r="K167" s="92"/>
      <c r="L167" s="92"/>
      <c r="M167" s="92"/>
    </row>
    <row r="168" spans="9:13" s="46" customFormat="1" x14ac:dyDescent="0.25">
      <c r="I168" s="81"/>
      <c r="J168" s="81"/>
      <c r="K168" s="92"/>
      <c r="L168" s="92"/>
      <c r="M168" s="92"/>
    </row>
    <row r="169" spans="9:13" s="46" customFormat="1" x14ac:dyDescent="0.25">
      <c r="I169" s="81"/>
      <c r="J169" s="81"/>
      <c r="K169" s="92"/>
      <c r="L169" s="92"/>
      <c r="M169" s="92"/>
    </row>
    <row r="170" spans="9:13" s="46" customFormat="1" x14ac:dyDescent="0.25">
      <c r="I170" s="81"/>
      <c r="J170" s="81"/>
      <c r="K170" s="92"/>
      <c r="L170" s="92"/>
      <c r="M170" s="92"/>
    </row>
    <row r="171" spans="9:13" s="46" customFormat="1" x14ac:dyDescent="0.25">
      <c r="I171" s="81"/>
      <c r="J171" s="81"/>
      <c r="K171" s="92"/>
      <c r="L171" s="92"/>
      <c r="M171" s="92"/>
    </row>
    <row r="172" spans="9:13" s="46" customFormat="1" x14ac:dyDescent="0.25">
      <c r="I172" s="81"/>
      <c r="J172" s="81"/>
      <c r="K172" s="92"/>
      <c r="L172" s="92"/>
      <c r="M172" s="92"/>
    </row>
    <row r="173" spans="9:13" s="46" customFormat="1" x14ac:dyDescent="0.25">
      <c r="I173" s="81"/>
      <c r="J173" s="81"/>
      <c r="K173" s="92"/>
      <c r="L173" s="92"/>
      <c r="M173" s="92"/>
    </row>
    <row r="174" spans="9:13" s="46" customFormat="1" x14ac:dyDescent="0.25">
      <c r="I174" s="81"/>
      <c r="J174" s="81"/>
      <c r="K174" s="92"/>
      <c r="L174" s="92"/>
      <c r="M174" s="92"/>
    </row>
    <row r="175" spans="9:13" s="46" customFormat="1" x14ac:dyDescent="0.25">
      <c r="I175" s="81"/>
      <c r="J175" s="81"/>
      <c r="K175" s="92"/>
      <c r="L175" s="92"/>
      <c r="M175" s="92"/>
    </row>
    <row r="176" spans="9:13" s="46" customFormat="1" x14ac:dyDescent="0.25">
      <c r="I176" s="81"/>
      <c r="J176" s="81"/>
      <c r="K176" s="92"/>
      <c r="L176" s="92"/>
      <c r="M176" s="92"/>
    </row>
    <row r="177" spans="9:13" s="46" customFormat="1" x14ac:dyDescent="0.25">
      <c r="I177" s="81"/>
      <c r="J177" s="81"/>
      <c r="K177" s="92"/>
      <c r="L177" s="92"/>
      <c r="M177" s="92"/>
    </row>
    <row r="178" spans="9:13" s="46" customFormat="1" x14ac:dyDescent="0.25">
      <c r="I178" s="81"/>
      <c r="J178" s="81"/>
      <c r="K178" s="92"/>
      <c r="L178" s="92"/>
      <c r="M178" s="92"/>
    </row>
    <row r="179" spans="9:13" s="46" customFormat="1" x14ac:dyDescent="0.25">
      <c r="I179" s="81"/>
      <c r="J179" s="81"/>
      <c r="K179" s="92"/>
      <c r="L179" s="92"/>
      <c r="M179" s="92"/>
    </row>
    <row r="180" spans="9:13" s="46" customFormat="1" x14ac:dyDescent="0.25">
      <c r="I180" s="81"/>
      <c r="J180" s="81"/>
      <c r="K180" s="92"/>
      <c r="L180" s="92"/>
      <c r="M180" s="92"/>
    </row>
    <row r="181" spans="9:13" s="46" customFormat="1" x14ac:dyDescent="0.25">
      <c r="I181" s="81"/>
      <c r="J181" s="81"/>
      <c r="K181" s="92"/>
      <c r="L181" s="92"/>
      <c r="M181" s="92"/>
    </row>
    <row r="182" spans="9:13" s="46" customFormat="1" x14ac:dyDescent="0.25">
      <c r="I182" s="81"/>
      <c r="J182" s="81"/>
      <c r="K182" s="92"/>
      <c r="L182" s="92"/>
      <c r="M182" s="92"/>
    </row>
    <row r="183" spans="9:13" s="46" customFormat="1" x14ac:dyDescent="0.25">
      <c r="I183" s="81"/>
      <c r="J183" s="81"/>
      <c r="K183" s="92"/>
      <c r="L183" s="92"/>
      <c r="M183" s="92"/>
    </row>
    <row r="184" spans="9:13" s="46" customFormat="1" x14ac:dyDescent="0.25">
      <c r="I184" s="81"/>
      <c r="J184" s="81"/>
      <c r="K184" s="92"/>
      <c r="L184" s="92"/>
      <c r="M184" s="92"/>
    </row>
    <row r="185" spans="9:13" s="46" customFormat="1" x14ac:dyDescent="0.25">
      <c r="I185" s="81"/>
      <c r="J185" s="81"/>
      <c r="K185" s="92"/>
      <c r="L185" s="92"/>
      <c r="M185" s="92"/>
    </row>
    <row r="186" spans="9:13" s="46" customFormat="1" x14ac:dyDescent="0.25">
      <c r="I186" s="81"/>
      <c r="J186" s="81"/>
      <c r="K186" s="92"/>
      <c r="L186" s="92"/>
      <c r="M186" s="92"/>
    </row>
    <row r="187" spans="9:13" s="46" customFormat="1" x14ac:dyDescent="0.25">
      <c r="I187" s="81"/>
      <c r="J187" s="81"/>
      <c r="K187" s="92"/>
      <c r="L187" s="92"/>
      <c r="M187" s="92"/>
    </row>
    <row r="188" spans="9:13" s="46" customFormat="1" x14ac:dyDescent="0.25">
      <c r="I188" s="81"/>
      <c r="J188" s="81"/>
      <c r="K188" s="92"/>
      <c r="L188" s="92"/>
      <c r="M188" s="92"/>
    </row>
    <row r="189" spans="9:13" s="46" customFormat="1" x14ac:dyDescent="0.25">
      <c r="I189" s="81"/>
      <c r="J189" s="81"/>
      <c r="K189" s="92"/>
      <c r="L189" s="92"/>
      <c r="M189" s="92"/>
    </row>
    <row r="190" spans="9:13" s="46" customFormat="1" x14ac:dyDescent="0.25">
      <c r="I190" s="81"/>
      <c r="J190" s="81"/>
      <c r="K190" s="92"/>
      <c r="L190" s="92"/>
      <c r="M190" s="92"/>
    </row>
    <row r="191" spans="9:13" s="46" customFormat="1" x14ac:dyDescent="0.25">
      <c r="I191" s="81"/>
      <c r="J191" s="81"/>
      <c r="K191" s="92"/>
      <c r="L191" s="92"/>
      <c r="M191" s="92"/>
    </row>
    <row r="192" spans="9:13" s="46" customFormat="1" x14ac:dyDescent="0.25">
      <c r="I192" s="81"/>
      <c r="J192" s="81"/>
      <c r="K192" s="92"/>
      <c r="L192" s="92"/>
      <c r="M192" s="92"/>
    </row>
    <row r="193" spans="9:13" s="46" customFormat="1" x14ac:dyDescent="0.25">
      <c r="I193" s="81"/>
      <c r="J193" s="81"/>
      <c r="K193" s="92"/>
      <c r="L193" s="92"/>
      <c r="M193" s="92"/>
    </row>
    <row r="194" spans="9:13" s="46" customFormat="1" x14ac:dyDescent="0.25">
      <c r="I194" s="81"/>
      <c r="J194" s="81"/>
      <c r="K194" s="92"/>
      <c r="L194" s="92"/>
      <c r="M194" s="92"/>
    </row>
    <row r="195" spans="9:13" s="46" customFormat="1" x14ac:dyDescent="0.25">
      <c r="I195" s="81"/>
      <c r="J195" s="81"/>
      <c r="K195" s="92"/>
      <c r="L195" s="92"/>
      <c r="M195" s="92"/>
    </row>
    <row r="196" spans="9:13" s="46" customFormat="1" x14ac:dyDescent="0.25">
      <c r="I196" s="81"/>
      <c r="J196" s="81"/>
      <c r="K196" s="92"/>
      <c r="L196" s="92"/>
      <c r="M196" s="92"/>
    </row>
    <row r="197" spans="9:13" s="46" customFormat="1" x14ac:dyDescent="0.25">
      <c r="I197" s="81"/>
      <c r="J197" s="81"/>
      <c r="K197" s="92"/>
      <c r="L197" s="92"/>
      <c r="M197" s="92"/>
    </row>
    <row r="198" spans="9:13" s="46" customFormat="1" x14ac:dyDescent="0.25">
      <c r="I198" s="81"/>
      <c r="J198" s="81"/>
      <c r="K198" s="92"/>
      <c r="L198" s="92"/>
      <c r="M198" s="92"/>
    </row>
    <row r="199" spans="9:13" s="46" customFormat="1" x14ac:dyDescent="0.25">
      <c r="I199" s="81"/>
      <c r="J199" s="81"/>
      <c r="K199" s="92"/>
      <c r="L199" s="92"/>
      <c r="M199" s="92"/>
    </row>
    <row r="200" spans="9:13" s="46" customFormat="1" x14ac:dyDescent="0.25">
      <c r="I200" s="81"/>
      <c r="J200" s="81"/>
      <c r="K200" s="92"/>
      <c r="L200" s="92"/>
      <c r="M200" s="92"/>
    </row>
    <row r="201" spans="9:13" s="46" customFormat="1" x14ac:dyDescent="0.25">
      <c r="I201" s="81"/>
      <c r="J201" s="81"/>
      <c r="K201" s="92"/>
      <c r="L201" s="92"/>
      <c r="M201" s="92"/>
    </row>
    <row r="202" spans="9:13" s="46" customFormat="1" x14ac:dyDescent="0.25">
      <c r="I202" s="81"/>
      <c r="J202" s="81"/>
      <c r="K202" s="92"/>
      <c r="L202" s="92"/>
      <c r="M202" s="92"/>
    </row>
    <row r="203" spans="9:13" s="46" customFormat="1" x14ac:dyDescent="0.25">
      <c r="I203" s="81"/>
      <c r="J203" s="81"/>
      <c r="K203" s="92"/>
      <c r="L203" s="92"/>
      <c r="M203" s="92"/>
    </row>
    <row r="204" spans="9:13" s="46" customFormat="1" x14ac:dyDescent="0.25">
      <c r="I204" s="81"/>
      <c r="J204" s="81"/>
      <c r="K204" s="92"/>
      <c r="L204" s="92"/>
      <c r="M204" s="92"/>
    </row>
    <row r="205" spans="9:13" s="46" customFormat="1" x14ac:dyDescent="0.25">
      <c r="I205" s="81"/>
      <c r="J205" s="81"/>
      <c r="K205" s="92"/>
      <c r="L205" s="92"/>
      <c r="M205" s="92"/>
    </row>
    <row r="206" spans="9:13" s="46" customFormat="1" x14ac:dyDescent="0.25">
      <c r="I206" s="81"/>
      <c r="J206" s="81"/>
      <c r="K206" s="92"/>
      <c r="L206" s="92"/>
      <c r="M206" s="92"/>
    </row>
    <row r="207" spans="9:13" s="46" customFormat="1" x14ac:dyDescent="0.25">
      <c r="I207" s="81"/>
      <c r="J207" s="81"/>
      <c r="K207" s="92"/>
      <c r="L207" s="92"/>
      <c r="M207" s="92"/>
    </row>
    <row r="208" spans="9:13" s="46" customFormat="1" x14ac:dyDescent="0.25">
      <c r="I208" s="81"/>
      <c r="J208" s="81"/>
      <c r="K208" s="92"/>
      <c r="L208" s="92"/>
      <c r="M208" s="92"/>
    </row>
    <row r="209" spans="9:13" s="46" customFormat="1" x14ac:dyDescent="0.25">
      <c r="I209" s="81"/>
      <c r="J209" s="81"/>
      <c r="K209" s="92"/>
      <c r="L209" s="92"/>
      <c r="M209" s="92"/>
    </row>
    <row r="210" spans="9:13" s="46" customFormat="1" x14ac:dyDescent="0.25">
      <c r="I210" s="81"/>
      <c r="J210" s="81"/>
      <c r="K210" s="92"/>
      <c r="L210" s="92"/>
      <c r="M210" s="92"/>
    </row>
    <row r="211" spans="9:13" s="46" customFormat="1" x14ac:dyDescent="0.25">
      <c r="I211" s="81"/>
      <c r="J211" s="81"/>
      <c r="K211" s="92"/>
      <c r="L211" s="92"/>
      <c r="M211" s="92"/>
    </row>
    <row r="212" spans="9:13" s="46" customFormat="1" x14ac:dyDescent="0.25">
      <c r="I212" s="81"/>
      <c r="J212" s="81"/>
      <c r="K212" s="92"/>
      <c r="L212" s="92"/>
      <c r="M212" s="92"/>
    </row>
    <row r="213" spans="9:13" s="46" customFormat="1" x14ac:dyDescent="0.25">
      <c r="I213" s="81"/>
      <c r="J213" s="81"/>
      <c r="K213" s="92"/>
      <c r="L213" s="92"/>
      <c r="M213" s="92"/>
    </row>
    <row r="214" spans="9:13" s="46" customFormat="1" x14ac:dyDescent="0.25">
      <c r="I214" s="81"/>
      <c r="J214" s="81"/>
      <c r="K214" s="92"/>
      <c r="L214" s="92"/>
      <c r="M214" s="92"/>
    </row>
    <row r="215" spans="9:13" s="46" customFormat="1" x14ac:dyDescent="0.25">
      <c r="I215" s="81"/>
      <c r="J215" s="81"/>
      <c r="K215" s="92"/>
      <c r="L215" s="92"/>
      <c r="M215" s="92"/>
    </row>
    <row r="216" spans="9:13" s="46" customFormat="1" x14ac:dyDescent="0.25">
      <c r="I216" s="81"/>
      <c r="J216" s="81"/>
      <c r="K216" s="92"/>
      <c r="L216" s="92"/>
      <c r="M216" s="92"/>
    </row>
    <row r="217" spans="9:13" s="46" customFormat="1" x14ac:dyDescent="0.25">
      <c r="I217" s="81"/>
      <c r="J217" s="81"/>
      <c r="K217" s="92"/>
      <c r="L217" s="92"/>
      <c r="M217" s="92"/>
    </row>
    <row r="218" spans="9:13" s="46" customFormat="1" x14ac:dyDescent="0.25">
      <c r="I218" s="81"/>
      <c r="J218" s="81"/>
      <c r="K218" s="92"/>
      <c r="L218" s="92"/>
      <c r="M218" s="92"/>
    </row>
    <row r="219" spans="9:13" s="46" customFormat="1" x14ac:dyDescent="0.25">
      <c r="I219" s="81"/>
      <c r="J219" s="81"/>
      <c r="K219" s="92"/>
      <c r="L219" s="92"/>
      <c r="M219" s="92"/>
    </row>
    <row r="220" spans="9:13" s="46" customFormat="1" x14ac:dyDescent="0.25">
      <c r="I220" s="81"/>
      <c r="J220" s="81"/>
      <c r="K220" s="92"/>
      <c r="L220" s="92"/>
      <c r="M220" s="92"/>
    </row>
    <row r="221" spans="9:13" s="46" customFormat="1" x14ac:dyDescent="0.25">
      <c r="I221" s="81"/>
      <c r="J221" s="81"/>
      <c r="K221" s="92"/>
      <c r="L221" s="92"/>
      <c r="M221" s="92"/>
    </row>
    <row r="222" spans="9:13" s="46" customFormat="1" x14ac:dyDescent="0.25">
      <c r="I222" s="81"/>
      <c r="J222" s="81"/>
      <c r="K222" s="92"/>
      <c r="L222" s="92"/>
      <c r="M222" s="92"/>
    </row>
    <row r="223" spans="9:13" s="46" customFormat="1" x14ac:dyDescent="0.25">
      <c r="I223" s="81"/>
      <c r="J223" s="81"/>
      <c r="K223" s="92"/>
      <c r="L223" s="92"/>
      <c r="M223" s="92"/>
    </row>
    <row r="224" spans="9:13" s="46" customFormat="1" x14ac:dyDescent="0.25">
      <c r="I224" s="81"/>
      <c r="J224" s="81"/>
      <c r="K224" s="92"/>
      <c r="L224" s="92"/>
      <c r="M224" s="92"/>
    </row>
    <row r="225" spans="9:13" s="46" customFormat="1" x14ac:dyDescent="0.25">
      <c r="I225" s="81"/>
      <c r="J225" s="81"/>
      <c r="K225" s="92"/>
      <c r="L225" s="92"/>
      <c r="M225" s="92"/>
    </row>
    <row r="226" spans="9:13" s="46" customFormat="1" x14ac:dyDescent="0.25">
      <c r="I226" s="81"/>
      <c r="J226" s="81"/>
      <c r="K226" s="92"/>
      <c r="L226" s="92"/>
      <c r="M226" s="92"/>
    </row>
    <row r="227" spans="9:13" s="46" customFormat="1" x14ac:dyDescent="0.25">
      <c r="I227" s="81"/>
      <c r="J227" s="81"/>
      <c r="K227" s="92"/>
      <c r="L227" s="92"/>
      <c r="M227" s="92"/>
    </row>
    <row r="228" spans="9:13" s="46" customFormat="1" x14ac:dyDescent="0.25">
      <c r="I228" s="81"/>
      <c r="J228" s="81"/>
      <c r="K228" s="92"/>
      <c r="L228" s="92"/>
      <c r="M228" s="92"/>
    </row>
    <row r="229" spans="9:13" s="46" customFormat="1" x14ac:dyDescent="0.25">
      <c r="I229" s="81"/>
      <c r="J229" s="81"/>
      <c r="K229" s="92"/>
      <c r="L229" s="92"/>
      <c r="M229" s="92"/>
    </row>
    <row r="230" spans="9:13" s="46" customFormat="1" x14ac:dyDescent="0.25">
      <c r="I230" s="81"/>
      <c r="J230" s="81"/>
      <c r="K230" s="92"/>
      <c r="L230" s="92"/>
      <c r="M230" s="92"/>
    </row>
    <row r="231" spans="9:13" s="46" customFormat="1" x14ac:dyDescent="0.25">
      <c r="I231" s="81"/>
      <c r="J231" s="81"/>
      <c r="K231" s="92"/>
      <c r="L231" s="92"/>
      <c r="M231" s="92"/>
    </row>
    <row r="232" spans="9:13" s="46" customFormat="1" x14ac:dyDescent="0.25">
      <c r="I232" s="81"/>
      <c r="J232" s="81"/>
      <c r="K232" s="92"/>
      <c r="L232" s="92"/>
      <c r="M232" s="92"/>
    </row>
    <row r="233" spans="9:13" s="46" customFormat="1" x14ac:dyDescent="0.25">
      <c r="I233" s="81"/>
      <c r="J233" s="81"/>
      <c r="K233" s="92"/>
      <c r="L233" s="92"/>
      <c r="M233" s="92"/>
    </row>
    <row r="234" spans="9:13" s="46" customFormat="1" x14ac:dyDescent="0.25">
      <c r="I234" s="81"/>
      <c r="J234" s="81"/>
      <c r="K234" s="92"/>
      <c r="L234" s="92"/>
      <c r="M234" s="92"/>
    </row>
    <row r="235" spans="9:13" s="46" customFormat="1" x14ac:dyDescent="0.25">
      <c r="I235" s="81"/>
      <c r="J235" s="81"/>
      <c r="K235" s="92"/>
      <c r="L235" s="92"/>
      <c r="M235" s="92"/>
    </row>
    <row r="236" spans="9:13" s="46" customFormat="1" x14ac:dyDescent="0.25">
      <c r="I236" s="81"/>
      <c r="J236" s="81"/>
      <c r="K236" s="92"/>
      <c r="L236" s="92"/>
      <c r="M236" s="92"/>
    </row>
    <row r="237" spans="9:13" s="46" customFormat="1" x14ac:dyDescent="0.25">
      <c r="I237" s="81"/>
      <c r="J237" s="81"/>
      <c r="K237" s="92"/>
      <c r="L237" s="92"/>
      <c r="M237" s="92"/>
    </row>
    <row r="238" spans="9:13" s="46" customFormat="1" x14ac:dyDescent="0.25">
      <c r="I238" s="81"/>
      <c r="J238" s="81"/>
      <c r="K238" s="92"/>
      <c r="L238" s="92"/>
      <c r="M238" s="92"/>
    </row>
    <row r="239" spans="9:13" s="46" customFormat="1" x14ac:dyDescent="0.25">
      <c r="I239" s="81"/>
      <c r="J239" s="81"/>
      <c r="K239" s="92"/>
      <c r="L239" s="92"/>
      <c r="M239" s="92"/>
    </row>
    <row r="240" spans="9:13" s="46" customFormat="1" x14ac:dyDescent="0.25">
      <c r="I240" s="81"/>
      <c r="J240" s="81"/>
      <c r="K240" s="92"/>
      <c r="L240" s="92"/>
      <c r="M240" s="92"/>
    </row>
    <row r="241" spans="9:13" s="46" customFormat="1" x14ac:dyDescent="0.25">
      <c r="I241" s="81"/>
      <c r="J241" s="81"/>
      <c r="K241" s="92"/>
      <c r="L241" s="92"/>
      <c r="M241" s="92"/>
    </row>
    <row r="242" spans="9:13" s="46" customFormat="1" x14ac:dyDescent="0.25">
      <c r="I242" s="81"/>
      <c r="J242" s="81"/>
      <c r="K242" s="92"/>
      <c r="L242" s="92"/>
      <c r="M242" s="92"/>
    </row>
    <row r="243" spans="9:13" s="46" customFormat="1" x14ac:dyDescent="0.25">
      <c r="I243" s="81"/>
      <c r="J243" s="81"/>
      <c r="K243" s="92"/>
      <c r="L243" s="92"/>
      <c r="M243" s="92"/>
    </row>
    <row r="244" spans="9:13" s="46" customFormat="1" x14ac:dyDescent="0.25">
      <c r="I244" s="81"/>
      <c r="J244" s="81"/>
      <c r="K244" s="92"/>
      <c r="L244" s="92"/>
      <c r="M244" s="92"/>
    </row>
    <row r="245" spans="9:13" s="46" customFormat="1" x14ac:dyDescent="0.25">
      <c r="I245" s="81"/>
      <c r="J245" s="81"/>
      <c r="K245" s="92"/>
      <c r="L245" s="92"/>
      <c r="M245" s="92"/>
    </row>
    <row r="246" spans="9:13" s="46" customFormat="1" x14ac:dyDescent="0.25">
      <c r="I246" s="81"/>
      <c r="J246" s="81"/>
      <c r="K246" s="92"/>
      <c r="L246" s="92"/>
      <c r="M246" s="92"/>
    </row>
    <row r="247" spans="9:13" s="46" customFormat="1" x14ac:dyDescent="0.25">
      <c r="I247" s="81"/>
      <c r="J247" s="81"/>
      <c r="K247" s="92"/>
      <c r="L247" s="92"/>
      <c r="M247" s="92"/>
    </row>
    <row r="248" spans="9:13" s="46" customFormat="1" x14ac:dyDescent="0.25">
      <c r="I248" s="81"/>
      <c r="J248" s="81"/>
      <c r="K248" s="92"/>
      <c r="L248" s="92"/>
      <c r="M248" s="92"/>
    </row>
    <row r="249" spans="9:13" s="46" customFormat="1" x14ac:dyDescent="0.25">
      <c r="I249" s="81"/>
      <c r="J249" s="81"/>
      <c r="K249" s="92"/>
      <c r="L249" s="92"/>
      <c r="M249" s="92"/>
    </row>
    <row r="250" spans="9:13" s="46" customFormat="1" x14ac:dyDescent="0.25">
      <c r="I250" s="81"/>
      <c r="J250" s="81"/>
      <c r="K250" s="92"/>
      <c r="L250" s="92"/>
      <c r="M250" s="92"/>
    </row>
    <row r="251" spans="9:13" s="46" customFormat="1" x14ac:dyDescent="0.25">
      <c r="I251" s="81"/>
      <c r="J251" s="81"/>
      <c r="K251" s="92"/>
      <c r="L251" s="92"/>
      <c r="M251" s="92"/>
    </row>
    <row r="252" spans="9:13" s="46" customFormat="1" x14ac:dyDescent="0.25">
      <c r="I252" s="81"/>
      <c r="J252" s="81"/>
      <c r="K252" s="92"/>
      <c r="L252" s="92"/>
      <c r="M252" s="92"/>
    </row>
    <row r="253" spans="9:13" s="46" customFormat="1" x14ac:dyDescent="0.25">
      <c r="I253" s="81"/>
      <c r="J253" s="81"/>
      <c r="K253" s="92"/>
      <c r="L253" s="92"/>
      <c r="M253" s="92"/>
    </row>
    <row r="254" spans="9:13" s="46" customFormat="1" x14ac:dyDescent="0.25">
      <c r="I254" s="81"/>
      <c r="J254" s="81"/>
      <c r="K254" s="92"/>
      <c r="L254" s="92"/>
      <c r="M254" s="92"/>
    </row>
    <row r="255" spans="9:13" s="46" customFormat="1" x14ac:dyDescent="0.25">
      <c r="I255" s="81"/>
      <c r="J255" s="81"/>
      <c r="K255" s="92"/>
      <c r="L255" s="92"/>
      <c r="M255" s="92"/>
    </row>
    <row r="256" spans="9:13" s="46" customFormat="1" x14ac:dyDescent="0.25">
      <c r="I256" s="81"/>
      <c r="J256" s="81"/>
      <c r="K256" s="92"/>
      <c r="L256" s="92"/>
      <c r="M256" s="92"/>
    </row>
    <row r="257" spans="9:13" s="46" customFormat="1" x14ac:dyDescent="0.25">
      <c r="I257" s="81"/>
      <c r="J257" s="81"/>
      <c r="K257" s="92"/>
      <c r="L257" s="92"/>
      <c r="M257" s="92"/>
    </row>
    <row r="258" spans="9:13" s="46" customFormat="1" x14ac:dyDescent="0.25">
      <c r="I258" s="81"/>
      <c r="J258" s="81"/>
      <c r="K258" s="92"/>
      <c r="L258" s="92"/>
      <c r="M258" s="92"/>
    </row>
    <row r="259" spans="9:13" s="46" customFormat="1" x14ac:dyDescent="0.25">
      <c r="I259" s="81"/>
      <c r="J259" s="81"/>
      <c r="K259" s="92"/>
      <c r="L259" s="92"/>
      <c r="M259" s="92"/>
    </row>
    <row r="260" spans="9:13" s="46" customFormat="1" x14ac:dyDescent="0.25">
      <c r="I260" s="81"/>
      <c r="J260" s="81"/>
      <c r="K260" s="92"/>
      <c r="L260" s="92"/>
      <c r="M260" s="92"/>
    </row>
    <row r="261" spans="9:13" s="46" customFormat="1" x14ac:dyDescent="0.25">
      <c r="I261" s="81"/>
      <c r="J261" s="81"/>
      <c r="K261" s="92"/>
      <c r="L261" s="92"/>
      <c r="M261" s="92"/>
    </row>
    <row r="262" spans="9:13" s="46" customFormat="1" x14ac:dyDescent="0.25">
      <c r="I262" s="81"/>
      <c r="J262" s="81"/>
      <c r="K262" s="92"/>
      <c r="L262" s="92"/>
      <c r="M262" s="92"/>
    </row>
    <row r="263" spans="9:13" s="46" customFormat="1" x14ac:dyDescent="0.25">
      <c r="I263" s="81"/>
      <c r="J263" s="81"/>
      <c r="K263" s="92"/>
      <c r="L263" s="92"/>
      <c r="M263" s="92"/>
    </row>
    <row r="264" spans="9:13" s="46" customFormat="1" x14ac:dyDescent="0.25">
      <c r="I264" s="81"/>
      <c r="J264" s="81"/>
      <c r="K264" s="92"/>
      <c r="L264" s="92"/>
      <c r="M264" s="92"/>
    </row>
    <row r="265" spans="9:13" s="46" customFormat="1" x14ac:dyDescent="0.25">
      <c r="I265" s="81"/>
      <c r="J265" s="81"/>
      <c r="K265" s="92"/>
      <c r="L265" s="92"/>
      <c r="M265" s="92"/>
    </row>
    <row r="266" spans="9:13" s="46" customFormat="1" x14ac:dyDescent="0.25">
      <c r="I266" s="81"/>
      <c r="J266" s="81"/>
      <c r="K266" s="92"/>
      <c r="L266" s="92"/>
      <c r="M266" s="92"/>
    </row>
    <row r="267" spans="9:13" s="46" customFormat="1" x14ac:dyDescent="0.25">
      <c r="I267" s="81"/>
      <c r="J267" s="81"/>
      <c r="K267" s="92"/>
      <c r="L267" s="92"/>
      <c r="M267" s="92"/>
    </row>
    <row r="268" spans="9:13" s="46" customFormat="1" x14ac:dyDescent="0.25">
      <c r="I268" s="81"/>
      <c r="J268" s="81"/>
      <c r="K268" s="92"/>
      <c r="L268" s="92"/>
      <c r="M268" s="92"/>
    </row>
    <row r="269" spans="9:13" s="46" customFormat="1" x14ac:dyDescent="0.25">
      <c r="I269" s="81"/>
      <c r="J269" s="81"/>
      <c r="K269" s="92"/>
      <c r="L269" s="92"/>
      <c r="M269" s="92"/>
    </row>
    <row r="270" spans="9:13" s="46" customFormat="1" x14ac:dyDescent="0.25">
      <c r="I270" s="81"/>
      <c r="J270" s="81"/>
      <c r="K270" s="92"/>
      <c r="L270" s="92"/>
      <c r="M270" s="92"/>
    </row>
    <row r="271" spans="9:13" s="46" customFormat="1" x14ac:dyDescent="0.25">
      <c r="I271" s="81"/>
      <c r="J271" s="81"/>
      <c r="K271" s="92"/>
      <c r="L271" s="92"/>
      <c r="M271" s="92"/>
    </row>
    <row r="272" spans="9:13" s="46" customFormat="1" x14ac:dyDescent="0.25">
      <c r="I272" s="81"/>
      <c r="J272" s="81"/>
      <c r="K272" s="92"/>
      <c r="L272" s="92"/>
      <c r="M272" s="92"/>
    </row>
    <row r="273" spans="9:13" s="46" customFormat="1" x14ac:dyDescent="0.25">
      <c r="I273" s="81"/>
      <c r="J273" s="81"/>
      <c r="K273" s="92"/>
      <c r="L273" s="92"/>
      <c r="M273" s="92"/>
    </row>
    <row r="274" spans="9:13" s="46" customFormat="1" x14ac:dyDescent="0.25">
      <c r="I274" s="81"/>
      <c r="J274" s="81"/>
      <c r="K274" s="92"/>
      <c r="L274" s="92"/>
      <c r="M274" s="92"/>
    </row>
    <row r="275" spans="9:13" s="46" customFormat="1" x14ac:dyDescent="0.25">
      <c r="I275" s="81"/>
      <c r="J275" s="81"/>
      <c r="K275" s="92"/>
      <c r="L275" s="92"/>
      <c r="M275" s="92"/>
    </row>
    <row r="276" spans="9:13" s="46" customFormat="1" x14ac:dyDescent="0.25">
      <c r="I276" s="81"/>
      <c r="J276" s="81"/>
      <c r="K276" s="92"/>
      <c r="L276" s="92"/>
      <c r="M276" s="92"/>
    </row>
    <row r="277" spans="9:13" s="46" customFormat="1" x14ac:dyDescent="0.25">
      <c r="I277" s="81"/>
      <c r="J277" s="81"/>
      <c r="K277" s="92"/>
      <c r="L277" s="92"/>
      <c r="M277" s="92"/>
    </row>
    <row r="278" spans="9:13" s="46" customFormat="1" x14ac:dyDescent="0.25">
      <c r="I278" s="81"/>
      <c r="J278" s="81"/>
      <c r="K278" s="92"/>
      <c r="L278" s="92"/>
      <c r="M278" s="92"/>
    </row>
    <row r="279" spans="9:13" s="46" customFormat="1" x14ac:dyDescent="0.25">
      <c r="I279" s="81"/>
      <c r="J279" s="81"/>
      <c r="K279" s="92"/>
      <c r="L279" s="92"/>
      <c r="M279" s="92"/>
    </row>
    <row r="280" spans="9:13" s="46" customFormat="1" x14ac:dyDescent="0.25">
      <c r="I280" s="81"/>
      <c r="J280" s="81"/>
      <c r="K280" s="92"/>
      <c r="L280" s="92"/>
      <c r="M280" s="92"/>
    </row>
    <row r="281" spans="9:13" s="46" customFormat="1" x14ac:dyDescent="0.25">
      <c r="I281" s="81"/>
      <c r="J281" s="81"/>
      <c r="K281" s="92"/>
      <c r="L281" s="92"/>
      <c r="M281" s="92"/>
    </row>
    <row r="283" spans="9:13" s="46" customFormat="1" x14ac:dyDescent="0.25">
      <c r="I283" s="81"/>
      <c r="J283" s="81"/>
      <c r="K283" s="92"/>
      <c r="L283" s="92"/>
      <c r="M283" s="92"/>
    </row>
    <row r="284" spans="9:13" s="46" customFormat="1" x14ac:dyDescent="0.25">
      <c r="I284" s="81"/>
      <c r="J284" s="81"/>
      <c r="K284" s="92"/>
      <c r="L284" s="92"/>
      <c r="M284" s="92"/>
    </row>
    <row r="285" spans="9:13" s="46" customFormat="1" x14ac:dyDescent="0.25">
      <c r="I285" s="81"/>
      <c r="J285" s="81"/>
      <c r="K285" s="92"/>
      <c r="L285" s="92"/>
      <c r="M285" s="92"/>
    </row>
    <row r="286" spans="9:13" s="46" customFormat="1" x14ac:dyDescent="0.25">
      <c r="I286" s="81"/>
      <c r="J286" s="81"/>
      <c r="K286" s="92"/>
      <c r="L286" s="92"/>
      <c r="M286" s="92"/>
    </row>
    <row r="287" spans="9:13" s="46" customFormat="1" x14ac:dyDescent="0.25">
      <c r="I287" s="81"/>
      <c r="J287" s="81"/>
      <c r="K287" s="92"/>
      <c r="L287" s="92"/>
      <c r="M287" s="92"/>
    </row>
    <row r="288" spans="9:13" s="46" customFormat="1" x14ac:dyDescent="0.25">
      <c r="I288" s="81"/>
      <c r="J288" s="81"/>
      <c r="K288" s="92"/>
      <c r="L288" s="92"/>
      <c r="M288" s="92"/>
    </row>
    <row r="289" spans="9:13" s="46" customFormat="1" x14ac:dyDescent="0.25">
      <c r="I289" s="81"/>
      <c r="J289" s="81"/>
      <c r="K289" s="92"/>
      <c r="L289" s="92"/>
      <c r="M289" s="92"/>
    </row>
    <row r="290" spans="9:13" s="46" customFormat="1" x14ac:dyDescent="0.25">
      <c r="I290" s="81"/>
      <c r="J290" s="81"/>
      <c r="K290" s="92"/>
      <c r="L290" s="92"/>
      <c r="M290" s="92"/>
    </row>
    <row r="291" spans="9:13" s="46" customFormat="1" x14ac:dyDescent="0.25">
      <c r="I291" s="81"/>
      <c r="J291" s="81"/>
      <c r="K291" s="92"/>
      <c r="L291" s="92"/>
      <c r="M291" s="92"/>
    </row>
    <row r="293" spans="9:13" s="46" customFormat="1" x14ac:dyDescent="0.25">
      <c r="I293" s="81"/>
      <c r="J293" s="81"/>
      <c r="K293" s="92"/>
      <c r="L293" s="92"/>
      <c r="M293" s="92"/>
    </row>
    <row r="294" spans="9:13" s="46" customFormat="1" x14ac:dyDescent="0.25">
      <c r="I294" s="81"/>
      <c r="J294" s="81"/>
      <c r="K294" s="92"/>
      <c r="L294" s="92"/>
      <c r="M294" s="92"/>
    </row>
    <row r="295" spans="9:13" s="46" customFormat="1" x14ac:dyDescent="0.25">
      <c r="I295" s="81"/>
      <c r="J295" s="81"/>
      <c r="K295" s="92"/>
      <c r="L295" s="92"/>
      <c r="M295" s="92"/>
    </row>
    <row r="296" spans="9:13" s="46" customFormat="1" x14ac:dyDescent="0.25">
      <c r="I296" s="81"/>
      <c r="J296" s="81"/>
      <c r="K296" s="92"/>
      <c r="L296" s="92"/>
      <c r="M296" s="92"/>
    </row>
    <row r="297" spans="9:13" s="46" customFormat="1" x14ac:dyDescent="0.25">
      <c r="I297" s="81"/>
      <c r="J297" s="81"/>
      <c r="K297" s="92"/>
      <c r="L297" s="92"/>
      <c r="M297" s="92"/>
    </row>
  </sheetData>
  <mergeCells count="10">
    <mergeCell ref="A7:A8"/>
    <mergeCell ref="B7:B8"/>
    <mergeCell ref="C7:C8"/>
    <mergeCell ref="D7:F7"/>
    <mergeCell ref="G7:H7"/>
    <mergeCell ref="J7:J8"/>
    <mergeCell ref="I7:I8"/>
    <mergeCell ref="K7:K8"/>
    <mergeCell ref="L7:L8"/>
    <mergeCell ref="M7:M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/>
  <dimension ref="A1:WVU63"/>
  <sheetViews>
    <sheetView showGridLines="0" topLeftCell="A5" zoomScaleNormal="100" workbookViewId="0">
      <selection activeCell="C18" sqref="C18"/>
    </sheetView>
  </sheetViews>
  <sheetFormatPr baseColWidth="10" defaultColWidth="0" defaultRowHeight="15" x14ac:dyDescent="0.25"/>
  <cols>
    <col min="1" max="1" width="8.140625" customWidth="1"/>
    <col min="2" max="2" width="8.5703125" customWidth="1"/>
    <col min="3" max="3" width="31.7109375" customWidth="1"/>
    <col min="4" max="4" width="5.5703125" customWidth="1"/>
    <col min="5" max="5" width="4" customWidth="1"/>
    <col min="6" max="6" width="3.5703125" customWidth="1"/>
    <col min="7" max="7" width="5.85546875" customWidth="1"/>
    <col min="8" max="8" width="28.5703125" customWidth="1"/>
    <col min="9" max="9" width="8.28515625" customWidth="1"/>
    <col min="10" max="11" width="8.7109375" customWidth="1"/>
    <col min="12" max="12" width="0.85546875" style="62" customWidth="1"/>
    <col min="13" max="256" width="0" style="62" hidden="1"/>
    <col min="257" max="257" width="19.7109375" style="62" hidden="1" customWidth="1"/>
    <col min="258" max="258" width="4.140625" style="62" hidden="1" customWidth="1"/>
    <col min="259" max="259" width="10.85546875" style="62" hidden="1" customWidth="1"/>
    <col min="260" max="260" width="20.5703125" style="62" hidden="1" customWidth="1"/>
    <col min="261" max="261" width="17.28515625" style="62" hidden="1" customWidth="1"/>
    <col min="262" max="262" width="12.28515625" style="62" hidden="1" customWidth="1"/>
    <col min="263" max="263" width="14" style="62" hidden="1" customWidth="1"/>
    <col min="264" max="264" width="8" style="62" hidden="1" customWidth="1"/>
    <col min="265" max="265" width="32.7109375" style="62" hidden="1" customWidth="1"/>
    <col min="266" max="267" width="11.7109375" style="62" hidden="1" customWidth="1"/>
    <col min="268" max="268" width="0.85546875" style="62" hidden="1" customWidth="1"/>
    <col min="269" max="512" width="0" style="62" hidden="1"/>
    <col min="513" max="513" width="19.7109375" style="62" hidden="1" customWidth="1"/>
    <col min="514" max="514" width="4.140625" style="62" hidden="1" customWidth="1"/>
    <col min="515" max="515" width="10.85546875" style="62" hidden="1" customWidth="1"/>
    <col min="516" max="516" width="20.5703125" style="62" hidden="1" customWidth="1"/>
    <col min="517" max="517" width="17.28515625" style="62" hidden="1" customWidth="1"/>
    <col min="518" max="518" width="12.28515625" style="62" hidden="1" customWidth="1"/>
    <col min="519" max="519" width="14" style="62" hidden="1" customWidth="1"/>
    <col min="520" max="520" width="8" style="62" hidden="1" customWidth="1"/>
    <col min="521" max="521" width="32.7109375" style="62" hidden="1" customWidth="1"/>
    <col min="522" max="523" width="11.7109375" style="62" hidden="1" customWidth="1"/>
    <col min="524" max="524" width="0.85546875" style="62" hidden="1" customWidth="1"/>
    <col min="525" max="768" width="0" style="62" hidden="1"/>
    <col min="769" max="769" width="19.7109375" style="62" hidden="1" customWidth="1"/>
    <col min="770" max="770" width="4.140625" style="62" hidden="1" customWidth="1"/>
    <col min="771" max="771" width="10.85546875" style="62" hidden="1" customWidth="1"/>
    <col min="772" max="772" width="20.5703125" style="62" hidden="1" customWidth="1"/>
    <col min="773" max="773" width="17.28515625" style="62" hidden="1" customWidth="1"/>
    <col min="774" max="774" width="12.28515625" style="62" hidden="1" customWidth="1"/>
    <col min="775" max="775" width="14" style="62" hidden="1" customWidth="1"/>
    <col min="776" max="776" width="8" style="62" hidden="1" customWidth="1"/>
    <col min="777" max="777" width="32.7109375" style="62" hidden="1" customWidth="1"/>
    <col min="778" max="779" width="11.7109375" style="62" hidden="1" customWidth="1"/>
    <col min="780" max="780" width="0.85546875" style="62" hidden="1" customWidth="1"/>
    <col min="781" max="1024" width="0" style="62" hidden="1"/>
    <col min="1025" max="1025" width="19.7109375" style="62" hidden="1" customWidth="1"/>
    <col min="1026" max="1026" width="4.140625" style="62" hidden="1" customWidth="1"/>
    <col min="1027" max="1027" width="10.85546875" style="62" hidden="1" customWidth="1"/>
    <col min="1028" max="1028" width="20.5703125" style="62" hidden="1" customWidth="1"/>
    <col min="1029" max="1029" width="17.28515625" style="62" hidden="1" customWidth="1"/>
    <col min="1030" max="1030" width="12.28515625" style="62" hidden="1" customWidth="1"/>
    <col min="1031" max="1031" width="14" style="62" hidden="1" customWidth="1"/>
    <col min="1032" max="1032" width="8" style="62" hidden="1" customWidth="1"/>
    <col min="1033" max="1033" width="32.7109375" style="62" hidden="1" customWidth="1"/>
    <col min="1034" max="1035" width="11.7109375" style="62" hidden="1" customWidth="1"/>
    <col min="1036" max="1036" width="0.85546875" style="62" hidden="1" customWidth="1"/>
    <col min="1037" max="1280" width="0" style="62" hidden="1"/>
    <col min="1281" max="1281" width="19.7109375" style="62" hidden="1" customWidth="1"/>
    <col min="1282" max="1282" width="4.140625" style="62" hidden="1" customWidth="1"/>
    <col min="1283" max="1283" width="10.85546875" style="62" hidden="1" customWidth="1"/>
    <col min="1284" max="1284" width="20.5703125" style="62" hidden="1" customWidth="1"/>
    <col min="1285" max="1285" width="17.28515625" style="62" hidden="1" customWidth="1"/>
    <col min="1286" max="1286" width="12.28515625" style="62" hidden="1" customWidth="1"/>
    <col min="1287" max="1287" width="14" style="62" hidden="1" customWidth="1"/>
    <col min="1288" max="1288" width="8" style="62" hidden="1" customWidth="1"/>
    <col min="1289" max="1289" width="32.7109375" style="62" hidden="1" customWidth="1"/>
    <col min="1290" max="1291" width="11.7109375" style="62" hidden="1" customWidth="1"/>
    <col min="1292" max="1292" width="0.85546875" style="62" hidden="1" customWidth="1"/>
    <col min="1293" max="1536" width="0" style="62" hidden="1"/>
    <col min="1537" max="1537" width="19.7109375" style="62" hidden="1" customWidth="1"/>
    <col min="1538" max="1538" width="4.140625" style="62" hidden="1" customWidth="1"/>
    <col min="1539" max="1539" width="10.85546875" style="62" hidden="1" customWidth="1"/>
    <col min="1540" max="1540" width="20.5703125" style="62" hidden="1" customWidth="1"/>
    <col min="1541" max="1541" width="17.28515625" style="62" hidden="1" customWidth="1"/>
    <col min="1542" max="1542" width="12.28515625" style="62" hidden="1" customWidth="1"/>
    <col min="1543" max="1543" width="14" style="62" hidden="1" customWidth="1"/>
    <col min="1544" max="1544" width="8" style="62" hidden="1" customWidth="1"/>
    <col min="1545" max="1545" width="32.7109375" style="62" hidden="1" customWidth="1"/>
    <col min="1546" max="1547" width="11.7109375" style="62" hidden="1" customWidth="1"/>
    <col min="1548" max="1548" width="0.85546875" style="62" hidden="1" customWidth="1"/>
    <col min="1549" max="1792" width="0" style="62" hidden="1"/>
    <col min="1793" max="1793" width="19.7109375" style="62" hidden="1" customWidth="1"/>
    <col min="1794" max="1794" width="4.140625" style="62" hidden="1" customWidth="1"/>
    <col min="1795" max="1795" width="10.85546875" style="62" hidden="1" customWidth="1"/>
    <col min="1796" max="1796" width="20.5703125" style="62" hidden="1" customWidth="1"/>
    <col min="1797" max="1797" width="17.28515625" style="62" hidden="1" customWidth="1"/>
    <col min="1798" max="1798" width="12.28515625" style="62" hidden="1" customWidth="1"/>
    <col min="1799" max="1799" width="14" style="62" hidden="1" customWidth="1"/>
    <col min="1800" max="1800" width="8" style="62" hidden="1" customWidth="1"/>
    <col min="1801" max="1801" width="32.7109375" style="62" hidden="1" customWidth="1"/>
    <col min="1802" max="1803" width="11.7109375" style="62" hidden="1" customWidth="1"/>
    <col min="1804" max="1804" width="0.85546875" style="62" hidden="1" customWidth="1"/>
    <col min="1805" max="2048" width="0" style="62" hidden="1"/>
    <col min="2049" max="2049" width="19.7109375" style="62" hidden="1" customWidth="1"/>
    <col min="2050" max="2050" width="4.140625" style="62" hidden="1" customWidth="1"/>
    <col min="2051" max="2051" width="10.85546875" style="62" hidden="1" customWidth="1"/>
    <col min="2052" max="2052" width="20.5703125" style="62" hidden="1" customWidth="1"/>
    <col min="2053" max="2053" width="17.28515625" style="62" hidden="1" customWidth="1"/>
    <col min="2054" max="2054" width="12.28515625" style="62" hidden="1" customWidth="1"/>
    <col min="2055" max="2055" width="14" style="62" hidden="1" customWidth="1"/>
    <col min="2056" max="2056" width="8" style="62" hidden="1" customWidth="1"/>
    <col min="2057" max="2057" width="32.7109375" style="62" hidden="1" customWidth="1"/>
    <col min="2058" max="2059" width="11.7109375" style="62" hidden="1" customWidth="1"/>
    <col min="2060" max="2060" width="0.85546875" style="62" hidden="1" customWidth="1"/>
    <col min="2061" max="2304" width="0" style="62" hidden="1"/>
    <col min="2305" max="2305" width="19.7109375" style="62" hidden="1" customWidth="1"/>
    <col min="2306" max="2306" width="4.140625" style="62" hidden="1" customWidth="1"/>
    <col min="2307" max="2307" width="10.85546875" style="62" hidden="1" customWidth="1"/>
    <col min="2308" max="2308" width="20.5703125" style="62" hidden="1" customWidth="1"/>
    <col min="2309" max="2309" width="17.28515625" style="62" hidden="1" customWidth="1"/>
    <col min="2310" max="2310" width="12.28515625" style="62" hidden="1" customWidth="1"/>
    <col min="2311" max="2311" width="14" style="62" hidden="1" customWidth="1"/>
    <col min="2312" max="2312" width="8" style="62" hidden="1" customWidth="1"/>
    <col min="2313" max="2313" width="32.7109375" style="62" hidden="1" customWidth="1"/>
    <col min="2314" max="2315" width="11.7109375" style="62" hidden="1" customWidth="1"/>
    <col min="2316" max="2316" width="0.85546875" style="62" hidden="1" customWidth="1"/>
    <col min="2317" max="2560" width="0" style="62" hidden="1"/>
    <col min="2561" max="2561" width="19.7109375" style="62" hidden="1" customWidth="1"/>
    <col min="2562" max="2562" width="4.140625" style="62" hidden="1" customWidth="1"/>
    <col min="2563" max="2563" width="10.85546875" style="62" hidden="1" customWidth="1"/>
    <col min="2564" max="2564" width="20.5703125" style="62" hidden="1" customWidth="1"/>
    <col min="2565" max="2565" width="17.28515625" style="62" hidden="1" customWidth="1"/>
    <col min="2566" max="2566" width="12.28515625" style="62" hidden="1" customWidth="1"/>
    <col min="2567" max="2567" width="14" style="62" hidden="1" customWidth="1"/>
    <col min="2568" max="2568" width="8" style="62" hidden="1" customWidth="1"/>
    <col min="2569" max="2569" width="32.7109375" style="62" hidden="1" customWidth="1"/>
    <col min="2570" max="2571" width="11.7109375" style="62" hidden="1" customWidth="1"/>
    <col min="2572" max="2572" width="0.85546875" style="62" hidden="1" customWidth="1"/>
    <col min="2573" max="2816" width="0" style="62" hidden="1"/>
    <col min="2817" max="2817" width="19.7109375" style="62" hidden="1" customWidth="1"/>
    <col min="2818" max="2818" width="4.140625" style="62" hidden="1" customWidth="1"/>
    <col min="2819" max="2819" width="10.85546875" style="62" hidden="1" customWidth="1"/>
    <col min="2820" max="2820" width="20.5703125" style="62" hidden="1" customWidth="1"/>
    <col min="2821" max="2821" width="17.28515625" style="62" hidden="1" customWidth="1"/>
    <col min="2822" max="2822" width="12.28515625" style="62" hidden="1" customWidth="1"/>
    <col min="2823" max="2823" width="14" style="62" hidden="1" customWidth="1"/>
    <col min="2824" max="2824" width="8" style="62" hidden="1" customWidth="1"/>
    <col min="2825" max="2825" width="32.7109375" style="62" hidden="1" customWidth="1"/>
    <col min="2826" max="2827" width="11.7109375" style="62" hidden="1" customWidth="1"/>
    <col min="2828" max="2828" width="0.85546875" style="62" hidden="1" customWidth="1"/>
    <col min="2829" max="3072" width="0" style="62" hidden="1"/>
    <col min="3073" max="3073" width="19.7109375" style="62" hidden="1" customWidth="1"/>
    <col min="3074" max="3074" width="4.140625" style="62" hidden="1" customWidth="1"/>
    <col min="3075" max="3075" width="10.85546875" style="62" hidden="1" customWidth="1"/>
    <col min="3076" max="3076" width="20.5703125" style="62" hidden="1" customWidth="1"/>
    <col min="3077" max="3077" width="17.28515625" style="62" hidden="1" customWidth="1"/>
    <col min="3078" max="3078" width="12.28515625" style="62" hidden="1" customWidth="1"/>
    <col min="3079" max="3079" width="14" style="62" hidden="1" customWidth="1"/>
    <col min="3080" max="3080" width="8" style="62" hidden="1" customWidth="1"/>
    <col min="3081" max="3081" width="32.7109375" style="62" hidden="1" customWidth="1"/>
    <col min="3082" max="3083" width="11.7109375" style="62" hidden="1" customWidth="1"/>
    <col min="3084" max="3084" width="0.85546875" style="62" hidden="1" customWidth="1"/>
    <col min="3085" max="3328" width="0" style="62" hidden="1"/>
    <col min="3329" max="3329" width="19.7109375" style="62" hidden="1" customWidth="1"/>
    <col min="3330" max="3330" width="4.140625" style="62" hidden="1" customWidth="1"/>
    <col min="3331" max="3331" width="10.85546875" style="62" hidden="1" customWidth="1"/>
    <col min="3332" max="3332" width="20.5703125" style="62" hidden="1" customWidth="1"/>
    <col min="3333" max="3333" width="17.28515625" style="62" hidden="1" customWidth="1"/>
    <col min="3334" max="3334" width="12.28515625" style="62" hidden="1" customWidth="1"/>
    <col min="3335" max="3335" width="14" style="62" hidden="1" customWidth="1"/>
    <col min="3336" max="3336" width="8" style="62" hidden="1" customWidth="1"/>
    <col min="3337" max="3337" width="32.7109375" style="62" hidden="1" customWidth="1"/>
    <col min="3338" max="3339" width="11.7109375" style="62" hidden="1" customWidth="1"/>
    <col min="3340" max="3340" width="0.85546875" style="62" hidden="1" customWidth="1"/>
    <col min="3341" max="3584" width="0" style="62" hidden="1"/>
    <col min="3585" max="3585" width="19.7109375" style="62" hidden="1" customWidth="1"/>
    <col min="3586" max="3586" width="4.140625" style="62" hidden="1" customWidth="1"/>
    <col min="3587" max="3587" width="10.85546875" style="62" hidden="1" customWidth="1"/>
    <col min="3588" max="3588" width="20.5703125" style="62" hidden="1" customWidth="1"/>
    <col min="3589" max="3589" width="17.28515625" style="62" hidden="1" customWidth="1"/>
    <col min="3590" max="3590" width="12.28515625" style="62" hidden="1" customWidth="1"/>
    <col min="3591" max="3591" width="14" style="62" hidden="1" customWidth="1"/>
    <col min="3592" max="3592" width="8" style="62" hidden="1" customWidth="1"/>
    <col min="3593" max="3593" width="32.7109375" style="62" hidden="1" customWidth="1"/>
    <col min="3594" max="3595" width="11.7109375" style="62" hidden="1" customWidth="1"/>
    <col min="3596" max="3596" width="0.85546875" style="62" hidden="1" customWidth="1"/>
    <col min="3597" max="3840" width="0" style="62" hidden="1"/>
    <col min="3841" max="3841" width="19.7109375" style="62" hidden="1" customWidth="1"/>
    <col min="3842" max="3842" width="4.140625" style="62" hidden="1" customWidth="1"/>
    <col min="3843" max="3843" width="10.85546875" style="62" hidden="1" customWidth="1"/>
    <col min="3844" max="3844" width="20.5703125" style="62" hidden="1" customWidth="1"/>
    <col min="3845" max="3845" width="17.28515625" style="62" hidden="1" customWidth="1"/>
    <col min="3846" max="3846" width="12.28515625" style="62" hidden="1" customWidth="1"/>
    <col min="3847" max="3847" width="14" style="62" hidden="1" customWidth="1"/>
    <col min="3848" max="3848" width="8" style="62" hidden="1" customWidth="1"/>
    <col min="3849" max="3849" width="32.7109375" style="62" hidden="1" customWidth="1"/>
    <col min="3850" max="3851" width="11.7109375" style="62" hidden="1" customWidth="1"/>
    <col min="3852" max="3852" width="0.85546875" style="62" hidden="1" customWidth="1"/>
    <col min="3853" max="4096" width="0" style="62" hidden="1"/>
    <col min="4097" max="4097" width="19.7109375" style="62" hidden="1" customWidth="1"/>
    <col min="4098" max="4098" width="4.140625" style="62" hidden="1" customWidth="1"/>
    <col min="4099" max="4099" width="10.85546875" style="62" hidden="1" customWidth="1"/>
    <col min="4100" max="4100" width="20.5703125" style="62" hidden="1" customWidth="1"/>
    <col min="4101" max="4101" width="17.28515625" style="62" hidden="1" customWidth="1"/>
    <col min="4102" max="4102" width="12.28515625" style="62" hidden="1" customWidth="1"/>
    <col min="4103" max="4103" width="14" style="62" hidden="1" customWidth="1"/>
    <col min="4104" max="4104" width="8" style="62" hidden="1" customWidth="1"/>
    <col min="4105" max="4105" width="32.7109375" style="62" hidden="1" customWidth="1"/>
    <col min="4106" max="4107" width="11.7109375" style="62" hidden="1" customWidth="1"/>
    <col min="4108" max="4108" width="0.85546875" style="62" hidden="1" customWidth="1"/>
    <col min="4109" max="4352" width="0" style="62" hidden="1"/>
    <col min="4353" max="4353" width="19.7109375" style="62" hidden="1" customWidth="1"/>
    <col min="4354" max="4354" width="4.140625" style="62" hidden="1" customWidth="1"/>
    <col min="4355" max="4355" width="10.85546875" style="62" hidden="1" customWidth="1"/>
    <col min="4356" max="4356" width="20.5703125" style="62" hidden="1" customWidth="1"/>
    <col min="4357" max="4357" width="17.28515625" style="62" hidden="1" customWidth="1"/>
    <col min="4358" max="4358" width="12.28515625" style="62" hidden="1" customWidth="1"/>
    <col min="4359" max="4359" width="14" style="62" hidden="1" customWidth="1"/>
    <col min="4360" max="4360" width="8" style="62" hidden="1" customWidth="1"/>
    <col min="4361" max="4361" width="32.7109375" style="62" hidden="1" customWidth="1"/>
    <col min="4362" max="4363" width="11.7109375" style="62" hidden="1" customWidth="1"/>
    <col min="4364" max="4364" width="0.85546875" style="62" hidden="1" customWidth="1"/>
    <col min="4365" max="4608" width="0" style="62" hidden="1"/>
    <col min="4609" max="4609" width="19.7109375" style="62" hidden="1" customWidth="1"/>
    <col min="4610" max="4610" width="4.140625" style="62" hidden="1" customWidth="1"/>
    <col min="4611" max="4611" width="10.85546875" style="62" hidden="1" customWidth="1"/>
    <col min="4612" max="4612" width="20.5703125" style="62" hidden="1" customWidth="1"/>
    <col min="4613" max="4613" width="17.28515625" style="62" hidden="1" customWidth="1"/>
    <col min="4614" max="4614" width="12.28515625" style="62" hidden="1" customWidth="1"/>
    <col min="4615" max="4615" width="14" style="62" hidden="1" customWidth="1"/>
    <col min="4616" max="4616" width="8" style="62" hidden="1" customWidth="1"/>
    <col min="4617" max="4617" width="32.7109375" style="62" hidden="1" customWidth="1"/>
    <col min="4618" max="4619" width="11.7109375" style="62" hidden="1" customWidth="1"/>
    <col min="4620" max="4620" width="0.85546875" style="62" hidden="1" customWidth="1"/>
    <col min="4621" max="4864" width="0" style="62" hidden="1"/>
    <col min="4865" max="4865" width="19.7109375" style="62" hidden="1" customWidth="1"/>
    <col min="4866" max="4866" width="4.140625" style="62" hidden="1" customWidth="1"/>
    <col min="4867" max="4867" width="10.85546875" style="62" hidden="1" customWidth="1"/>
    <col min="4868" max="4868" width="20.5703125" style="62" hidden="1" customWidth="1"/>
    <col min="4869" max="4869" width="17.28515625" style="62" hidden="1" customWidth="1"/>
    <col min="4870" max="4870" width="12.28515625" style="62" hidden="1" customWidth="1"/>
    <col min="4871" max="4871" width="14" style="62" hidden="1" customWidth="1"/>
    <col min="4872" max="4872" width="8" style="62" hidden="1" customWidth="1"/>
    <col min="4873" max="4873" width="32.7109375" style="62" hidden="1" customWidth="1"/>
    <col min="4874" max="4875" width="11.7109375" style="62" hidden="1" customWidth="1"/>
    <col min="4876" max="4876" width="0.85546875" style="62" hidden="1" customWidth="1"/>
    <col min="4877" max="5120" width="0" style="62" hidden="1"/>
    <col min="5121" max="5121" width="19.7109375" style="62" hidden="1" customWidth="1"/>
    <col min="5122" max="5122" width="4.140625" style="62" hidden="1" customWidth="1"/>
    <col min="5123" max="5123" width="10.85546875" style="62" hidden="1" customWidth="1"/>
    <col min="5124" max="5124" width="20.5703125" style="62" hidden="1" customWidth="1"/>
    <col min="5125" max="5125" width="17.28515625" style="62" hidden="1" customWidth="1"/>
    <col min="5126" max="5126" width="12.28515625" style="62" hidden="1" customWidth="1"/>
    <col min="5127" max="5127" width="14" style="62" hidden="1" customWidth="1"/>
    <col min="5128" max="5128" width="8" style="62" hidden="1" customWidth="1"/>
    <col min="5129" max="5129" width="32.7109375" style="62" hidden="1" customWidth="1"/>
    <col min="5130" max="5131" width="11.7109375" style="62" hidden="1" customWidth="1"/>
    <col min="5132" max="5132" width="0.85546875" style="62" hidden="1" customWidth="1"/>
    <col min="5133" max="5376" width="0" style="62" hidden="1"/>
    <col min="5377" max="5377" width="19.7109375" style="62" hidden="1" customWidth="1"/>
    <col min="5378" max="5378" width="4.140625" style="62" hidden="1" customWidth="1"/>
    <col min="5379" max="5379" width="10.85546875" style="62" hidden="1" customWidth="1"/>
    <col min="5380" max="5380" width="20.5703125" style="62" hidden="1" customWidth="1"/>
    <col min="5381" max="5381" width="17.28515625" style="62" hidden="1" customWidth="1"/>
    <col min="5382" max="5382" width="12.28515625" style="62" hidden="1" customWidth="1"/>
    <col min="5383" max="5383" width="14" style="62" hidden="1" customWidth="1"/>
    <col min="5384" max="5384" width="8" style="62" hidden="1" customWidth="1"/>
    <col min="5385" max="5385" width="32.7109375" style="62" hidden="1" customWidth="1"/>
    <col min="5386" max="5387" width="11.7109375" style="62" hidden="1" customWidth="1"/>
    <col min="5388" max="5388" width="0.85546875" style="62" hidden="1" customWidth="1"/>
    <col min="5389" max="5632" width="0" style="62" hidden="1"/>
    <col min="5633" max="5633" width="19.7109375" style="62" hidden="1" customWidth="1"/>
    <col min="5634" max="5634" width="4.140625" style="62" hidden="1" customWidth="1"/>
    <col min="5635" max="5635" width="10.85546875" style="62" hidden="1" customWidth="1"/>
    <col min="5636" max="5636" width="20.5703125" style="62" hidden="1" customWidth="1"/>
    <col min="5637" max="5637" width="17.28515625" style="62" hidden="1" customWidth="1"/>
    <col min="5638" max="5638" width="12.28515625" style="62" hidden="1" customWidth="1"/>
    <col min="5639" max="5639" width="14" style="62" hidden="1" customWidth="1"/>
    <col min="5640" max="5640" width="8" style="62" hidden="1" customWidth="1"/>
    <col min="5641" max="5641" width="32.7109375" style="62" hidden="1" customWidth="1"/>
    <col min="5642" max="5643" width="11.7109375" style="62" hidden="1" customWidth="1"/>
    <col min="5644" max="5644" width="0.85546875" style="62" hidden="1" customWidth="1"/>
    <col min="5645" max="5888" width="0" style="62" hidden="1"/>
    <col min="5889" max="5889" width="19.7109375" style="62" hidden="1" customWidth="1"/>
    <col min="5890" max="5890" width="4.140625" style="62" hidden="1" customWidth="1"/>
    <col min="5891" max="5891" width="10.85546875" style="62" hidden="1" customWidth="1"/>
    <col min="5892" max="5892" width="20.5703125" style="62" hidden="1" customWidth="1"/>
    <col min="5893" max="5893" width="17.28515625" style="62" hidden="1" customWidth="1"/>
    <col min="5894" max="5894" width="12.28515625" style="62" hidden="1" customWidth="1"/>
    <col min="5895" max="5895" width="14" style="62" hidden="1" customWidth="1"/>
    <col min="5896" max="5896" width="8" style="62" hidden="1" customWidth="1"/>
    <col min="5897" max="5897" width="32.7109375" style="62" hidden="1" customWidth="1"/>
    <col min="5898" max="5899" width="11.7109375" style="62" hidden="1" customWidth="1"/>
    <col min="5900" max="5900" width="0.85546875" style="62" hidden="1" customWidth="1"/>
    <col min="5901" max="6144" width="0" style="62" hidden="1"/>
    <col min="6145" max="6145" width="19.7109375" style="62" hidden="1" customWidth="1"/>
    <col min="6146" max="6146" width="4.140625" style="62" hidden="1" customWidth="1"/>
    <col min="6147" max="6147" width="10.85546875" style="62" hidden="1" customWidth="1"/>
    <col min="6148" max="6148" width="20.5703125" style="62" hidden="1" customWidth="1"/>
    <col min="6149" max="6149" width="17.28515625" style="62" hidden="1" customWidth="1"/>
    <col min="6150" max="6150" width="12.28515625" style="62" hidden="1" customWidth="1"/>
    <col min="6151" max="6151" width="14" style="62" hidden="1" customWidth="1"/>
    <col min="6152" max="6152" width="8" style="62" hidden="1" customWidth="1"/>
    <col min="6153" max="6153" width="32.7109375" style="62" hidden="1" customWidth="1"/>
    <col min="6154" max="6155" width="11.7109375" style="62" hidden="1" customWidth="1"/>
    <col min="6156" max="6156" width="0.85546875" style="62" hidden="1" customWidth="1"/>
    <col min="6157" max="6400" width="0" style="62" hidden="1"/>
    <col min="6401" max="6401" width="19.7109375" style="62" hidden="1" customWidth="1"/>
    <col min="6402" max="6402" width="4.140625" style="62" hidden="1" customWidth="1"/>
    <col min="6403" max="6403" width="10.85546875" style="62" hidden="1" customWidth="1"/>
    <col min="6404" max="6404" width="20.5703125" style="62" hidden="1" customWidth="1"/>
    <col min="6405" max="6405" width="17.28515625" style="62" hidden="1" customWidth="1"/>
    <col min="6406" max="6406" width="12.28515625" style="62" hidden="1" customWidth="1"/>
    <col min="6407" max="6407" width="14" style="62" hidden="1" customWidth="1"/>
    <col min="6408" max="6408" width="8" style="62" hidden="1" customWidth="1"/>
    <col min="6409" max="6409" width="32.7109375" style="62" hidden="1" customWidth="1"/>
    <col min="6410" max="6411" width="11.7109375" style="62" hidden="1" customWidth="1"/>
    <col min="6412" max="6412" width="0.85546875" style="62" hidden="1" customWidth="1"/>
    <col min="6413" max="6656" width="0" style="62" hidden="1"/>
    <col min="6657" max="6657" width="19.7109375" style="62" hidden="1" customWidth="1"/>
    <col min="6658" max="6658" width="4.140625" style="62" hidden="1" customWidth="1"/>
    <col min="6659" max="6659" width="10.85546875" style="62" hidden="1" customWidth="1"/>
    <col min="6660" max="6660" width="20.5703125" style="62" hidden="1" customWidth="1"/>
    <col min="6661" max="6661" width="17.28515625" style="62" hidden="1" customWidth="1"/>
    <col min="6662" max="6662" width="12.28515625" style="62" hidden="1" customWidth="1"/>
    <col min="6663" max="6663" width="14" style="62" hidden="1" customWidth="1"/>
    <col min="6664" max="6664" width="8" style="62" hidden="1" customWidth="1"/>
    <col min="6665" max="6665" width="32.7109375" style="62" hidden="1" customWidth="1"/>
    <col min="6666" max="6667" width="11.7109375" style="62" hidden="1" customWidth="1"/>
    <col min="6668" max="6668" width="0.85546875" style="62" hidden="1" customWidth="1"/>
    <col min="6669" max="6912" width="0" style="62" hidden="1"/>
    <col min="6913" max="6913" width="19.7109375" style="62" hidden="1" customWidth="1"/>
    <col min="6914" max="6914" width="4.140625" style="62" hidden="1" customWidth="1"/>
    <col min="6915" max="6915" width="10.85546875" style="62" hidden="1" customWidth="1"/>
    <col min="6916" max="6916" width="20.5703125" style="62" hidden="1" customWidth="1"/>
    <col min="6917" max="6917" width="17.28515625" style="62" hidden="1" customWidth="1"/>
    <col min="6918" max="6918" width="12.28515625" style="62" hidden="1" customWidth="1"/>
    <col min="6919" max="6919" width="14" style="62" hidden="1" customWidth="1"/>
    <col min="6920" max="6920" width="8" style="62" hidden="1" customWidth="1"/>
    <col min="6921" max="6921" width="32.7109375" style="62" hidden="1" customWidth="1"/>
    <col min="6922" max="6923" width="11.7109375" style="62" hidden="1" customWidth="1"/>
    <col min="6924" max="6924" width="0.85546875" style="62" hidden="1" customWidth="1"/>
    <col min="6925" max="7168" width="0" style="62" hidden="1"/>
    <col min="7169" max="7169" width="19.7109375" style="62" hidden="1" customWidth="1"/>
    <col min="7170" max="7170" width="4.140625" style="62" hidden="1" customWidth="1"/>
    <col min="7171" max="7171" width="10.85546875" style="62" hidden="1" customWidth="1"/>
    <col min="7172" max="7172" width="20.5703125" style="62" hidden="1" customWidth="1"/>
    <col min="7173" max="7173" width="17.28515625" style="62" hidden="1" customWidth="1"/>
    <col min="7174" max="7174" width="12.28515625" style="62" hidden="1" customWidth="1"/>
    <col min="7175" max="7175" width="14" style="62" hidden="1" customWidth="1"/>
    <col min="7176" max="7176" width="8" style="62" hidden="1" customWidth="1"/>
    <col min="7177" max="7177" width="32.7109375" style="62" hidden="1" customWidth="1"/>
    <col min="7178" max="7179" width="11.7109375" style="62" hidden="1" customWidth="1"/>
    <col min="7180" max="7180" width="0.85546875" style="62" hidden="1" customWidth="1"/>
    <col min="7181" max="7424" width="0" style="62" hidden="1"/>
    <col min="7425" max="7425" width="19.7109375" style="62" hidden="1" customWidth="1"/>
    <col min="7426" max="7426" width="4.140625" style="62" hidden="1" customWidth="1"/>
    <col min="7427" max="7427" width="10.85546875" style="62" hidden="1" customWidth="1"/>
    <col min="7428" max="7428" width="20.5703125" style="62" hidden="1" customWidth="1"/>
    <col min="7429" max="7429" width="17.28515625" style="62" hidden="1" customWidth="1"/>
    <col min="7430" max="7430" width="12.28515625" style="62" hidden="1" customWidth="1"/>
    <col min="7431" max="7431" width="14" style="62" hidden="1" customWidth="1"/>
    <col min="7432" max="7432" width="8" style="62" hidden="1" customWidth="1"/>
    <col min="7433" max="7433" width="32.7109375" style="62" hidden="1" customWidth="1"/>
    <col min="7434" max="7435" width="11.7109375" style="62" hidden="1" customWidth="1"/>
    <col min="7436" max="7436" width="0.85546875" style="62" hidden="1" customWidth="1"/>
    <col min="7437" max="7680" width="0" style="62" hidden="1"/>
    <col min="7681" max="7681" width="19.7109375" style="62" hidden="1" customWidth="1"/>
    <col min="7682" max="7682" width="4.140625" style="62" hidden="1" customWidth="1"/>
    <col min="7683" max="7683" width="10.85546875" style="62" hidden="1" customWidth="1"/>
    <col min="7684" max="7684" width="20.5703125" style="62" hidden="1" customWidth="1"/>
    <col min="7685" max="7685" width="17.28515625" style="62" hidden="1" customWidth="1"/>
    <col min="7686" max="7686" width="12.28515625" style="62" hidden="1" customWidth="1"/>
    <col min="7687" max="7687" width="14" style="62" hidden="1" customWidth="1"/>
    <col min="7688" max="7688" width="8" style="62" hidden="1" customWidth="1"/>
    <col min="7689" max="7689" width="32.7109375" style="62" hidden="1" customWidth="1"/>
    <col min="7690" max="7691" width="11.7109375" style="62" hidden="1" customWidth="1"/>
    <col min="7692" max="7692" width="0.85546875" style="62" hidden="1" customWidth="1"/>
    <col min="7693" max="7936" width="0" style="62" hidden="1"/>
    <col min="7937" max="7937" width="19.7109375" style="62" hidden="1" customWidth="1"/>
    <col min="7938" max="7938" width="4.140625" style="62" hidden="1" customWidth="1"/>
    <col min="7939" max="7939" width="10.85546875" style="62" hidden="1" customWidth="1"/>
    <col min="7940" max="7940" width="20.5703125" style="62" hidden="1" customWidth="1"/>
    <col min="7941" max="7941" width="17.28515625" style="62" hidden="1" customWidth="1"/>
    <col min="7942" max="7942" width="12.28515625" style="62" hidden="1" customWidth="1"/>
    <col min="7943" max="7943" width="14" style="62" hidden="1" customWidth="1"/>
    <col min="7944" max="7944" width="8" style="62" hidden="1" customWidth="1"/>
    <col min="7945" max="7945" width="32.7109375" style="62" hidden="1" customWidth="1"/>
    <col min="7946" max="7947" width="11.7109375" style="62" hidden="1" customWidth="1"/>
    <col min="7948" max="7948" width="0.85546875" style="62" hidden="1" customWidth="1"/>
    <col min="7949" max="8192" width="0" style="62" hidden="1"/>
    <col min="8193" max="8193" width="19.7109375" style="62" hidden="1" customWidth="1"/>
    <col min="8194" max="8194" width="4.140625" style="62" hidden="1" customWidth="1"/>
    <col min="8195" max="8195" width="10.85546875" style="62" hidden="1" customWidth="1"/>
    <col min="8196" max="8196" width="20.5703125" style="62" hidden="1" customWidth="1"/>
    <col min="8197" max="8197" width="17.28515625" style="62" hidden="1" customWidth="1"/>
    <col min="8198" max="8198" width="12.28515625" style="62" hidden="1" customWidth="1"/>
    <col min="8199" max="8199" width="14" style="62" hidden="1" customWidth="1"/>
    <col min="8200" max="8200" width="8" style="62" hidden="1" customWidth="1"/>
    <col min="8201" max="8201" width="32.7109375" style="62" hidden="1" customWidth="1"/>
    <col min="8202" max="8203" width="11.7109375" style="62" hidden="1" customWidth="1"/>
    <col min="8204" max="8204" width="0.85546875" style="62" hidden="1" customWidth="1"/>
    <col min="8205" max="8448" width="0" style="62" hidden="1"/>
    <col min="8449" max="8449" width="19.7109375" style="62" hidden="1" customWidth="1"/>
    <col min="8450" max="8450" width="4.140625" style="62" hidden="1" customWidth="1"/>
    <col min="8451" max="8451" width="10.85546875" style="62" hidden="1" customWidth="1"/>
    <col min="8452" max="8452" width="20.5703125" style="62" hidden="1" customWidth="1"/>
    <col min="8453" max="8453" width="17.28515625" style="62" hidden="1" customWidth="1"/>
    <col min="8454" max="8454" width="12.28515625" style="62" hidden="1" customWidth="1"/>
    <col min="8455" max="8455" width="14" style="62" hidden="1" customWidth="1"/>
    <col min="8456" max="8456" width="8" style="62" hidden="1" customWidth="1"/>
    <col min="8457" max="8457" width="32.7109375" style="62" hidden="1" customWidth="1"/>
    <col min="8458" max="8459" width="11.7109375" style="62" hidden="1" customWidth="1"/>
    <col min="8460" max="8460" width="0.85546875" style="62" hidden="1" customWidth="1"/>
    <col min="8461" max="8704" width="0" style="62" hidden="1"/>
    <col min="8705" max="8705" width="19.7109375" style="62" hidden="1" customWidth="1"/>
    <col min="8706" max="8706" width="4.140625" style="62" hidden="1" customWidth="1"/>
    <col min="8707" max="8707" width="10.85546875" style="62" hidden="1" customWidth="1"/>
    <col min="8708" max="8708" width="20.5703125" style="62" hidden="1" customWidth="1"/>
    <col min="8709" max="8709" width="17.28515625" style="62" hidden="1" customWidth="1"/>
    <col min="8710" max="8710" width="12.28515625" style="62" hidden="1" customWidth="1"/>
    <col min="8711" max="8711" width="14" style="62" hidden="1" customWidth="1"/>
    <col min="8712" max="8712" width="8" style="62" hidden="1" customWidth="1"/>
    <col min="8713" max="8713" width="32.7109375" style="62" hidden="1" customWidth="1"/>
    <col min="8714" max="8715" width="11.7109375" style="62" hidden="1" customWidth="1"/>
    <col min="8716" max="8716" width="0.85546875" style="62" hidden="1" customWidth="1"/>
    <col min="8717" max="8960" width="0" style="62" hidden="1"/>
    <col min="8961" max="8961" width="19.7109375" style="62" hidden="1" customWidth="1"/>
    <col min="8962" max="8962" width="4.140625" style="62" hidden="1" customWidth="1"/>
    <col min="8963" max="8963" width="10.85546875" style="62" hidden="1" customWidth="1"/>
    <col min="8964" max="8964" width="20.5703125" style="62" hidden="1" customWidth="1"/>
    <col min="8965" max="8965" width="17.28515625" style="62" hidden="1" customWidth="1"/>
    <col min="8966" max="8966" width="12.28515625" style="62" hidden="1" customWidth="1"/>
    <col min="8967" max="8967" width="14" style="62" hidden="1" customWidth="1"/>
    <col min="8968" max="8968" width="8" style="62" hidden="1" customWidth="1"/>
    <col min="8969" max="8969" width="32.7109375" style="62" hidden="1" customWidth="1"/>
    <col min="8970" max="8971" width="11.7109375" style="62" hidden="1" customWidth="1"/>
    <col min="8972" max="8972" width="0.85546875" style="62" hidden="1" customWidth="1"/>
    <col min="8973" max="9216" width="0" style="62" hidden="1"/>
    <col min="9217" max="9217" width="19.7109375" style="62" hidden="1" customWidth="1"/>
    <col min="9218" max="9218" width="4.140625" style="62" hidden="1" customWidth="1"/>
    <col min="9219" max="9219" width="10.85546875" style="62" hidden="1" customWidth="1"/>
    <col min="9220" max="9220" width="20.5703125" style="62" hidden="1" customWidth="1"/>
    <col min="9221" max="9221" width="17.28515625" style="62" hidden="1" customWidth="1"/>
    <col min="9222" max="9222" width="12.28515625" style="62" hidden="1" customWidth="1"/>
    <col min="9223" max="9223" width="14" style="62" hidden="1" customWidth="1"/>
    <col min="9224" max="9224" width="8" style="62" hidden="1" customWidth="1"/>
    <col min="9225" max="9225" width="32.7109375" style="62" hidden="1" customWidth="1"/>
    <col min="9226" max="9227" width="11.7109375" style="62" hidden="1" customWidth="1"/>
    <col min="9228" max="9228" width="0.85546875" style="62" hidden="1" customWidth="1"/>
    <col min="9229" max="9472" width="0" style="62" hidden="1"/>
    <col min="9473" max="9473" width="19.7109375" style="62" hidden="1" customWidth="1"/>
    <col min="9474" max="9474" width="4.140625" style="62" hidden="1" customWidth="1"/>
    <col min="9475" max="9475" width="10.85546875" style="62" hidden="1" customWidth="1"/>
    <col min="9476" max="9476" width="20.5703125" style="62" hidden="1" customWidth="1"/>
    <col min="9477" max="9477" width="17.28515625" style="62" hidden="1" customWidth="1"/>
    <col min="9478" max="9478" width="12.28515625" style="62" hidden="1" customWidth="1"/>
    <col min="9479" max="9479" width="14" style="62" hidden="1" customWidth="1"/>
    <col min="9480" max="9480" width="8" style="62" hidden="1" customWidth="1"/>
    <col min="9481" max="9481" width="32.7109375" style="62" hidden="1" customWidth="1"/>
    <col min="9482" max="9483" width="11.7109375" style="62" hidden="1" customWidth="1"/>
    <col min="9484" max="9484" width="0.85546875" style="62" hidden="1" customWidth="1"/>
    <col min="9485" max="9728" width="0" style="62" hidden="1"/>
    <col min="9729" max="9729" width="19.7109375" style="62" hidden="1" customWidth="1"/>
    <col min="9730" max="9730" width="4.140625" style="62" hidden="1" customWidth="1"/>
    <col min="9731" max="9731" width="10.85546875" style="62" hidden="1" customWidth="1"/>
    <col min="9732" max="9732" width="20.5703125" style="62" hidden="1" customWidth="1"/>
    <col min="9733" max="9733" width="17.28515625" style="62" hidden="1" customWidth="1"/>
    <col min="9734" max="9734" width="12.28515625" style="62" hidden="1" customWidth="1"/>
    <col min="9735" max="9735" width="14" style="62" hidden="1" customWidth="1"/>
    <col min="9736" max="9736" width="8" style="62" hidden="1" customWidth="1"/>
    <col min="9737" max="9737" width="32.7109375" style="62" hidden="1" customWidth="1"/>
    <col min="9738" max="9739" width="11.7109375" style="62" hidden="1" customWidth="1"/>
    <col min="9740" max="9740" width="0.85546875" style="62" hidden="1" customWidth="1"/>
    <col min="9741" max="9984" width="0" style="62" hidden="1"/>
    <col min="9985" max="9985" width="19.7109375" style="62" hidden="1" customWidth="1"/>
    <col min="9986" max="9986" width="4.140625" style="62" hidden="1" customWidth="1"/>
    <col min="9987" max="9987" width="10.85546875" style="62" hidden="1" customWidth="1"/>
    <col min="9988" max="9988" width="20.5703125" style="62" hidden="1" customWidth="1"/>
    <col min="9989" max="9989" width="17.28515625" style="62" hidden="1" customWidth="1"/>
    <col min="9990" max="9990" width="12.28515625" style="62" hidden="1" customWidth="1"/>
    <col min="9991" max="9991" width="14" style="62" hidden="1" customWidth="1"/>
    <col min="9992" max="9992" width="8" style="62" hidden="1" customWidth="1"/>
    <col min="9993" max="9993" width="32.7109375" style="62" hidden="1" customWidth="1"/>
    <col min="9994" max="9995" width="11.7109375" style="62" hidden="1" customWidth="1"/>
    <col min="9996" max="9996" width="0.85546875" style="62" hidden="1" customWidth="1"/>
    <col min="9997" max="10240" width="0" style="62" hidden="1"/>
    <col min="10241" max="10241" width="19.7109375" style="62" hidden="1" customWidth="1"/>
    <col min="10242" max="10242" width="4.140625" style="62" hidden="1" customWidth="1"/>
    <col min="10243" max="10243" width="10.85546875" style="62" hidden="1" customWidth="1"/>
    <col min="10244" max="10244" width="20.5703125" style="62" hidden="1" customWidth="1"/>
    <col min="10245" max="10245" width="17.28515625" style="62" hidden="1" customWidth="1"/>
    <col min="10246" max="10246" width="12.28515625" style="62" hidden="1" customWidth="1"/>
    <col min="10247" max="10247" width="14" style="62" hidden="1" customWidth="1"/>
    <col min="10248" max="10248" width="8" style="62" hidden="1" customWidth="1"/>
    <col min="10249" max="10249" width="32.7109375" style="62" hidden="1" customWidth="1"/>
    <col min="10250" max="10251" width="11.7109375" style="62" hidden="1" customWidth="1"/>
    <col min="10252" max="10252" width="0.85546875" style="62" hidden="1" customWidth="1"/>
    <col min="10253" max="10496" width="0" style="62" hidden="1"/>
    <col min="10497" max="10497" width="19.7109375" style="62" hidden="1" customWidth="1"/>
    <col min="10498" max="10498" width="4.140625" style="62" hidden="1" customWidth="1"/>
    <col min="10499" max="10499" width="10.85546875" style="62" hidden="1" customWidth="1"/>
    <col min="10500" max="10500" width="20.5703125" style="62" hidden="1" customWidth="1"/>
    <col min="10501" max="10501" width="17.28515625" style="62" hidden="1" customWidth="1"/>
    <col min="10502" max="10502" width="12.28515625" style="62" hidden="1" customWidth="1"/>
    <col min="10503" max="10503" width="14" style="62" hidden="1" customWidth="1"/>
    <col min="10504" max="10504" width="8" style="62" hidden="1" customWidth="1"/>
    <col min="10505" max="10505" width="32.7109375" style="62" hidden="1" customWidth="1"/>
    <col min="10506" max="10507" width="11.7109375" style="62" hidden="1" customWidth="1"/>
    <col min="10508" max="10508" width="0.85546875" style="62" hidden="1" customWidth="1"/>
    <col min="10509" max="10752" width="0" style="62" hidden="1"/>
    <col min="10753" max="10753" width="19.7109375" style="62" hidden="1" customWidth="1"/>
    <col min="10754" max="10754" width="4.140625" style="62" hidden="1" customWidth="1"/>
    <col min="10755" max="10755" width="10.85546875" style="62" hidden="1" customWidth="1"/>
    <col min="10756" max="10756" width="20.5703125" style="62" hidden="1" customWidth="1"/>
    <col min="10757" max="10757" width="17.28515625" style="62" hidden="1" customWidth="1"/>
    <col min="10758" max="10758" width="12.28515625" style="62" hidden="1" customWidth="1"/>
    <col min="10759" max="10759" width="14" style="62" hidden="1" customWidth="1"/>
    <col min="10760" max="10760" width="8" style="62" hidden="1" customWidth="1"/>
    <col min="10761" max="10761" width="32.7109375" style="62" hidden="1" customWidth="1"/>
    <col min="10762" max="10763" width="11.7109375" style="62" hidden="1" customWidth="1"/>
    <col min="10764" max="10764" width="0.85546875" style="62" hidden="1" customWidth="1"/>
    <col min="10765" max="11008" width="0" style="62" hidden="1"/>
    <col min="11009" max="11009" width="19.7109375" style="62" hidden="1" customWidth="1"/>
    <col min="11010" max="11010" width="4.140625" style="62" hidden="1" customWidth="1"/>
    <col min="11011" max="11011" width="10.85546875" style="62" hidden="1" customWidth="1"/>
    <col min="11012" max="11012" width="20.5703125" style="62" hidden="1" customWidth="1"/>
    <col min="11013" max="11013" width="17.28515625" style="62" hidden="1" customWidth="1"/>
    <col min="11014" max="11014" width="12.28515625" style="62" hidden="1" customWidth="1"/>
    <col min="11015" max="11015" width="14" style="62" hidden="1" customWidth="1"/>
    <col min="11016" max="11016" width="8" style="62" hidden="1" customWidth="1"/>
    <col min="11017" max="11017" width="32.7109375" style="62" hidden="1" customWidth="1"/>
    <col min="11018" max="11019" width="11.7109375" style="62" hidden="1" customWidth="1"/>
    <col min="11020" max="11020" width="0.85546875" style="62" hidden="1" customWidth="1"/>
    <col min="11021" max="11264" width="0" style="62" hidden="1"/>
    <col min="11265" max="11265" width="19.7109375" style="62" hidden="1" customWidth="1"/>
    <col min="11266" max="11266" width="4.140625" style="62" hidden="1" customWidth="1"/>
    <col min="11267" max="11267" width="10.85546875" style="62" hidden="1" customWidth="1"/>
    <col min="11268" max="11268" width="20.5703125" style="62" hidden="1" customWidth="1"/>
    <col min="11269" max="11269" width="17.28515625" style="62" hidden="1" customWidth="1"/>
    <col min="11270" max="11270" width="12.28515625" style="62" hidden="1" customWidth="1"/>
    <col min="11271" max="11271" width="14" style="62" hidden="1" customWidth="1"/>
    <col min="11272" max="11272" width="8" style="62" hidden="1" customWidth="1"/>
    <col min="11273" max="11273" width="32.7109375" style="62" hidden="1" customWidth="1"/>
    <col min="11274" max="11275" width="11.7109375" style="62" hidden="1" customWidth="1"/>
    <col min="11276" max="11276" width="0.85546875" style="62" hidden="1" customWidth="1"/>
    <col min="11277" max="11520" width="0" style="62" hidden="1"/>
    <col min="11521" max="11521" width="19.7109375" style="62" hidden="1" customWidth="1"/>
    <col min="11522" max="11522" width="4.140625" style="62" hidden="1" customWidth="1"/>
    <col min="11523" max="11523" width="10.85546875" style="62" hidden="1" customWidth="1"/>
    <col min="11524" max="11524" width="20.5703125" style="62" hidden="1" customWidth="1"/>
    <col min="11525" max="11525" width="17.28515625" style="62" hidden="1" customWidth="1"/>
    <col min="11526" max="11526" width="12.28515625" style="62" hidden="1" customWidth="1"/>
    <col min="11527" max="11527" width="14" style="62" hidden="1" customWidth="1"/>
    <col min="11528" max="11528" width="8" style="62" hidden="1" customWidth="1"/>
    <col min="11529" max="11529" width="32.7109375" style="62" hidden="1" customWidth="1"/>
    <col min="11530" max="11531" width="11.7109375" style="62" hidden="1" customWidth="1"/>
    <col min="11532" max="11532" width="0.85546875" style="62" hidden="1" customWidth="1"/>
    <col min="11533" max="11776" width="0" style="62" hidden="1"/>
    <col min="11777" max="11777" width="19.7109375" style="62" hidden="1" customWidth="1"/>
    <col min="11778" max="11778" width="4.140625" style="62" hidden="1" customWidth="1"/>
    <col min="11779" max="11779" width="10.85546875" style="62" hidden="1" customWidth="1"/>
    <col min="11780" max="11780" width="20.5703125" style="62" hidden="1" customWidth="1"/>
    <col min="11781" max="11781" width="17.28515625" style="62" hidden="1" customWidth="1"/>
    <col min="11782" max="11782" width="12.28515625" style="62" hidden="1" customWidth="1"/>
    <col min="11783" max="11783" width="14" style="62" hidden="1" customWidth="1"/>
    <col min="11784" max="11784" width="8" style="62" hidden="1" customWidth="1"/>
    <col min="11785" max="11785" width="32.7109375" style="62" hidden="1" customWidth="1"/>
    <col min="11786" max="11787" width="11.7109375" style="62" hidden="1" customWidth="1"/>
    <col min="11788" max="11788" width="0.85546875" style="62" hidden="1" customWidth="1"/>
    <col min="11789" max="12032" width="0" style="62" hidden="1"/>
    <col min="12033" max="12033" width="19.7109375" style="62" hidden="1" customWidth="1"/>
    <col min="12034" max="12034" width="4.140625" style="62" hidden="1" customWidth="1"/>
    <col min="12035" max="12035" width="10.85546875" style="62" hidden="1" customWidth="1"/>
    <col min="12036" max="12036" width="20.5703125" style="62" hidden="1" customWidth="1"/>
    <col min="12037" max="12037" width="17.28515625" style="62" hidden="1" customWidth="1"/>
    <col min="12038" max="12038" width="12.28515625" style="62" hidden="1" customWidth="1"/>
    <col min="12039" max="12039" width="14" style="62" hidden="1" customWidth="1"/>
    <col min="12040" max="12040" width="8" style="62" hidden="1" customWidth="1"/>
    <col min="12041" max="12041" width="32.7109375" style="62" hidden="1" customWidth="1"/>
    <col min="12042" max="12043" width="11.7109375" style="62" hidden="1" customWidth="1"/>
    <col min="12044" max="12044" width="0.85546875" style="62" hidden="1" customWidth="1"/>
    <col min="12045" max="12288" width="0" style="62" hidden="1"/>
    <col min="12289" max="12289" width="19.7109375" style="62" hidden="1" customWidth="1"/>
    <col min="12290" max="12290" width="4.140625" style="62" hidden="1" customWidth="1"/>
    <col min="12291" max="12291" width="10.85546875" style="62" hidden="1" customWidth="1"/>
    <col min="12292" max="12292" width="20.5703125" style="62" hidden="1" customWidth="1"/>
    <col min="12293" max="12293" width="17.28515625" style="62" hidden="1" customWidth="1"/>
    <col min="12294" max="12294" width="12.28515625" style="62" hidden="1" customWidth="1"/>
    <col min="12295" max="12295" width="14" style="62" hidden="1" customWidth="1"/>
    <col min="12296" max="12296" width="8" style="62" hidden="1" customWidth="1"/>
    <col min="12297" max="12297" width="32.7109375" style="62" hidden="1" customWidth="1"/>
    <col min="12298" max="12299" width="11.7109375" style="62" hidden="1" customWidth="1"/>
    <col min="12300" max="12300" width="0.85546875" style="62" hidden="1" customWidth="1"/>
    <col min="12301" max="12544" width="0" style="62" hidden="1"/>
    <col min="12545" max="12545" width="19.7109375" style="62" hidden="1" customWidth="1"/>
    <col min="12546" max="12546" width="4.140625" style="62" hidden="1" customWidth="1"/>
    <col min="12547" max="12547" width="10.85546875" style="62" hidden="1" customWidth="1"/>
    <col min="12548" max="12548" width="20.5703125" style="62" hidden="1" customWidth="1"/>
    <col min="12549" max="12549" width="17.28515625" style="62" hidden="1" customWidth="1"/>
    <col min="12550" max="12550" width="12.28515625" style="62" hidden="1" customWidth="1"/>
    <col min="12551" max="12551" width="14" style="62" hidden="1" customWidth="1"/>
    <col min="12552" max="12552" width="8" style="62" hidden="1" customWidth="1"/>
    <col min="12553" max="12553" width="32.7109375" style="62" hidden="1" customWidth="1"/>
    <col min="12554" max="12555" width="11.7109375" style="62" hidden="1" customWidth="1"/>
    <col min="12556" max="12556" width="0.85546875" style="62" hidden="1" customWidth="1"/>
    <col min="12557" max="12800" width="0" style="62" hidden="1"/>
    <col min="12801" max="12801" width="19.7109375" style="62" hidden="1" customWidth="1"/>
    <col min="12802" max="12802" width="4.140625" style="62" hidden="1" customWidth="1"/>
    <col min="12803" max="12803" width="10.85546875" style="62" hidden="1" customWidth="1"/>
    <col min="12804" max="12804" width="20.5703125" style="62" hidden="1" customWidth="1"/>
    <col min="12805" max="12805" width="17.28515625" style="62" hidden="1" customWidth="1"/>
    <col min="12806" max="12806" width="12.28515625" style="62" hidden="1" customWidth="1"/>
    <col min="12807" max="12807" width="14" style="62" hidden="1" customWidth="1"/>
    <col min="12808" max="12808" width="8" style="62" hidden="1" customWidth="1"/>
    <col min="12809" max="12809" width="32.7109375" style="62" hidden="1" customWidth="1"/>
    <col min="12810" max="12811" width="11.7109375" style="62" hidden="1" customWidth="1"/>
    <col min="12812" max="12812" width="0.85546875" style="62" hidden="1" customWidth="1"/>
    <col min="12813" max="13056" width="0" style="62" hidden="1"/>
    <col min="13057" max="13057" width="19.7109375" style="62" hidden="1" customWidth="1"/>
    <col min="13058" max="13058" width="4.140625" style="62" hidden="1" customWidth="1"/>
    <col min="13059" max="13059" width="10.85546875" style="62" hidden="1" customWidth="1"/>
    <col min="13060" max="13060" width="20.5703125" style="62" hidden="1" customWidth="1"/>
    <col min="13061" max="13061" width="17.28515625" style="62" hidden="1" customWidth="1"/>
    <col min="13062" max="13062" width="12.28515625" style="62" hidden="1" customWidth="1"/>
    <col min="13063" max="13063" width="14" style="62" hidden="1" customWidth="1"/>
    <col min="13064" max="13064" width="8" style="62" hidden="1" customWidth="1"/>
    <col min="13065" max="13065" width="32.7109375" style="62" hidden="1" customWidth="1"/>
    <col min="13066" max="13067" width="11.7109375" style="62" hidden="1" customWidth="1"/>
    <col min="13068" max="13068" width="0.85546875" style="62" hidden="1" customWidth="1"/>
    <col min="13069" max="13312" width="0" style="62" hidden="1"/>
    <col min="13313" max="13313" width="19.7109375" style="62" hidden="1" customWidth="1"/>
    <col min="13314" max="13314" width="4.140625" style="62" hidden="1" customWidth="1"/>
    <col min="13315" max="13315" width="10.85546875" style="62" hidden="1" customWidth="1"/>
    <col min="13316" max="13316" width="20.5703125" style="62" hidden="1" customWidth="1"/>
    <col min="13317" max="13317" width="17.28515625" style="62" hidden="1" customWidth="1"/>
    <col min="13318" max="13318" width="12.28515625" style="62" hidden="1" customWidth="1"/>
    <col min="13319" max="13319" width="14" style="62" hidden="1" customWidth="1"/>
    <col min="13320" max="13320" width="8" style="62" hidden="1" customWidth="1"/>
    <col min="13321" max="13321" width="32.7109375" style="62" hidden="1" customWidth="1"/>
    <col min="13322" max="13323" width="11.7109375" style="62" hidden="1" customWidth="1"/>
    <col min="13324" max="13324" width="0.85546875" style="62" hidden="1" customWidth="1"/>
    <col min="13325" max="13568" width="0" style="62" hidden="1"/>
    <col min="13569" max="13569" width="19.7109375" style="62" hidden="1" customWidth="1"/>
    <col min="13570" max="13570" width="4.140625" style="62" hidden="1" customWidth="1"/>
    <col min="13571" max="13571" width="10.85546875" style="62" hidden="1" customWidth="1"/>
    <col min="13572" max="13572" width="20.5703125" style="62" hidden="1" customWidth="1"/>
    <col min="13573" max="13573" width="17.28515625" style="62" hidden="1" customWidth="1"/>
    <col min="13574" max="13574" width="12.28515625" style="62" hidden="1" customWidth="1"/>
    <col min="13575" max="13575" width="14" style="62" hidden="1" customWidth="1"/>
    <col min="13576" max="13576" width="8" style="62" hidden="1" customWidth="1"/>
    <col min="13577" max="13577" width="32.7109375" style="62" hidden="1" customWidth="1"/>
    <col min="13578" max="13579" width="11.7109375" style="62" hidden="1" customWidth="1"/>
    <col min="13580" max="13580" width="0.85546875" style="62" hidden="1" customWidth="1"/>
    <col min="13581" max="13824" width="0" style="62" hidden="1"/>
    <col min="13825" max="13825" width="19.7109375" style="62" hidden="1" customWidth="1"/>
    <col min="13826" max="13826" width="4.140625" style="62" hidden="1" customWidth="1"/>
    <col min="13827" max="13827" width="10.85546875" style="62" hidden="1" customWidth="1"/>
    <col min="13828" max="13828" width="20.5703125" style="62" hidden="1" customWidth="1"/>
    <col min="13829" max="13829" width="17.28515625" style="62" hidden="1" customWidth="1"/>
    <col min="13830" max="13830" width="12.28515625" style="62" hidden="1" customWidth="1"/>
    <col min="13831" max="13831" width="14" style="62" hidden="1" customWidth="1"/>
    <col min="13832" max="13832" width="8" style="62" hidden="1" customWidth="1"/>
    <col min="13833" max="13833" width="32.7109375" style="62" hidden="1" customWidth="1"/>
    <col min="13834" max="13835" width="11.7109375" style="62" hidden="1" customWidth="1"/>
    <col min="13836" max="13836" width="0.85546875" style="62" hidden="1" customWidth="1"/>
    <col min="13837" max="14080" width="0" style="62" hidden="1"/>
    <col min="14081" max="14081" width="19.7109375" style="62" hidden="1" customWidth="1"/>
    <col min="14082" max="14082" width="4.140625" style="62" hidden="1" customWidth="1"/>
    <col min="14083" max="14083" width="10.85546875" style="62" hidden="1" customWidth="1"/>
    <col min="14084" max="14084" width="20.5703125" style="62" hidden="1" customWidth="1"/>
    <col min="14085" max="14085" width="17.28515625" style="62" hidden="1" customWidth="1"/>
    <col min="14086" max="14086" width="12.28515625" style="62" hidden="1" customWidth="1"/>
    <col min="14087" max="14087" width="14" style="62" hidden="1" customWidth="1"/>
    <col min="14088" max="14088" width="8" style="62" hidden="1" customWidth="1"/>
    <col min="14089" max="14089" width="32.7109375" style="62" hidden="1" customWidth="1"/>
    <col min="14090" max="14091" width="11.7109375" style="62" hidden="1" customWidth="1"/>
    <col min="14092" max="14092" width="0.85546875" style="62" hidden="1" customWidth="1"/>
    <col min="14093" max="14336" width="0" style="62" hidden="1"/>
    <col min="14337" max="14337" width="19.7109375" style="62" hidden="1" customWidth="1"/>
    <col min="14338" max="14338" width="4.140625" style="62" hidden="1" customWidth="1"/>
    <col min="14339" max="14339" width="10.85546875" style="62" hidden="1" customWidth="1"/>
    <col min="14340" max="14340" width="20.5703125" style="62" hidden="1" customWidth="1"/>
    <col min="14341" max="14341" width="17.28515625" style="62" hidden="1" customWidth="1"/>
    <col min="14342" max="14342" width="12.28515625" style="62" hidden="1" customWidth="1"/>
    <col min="14343" max="14343" width="14" style="62" hidden="1" customWidth="1"/>
    <col min="14344" max="14344" width="8" style="62" hidden="1" customWidth="1"/>
    <col min="14345" max="14345" width="32.7109375" style="62" hidden="1" customWidth="1"/>
    <col min="14346" max="14347" width="11.7109375" style="62" hidden="1" customWidth="1"/>
    <col min="14348" max="14348" width="0.85546875" style="62" hidden="1" customWidth="1"/>
    <col min="14349" max="14592" width="0" style="62" hidden="1"/>
    <col min="14593" max="14593" width="19.7109375" style="62" hidden="1" customWidth="1"/>
    <col min="14594" max="14594" width="4.140625" style="62" hidden="1" customWidth="1"/>
    <col min="14595" max="14595" width="10.85546875" style="62" hidden="1" customWidth="1"/>
    <col min="14596" max="14596" width="20.5703125" style="62" hidden="1" customWidth="1"/>
    <col min="14597" max="14597" width="17.28515625" style="62" hidden="1" customWidth="1"/>
    <col min="14598" max="14598" width="12.28515625" style="62" hidden="1" customWidth="1"/>
    <col min="14599" max="14599" width="14" style="62" hidden="1" customWidth="1"/>
    <col min="14600" max="14600" width="8" style="62" hidden="1" customWidth="1"/>
    <col min="14601" max="14601" width="32.7109375" style="62" hidden="1" customWidth="1"/>
    <col min="14602" max="14603" width="11.7109375" style="62" hidden="1" customWidth="1"/>
    <col min="14604" max="14604" width="0.85546875" style="62" hidden="1" customWidth="1"/>
    <col min="14605" max="14848" width="0" style="62" hidden="1"/>
    <col min="14849" max="14849" width="19.7109375" style="62" hidden="1" customWidth="1"/>
    <col min="14850" max="14850" width="4.140625" style="62" hidden="1" customWidth="1"/>
    <col min="14851" max="14851" width="10.85546875" style="62" hidden="1" customWidth="1"/>
    <col min="14852" max="14852" width="20.5703125" style="62" hidden="1" customWidth="1"/>
    <col min="14853" max="14853" width="17.28515625" style="62" hidden="1" customWidth="1"/>
    <col min="14854" max="14854" width="12.28515625" style="62" hidden="1" customWidth="1"/>
    <col min="14855" max="14855" width="14" style="62" hidden="1" customWidth="1"/>
    <col min="14856" max="14856" width="8" style="62" hidden="1" customWidth="1"/>
    <col min="14857" max="14857" width="32.7109375" style="62" hidden="1" customWidth="1"/>
    <col min="14858" max="14859" width="11.7109375" style="62" hidden="1" customWidth="1"/>
    <col min="14860" max="14860" width="0.85546875" style="62" hidden="1" customWidth="1"/>
    <col min="14861" max="15104" width="0" style="62" hidden="1"/>
    <col min="15105" max="15105" width="19.7109375" style="62" hidden="1" customWidth="1"/>
    <col min="15106" max="15106" width="4.140625" style="62" hidden="1" customWidth="1"/>
    <col min="15107" max="15107" width="10.85546875" style="62" hidden="1" customWidth="1"/>
    <col min="15108" max="15108" width="20.5703125" style="62" hidden="1" customWidth="1"/>
    <col min="15109" max="15109" width="17.28515625" style="62" hidden="1" customWidth="1"/>
    <col min="15110" max="15110" width="12.28515625" style="62" hidden="1" customWidth="1"/>
    <col min="15111" max="15111" width="14" style="62" hidden="1" customWidth="1"/>
    <col min="15112" max="15112" width="8" style="62" hidden="1" customWidth="1"/>
    <col min="15113" max="15113" width="32.7109375" style="62" hidden="1" customWidth="1"/>
    <col min="15114" max="15115" width="11.7109375" style="62" hidden="1" customWidth="1"/>
    <col min="15116" max="15116" width="0.85546875" style="62" hidden="1" customWidth="1"/>
    <col min="15117" max="15360" width="0" style="62" hidden="1"/>
    <col min="15361" max="15361" width="19.7109375" style="62" hidden="1" customWidth="1"/>
    <col min="15362" max="15362" width="4.140625" style="62" hidden="1" customWidth="1"/>
    <col min="15363" max="15363" width="10.85546875" style="62" hidden="1" customWidth="1"/>
    <col min="15364" max="15364" width="20.5703125" style="62" hidden="1" customWidth="1"/>
    <col min="15365" max="15365" width="17.28515625" style="62" hidden="1" customWidth="1"/>
    <col min="15366" max="15366" width="12.28515625" style="62" hidden="1" customWidth="1"/>
    <col min="15367" max="15367" width="14" style="62" hidden="1" customWidth="1"/>
    <col min="15368" max="15368" width="8" style="62" hidden="1" customWidth="1"/>
    <col min="15369" max="15369" width="32.7109375" style="62" hidden="1" customWidth="1"/>
    <col min="15370" max="15371" width="11.7109375" style="62" hidden="1" customWidth="1"/>
    <col min="15372" max="15372" width="0.85546875" style="62" hidden="1" customWidth="1"/>
    <col min="15373" max="15616" width="0" style="62" hidden="1"/>
    <col min="15617" max="15617" width="19.7109375" style="62" hidden="1" customWidth="1"/>
    <col min="15618" max="15618" width="4.140625" style="62" hidden="1" customWidth="1"/>
    <col min="15619" max="15619" width="10.85546875" style="62" hidden="1" customWidth="1"/>
    <col min="15620" max="15620" width="20.5703125" style="62" hidden="1" customWidth="1"/>
    <col min="15621" max="15621" width="17.28515625" style="62" hidden="1" customWidth="1"/>
    <col min="15622" max="15622" width="12.28515625" style="62" hidden="1" customWidth="1"/>
    <col min="15623" max="15623" width="14" style="62" hidden="1" customWidth="1"/>
    <col min="15624" max="15624" width="8" style="62" hidden="1" customWidth="1"/>
    <col min="15625" max="15625" width="32.7109375" style="62" hidden="1" customWidth="1"/>
    <col min="15626" max="15627" width="11.7109375" style="62" hidden="1" customWidth="1"/>
    <col min="15628" max="15628" width="0.85546875" style="62" hidden="1" customWidth="1"/>
    <col min="15629" max="15872" width="0" style="62" hidden="1"/>
    <col min="15873" max="15873" width="19.7109375" style="62" hidden="1" customWidth="1"/>
    <col min="15874" max="15874" width="4.140625" style="62" hidden="1" customWidth="1"/>
    <col min="15875" max="15875" width="10.85546875" style="62" hidden="1" customWidth="1"/>
    <col min="15876" max="15876" width="20.5703125" style="62" hidden="1" customWidth="1"/>
    <col min="15877" max="15877" width="17.28515625" style="62" hidden="1" customWidth="1"/>
    <col min="15878" max="15878" width="12.28515625" style="62" hidden="1" customWidth="1"/>
    <col min="15879" max="15879" width="14" style="62" hidden="1" customWidth="1"/>
    <col min="15880" max="15880" width="8" style="62" hidden="1" customWidth="1"/>
    <col min="15881" max="15881" width="32.7109375" style="62" hidden="1" customWidth="1"/>
    <col min="15882" max="15883" width="11.7109375" style="62" hidden="1" customWidth="1"/>
    <col min="15884" max="15884" width="0.85546875" style="62" hidden="1" customWidth="1"/>
    <col min="15885" max="16128" width="0" style="62" hidden="1"/>
    <col min="16129" max="16129" width="19.7109375" style="62" hidden="1" customWidth="1"/>
    <col min="16130" max="16130" width="4.140625" style="62" hidden="1" customWidth="1"/>
    <col min="16131" max="16131" width="10.85546875" style="62" hidden="1" customWidth="1"/>
    <col min="16132" max="16132" width="20.5703125" style="62" hidden="1" customWidth="1"/>
    <col min="16133" max="16133" width="17.28515625" style="62" hidden="1" customWidth="1"/>
    <col min="16134" max="16134" width="12.28515625" style="62" hidden="1" customWidth="1"/>
    <col min="16135" max="16135" width="14" style="62" hidden="1" customWidth="1"/>
    <col min="16136" max="16136" width="8" style="62" hidden="1" customWidth="1"/>
    <col min="16137" max="16137" width="32.7109375" style="62" hidden="1" customWidth="1"/>
    <col min="16138" max="16139" width="11.7109375" style="62" hidden="1" customWidth="1"/>
    <col min="16140" max="16140" width="0.85546875" style="62" hidden="1" customWidth="1"/>
    <col min="16141" max="16141" width="0.85546875" style="62" hidden="1"/>
    <col min="16142" max="16384" width="0" style="62" hidden="1"/>
  </cols>
  <sheetData>
    <row r="1" spans="1:11" ht="19.5" customHeight="1" x14ac:dyDescent="0.25">
      <c r="A1" s="112" t="str">
        <f>DATOS!ZZ1</f>
        <v>PERU CONTABLE</v>
      </c>
      <c r="B1" s="112"/>
      <c r="C1" s="112"/>
      <c r="D1" s="112"/>
      <c r="E1" s="112"/>
      <c r="F1" s="112"/>
      <c r="G1" s="112"/>
      <c r="H1" s="112"/>
      <c r="I1" s="112"/>
      <c r="J1" s="112"/>
      <c r="K1" s="112"/>
    </row>
    <row r="2" spans="1:11" ht="2.25" customHeight="1" x14ac:dyDescent="0.2">
      <c r="A2" s="63"/>
      <c r="B2" s="63"/>
      <c r="C2" s="62"/>
      <c r="D2" s="62"/>
      <c r="E2" s="64"/>
      <c r="F2" s="65"/>
      <c r="G2" s="66"/>
      <c r="H2" s="66"/>
      <c r="I2" s="66"/>
      <c r="J2" s="67"/>
      <c r="K2" s="68"/>
    </row>
    <row r="3" spans="1:11" ht="12.75" customHeight="1" x14ac:dyDescent="0.25">
      <c r="A3" s="112" t="str">
        <f>"RUC : "&amp;DATOS!ZZ2</f>
        <v>RUC : 20109999999</v>
      </c>
      <c r="B3" s="112"/>
      <c r="C3" s="112"/>
      <c r="D3" s="112"/>
      <c r="E3" s="112"/>
      <c r="F3" s="112"/>
      <c r="G3" s="112"/>
      <c r="H3" s="112"/>
      <c r="I3" s="112"/>
      <c r="J3" s="112"/>
      <c r="K3" s="112"/>
    </row>
    <row r="4" spans="1:11" ht="4.5" hidden="1" customHeight="1" x14ac:dyDescent="0.3">
      <c r="A4" s="113"/>
      <c r="B4" s="113"/>
      <c r="C4" s="113"/>
      <c r="D4" s="113"/>
      <c r="E4" s="113"/>
      <c r="F4" s="113"/>
      <c r="G4" s="113"/>
      <c r="H4" s="113"/>
      <c r="I4" s="113"/>
      <c r="J4" s="113"/>
      <c r="K4" s="113"/>
    </row>
    <row r="5" spans="1:11" s="69" customFormat="1" ht="16.5" customHeight="1" x14ac:dyDescent="0.25">
      <c r="A5" s="114" t="str">
        <f>"LIBRO DIARIO MES DE  "&amp; DATOS!ZZ4&amp;" DEL "&amp;DATOS!ZZ3</f>
        <v>LIBRO DIARIO MES DE  JUNIO DEL 2015</v>
      </c>
      <c r="B5" s="114"/>
      <c r="C5" s="114"/>
      <c r="D5" s="114"/>
      <c r="E5" s="114"/>
      <c r="F5" s="114"/>
      <c r="G5" s="114"/>
      <c r="H5" s="114"/>
      <c r="I5" s="114"/>
      <c r="J5" s="114"/>
      <c r="K5" s="114"/>
    </row>
    <row r="6" spans="1:11" ht="2.25" customHeight="1" x14ac:dyDescent="0.2">
      <c r="A6" s="70"/>
      <c r="B6" s="71"/>
      <c r="C6" s="71"/>
      <c r="D6" s="72"/>
      <c r="E6" s="72"/>
      <c r="F6" s="72"/>
      <c r="G6" s="71"/>
      <c r="H6" s="71"/>
      <c r="I6" s="71"/>
      <c r="J6" s="73"/>
      <c r="K6" s="73"/>
    </row>
    <row r="7" spans="1:11" ht="36" customHeight="1" x14ac:dyDescent="0.2">
      <c r="A7" s="115" t="s">
        <v>1091</v>
      </c>
      <c r="B7" s="116" t="s">
        <v>1092</v>
      </c>
      <c r="C7" s="116" t="s">
        <v>1093</v>
      </c>
      <c r="D7" s="118" t="s">
        <v>1094</v>
      </c>
      <c r="E7" s="119"/>
      <c r="F7" s="120"/>
      <c r="G7" s="118" t="s">
        <v>1075</v>
      </c>
      <c r="H7" s="120"/>
      <c r="I7" s="121" t="s">
        <v>1095</v>
      </c>
      <c r="J7" s="122"/>
      <c r="K7" s="123"/>
    </row>
    <row r="8" spans="1:11" ht="35.25" customHeight="1" x14ac:dyDescent="0.2">
      <c r="A8" s="115"/>
      <c r="B8" s="117"/>
      <c r="C8" s="117"/>
      <c r="D8" s="90" t="s">
        <v>1096</v>
      </c>
      <c r="E8" s="90" t="s">
        <v>1097</v>
      </c>
      <c r="F8" s="90" t="s">
        <v>1098</v>
      </c>
      <c r="G8" s="87" t="s">
        <v>1099</v>
      </c>
      <c r="H8" s="88" t="s">
        <v>1088</v>
      </c>
      <c r="I8" s="87" t="s">
        <v>1090</v>
      </c>
      <c r="J8" s="89" t="s">
        <v>1089</v>
      </c>
      <c r="K8" s="89" t="s">
        <v>1076</v>
      </c>
    </row>
    <row r="9" spans="1:11" ht="2.25" customHeight="1" x14ac:dyDescent="0.2">
      <c r="A9" s="74"/>
      <c r="B9" s="75"/>
      <c r="C9" s="75"/>
      <c r="D9" s="86" t="s">
        <v>1101</v>
      </c>
      <c r="E9" s="86" t="s">
        <v>1101</v>
      </c>
      <c r="F9" s="71" t="s">
        <v>1101</v>
      </c>
      <c r="G9" s="75"/>
      <c r="H9" s="75"/>
      <c r="I9" s="75"/>
      <c r="J9" s="76"/>
      <c r="K9" s="76"/>
    </row>
    <row r="10" spans="1:11" ht="12.75" x14ac:dyDescent="0.2">
      <c r="A10" s="82" t="s">
        <v>1104</v>
      </c>
      <c r="B10" s="82" t="s">
        <v>1105</v>
      </c>
      <c r="C10" s="82" t="s">
        <v>1100</v>
      </c>
      <c r="D10" s="82"/>
      <c r="E10" s="82">
        <v>1</v>
      </c>
      <c r="F10" s="82"/>
      <c r="G10" s="82">
        <v>10</v>
      </c>
      <c r="H10" s="82" t="s">
        <v>5</v>
      </c>
      <c r="I10" s="82"/>
      <c r="J10" s="82">
        <v>10000000</v>
      </c>
      <c r="K10" s="82"/>
    </row>
    <row r="11" spans="1:11" ht="12.75" x14ac:dyDescent="0.2">
      <c r="A11" s="82" t="s">
        <v>1104</v>
      </c>
      <c r="B11" s="82" t="s">
        <v>1105</v>
      </c>
      <c r="C11" s="82" t="s">
        <v>1100</v>
      </c>
      <c r="D11" s="82"/>
      <c r="E11" s="82">
        <v>1</v>
      </c>
      <c r="F11" s="82"/>
      <c r="G11" s="82">
        <v>104</v>
      </c>
      <c r="H11" s="82" t="s">
        <v>11</v>
      </c>
      <c r="I11" s="82"/>
      <c r="J11" s="82"/>
      <c r="K11" s="82"/>
    </row>
    <row r="12" spans="1:11" ht="12.75" x14ac:dyDescent="0.2">
      <c r="A12" s="82" t="s">
        <v>1104</v>
      </c>
      <c r="B12" s="82" t="s">
        <v>1105</v>
      </c>
      <c r="C12" s="82" t="s">
        <v>1100</v>
      </c>
      <c r="D12" s="82"/>
      <c r="E12" s="82">
        <v>1</v>
      </c>
      <c r="F12" s="82"/>
      <c r="G12" s="82">
        <v>1041</v>
      </c>
      <c r="H12" s="82" t="s">
        <v>12</v>
      </c>
      <c r="I12" s="82"/>
      <c r="J12" s="82"/>
      <c r="K12" s="82"/>
    </row>
    <row r="13" spans="1:11" ht="12.75" x14ac:dyDescent="0.2">
      <c r="A13" s="82" t="s">
        <v>1104</v>
      </c>
      <c r="B13" s="82" t="s">
        <v>1105</v>
      </c>
      <c r="C13" s="82" t="s">
        <v>1100</v>
      </c>
      <c r="D13" s="82"/>
      <c r="E13" s="82">
        <v>1</v>
      </c>
      <c r="F13" s="82"/>
      <c r="G13" s="82">
        <v>10411</v>
      </c>
      <c r="H13" s="82" t="s">
        <v>13</v>
      </c>
      <c r="I13" s="82">
        <v>10000000</v>
      </c>
      <c r="J13" s="82"/>
      <c r="K13" s="82"/>
    </row>
    <row r="14" spans="1:11" ht="12.75" x14ac:dyDescent="0.2">
      <c r="A14" s="82" t="s">
        <v>1104</v>
      </c>
      <c r="B14" s="82" t="s">
        <v>1105</v>
      </c>
      <c r="C14" s="82" t="s">
        <v>1100</v>
      </c>
      <c r="D14" s="82"/>
      <c r="E14" s="82">
        <v>2</v>
      </c>
      <c r="F14" s="82"/>
      <c r="G14" s="82">
        <v>20</v>
      </c>
      <c r="H14" s="82" t="s">
        <v>140</v>
      </c>
      <c r="I14" s="82"/>
      <c r="J14" s="82">
        <v>50000</v>
      </c>
      <c r="K14" s="82"/>
    </row>
    <row r="15" spans="1:11" ht="12.75" x14ac:dyDescent="0.2">
      <c r="A15" s="82" t="s">
        <v>1104</v>
      </c>
      <c r="B15" s="82" t="s">
        <v>1105</v>
      </c>
      <c r="C15" s="82" t="s">
        <v>1100</v>
      </c>
      <c r="D15" s="82"/>
      <c r="E15" s="82">
        <v>2</v>
      </c>
      <c r="F15" s="82"/>
      <c r="G15" s="82">
        <v>201</v>
      </c>
      <c r="H15" s="82" t="s">
        <v>141</v>
      </c>
      <c r="I15" s="82"/>
      <c r="J15" s="82"/>
      <c r="K15" s="82"/>
    </row>
    <row r="16" spans="1:11" ht="12.75" x14ac:dyDescent="0.2">
      <c r="A16" s="82" t="s">
        <v>1104</v>
      </c>
      <c r="B16" s="82" t="s">
        <v>1105</v>
      </c>
      <c r="C16" s="82" t="s">
        <v>1100</v>
      </c>
      <c r="D16" s="82"/>
      <c r="E16" s="82">
        <v>2</v>
      </c>
      <c r="F16" s="82"/>
      <c r="G16" s="82">
        <v>2011</v>
      </c>
      <c r="H16" s="82" t="s">
        <v>142</v>
      </c>
      <c r="I16" s="82"/>
      <c r="J16" s="82"/>
      <c r="K16" s="82"/>
    </row>
    <row r="17" spans="1:11" ht="12.75" x14ac:dyDescent="0.2">
      <c r="A17" s="82" t="s">
        <v>1104</v>
      </c>
      <c r="B17" s="82" t="s">
        <v>1105</v>
      </c>
      <c r="C17" s="82" t="s">
        <v>1100</v>
      </c>
      <c r="D17" s="82"/>
      <c r="E17" s="82">
        <v>2</v>
      </c>
      <c r="F17" s="82"/>
      <c r="G17" s="82">
        <v>20111</v>
      </c>
      <c r="H17" s="82" t="s">
        <v>143</v>
      </c>
      <c r="I17" s="82">
        <v>50000</v>
      </c>
      <c r="J17" s="82"/>
      <c r="K17" s="82"/>
    </row>
    <row r="18" spans="1:11" ht="12.75" x14ac:dyDescent="0.2">
      <c r="A18" s="82" t="s">
        <v>1104</v>
      </c>
      <c r="B18" s="82" t="s">
        <v>1105</v>
      </c>
      <c r="C18" s="82" t="s">
        <v>1100</v>
      </c>
      <c r="D18" s="82"/>
      <c r="E18" s="82">
        <v>3</v>
      </c>
      <c r="F18" s="82"/>
      <c r="G18" s="82">
        <v>50</v>
      </c>
      <c r="H18" s="82" t="s">
        <v>586</v>
      </c>
      <c r="I18" s="82"/>
      <c r="J18" s="82"/>
      <c r="K18" s="82">
        <v>10050000</v>
      </c>
    </row>
    <row r="19" spans="1:11" ht="12.75" x14ac:dyDescent="0.2">
      <c r="A19" s="82" t="s">
        <v>1104</v>
      </c>
      <c r="B19" s="82" t="s">
        <v>1105</v>
      </c>
      <c r="C19" s="82" t="s">
        <v>1100</v>
      </c>
      <c r="D19" s="82"/>
      <c r="E19" s="82">
        <v>3</v>
      </c>
      <c r="F19" s="82"/>
      <c r="G19" s="82">
        <v>501</v>
      </c>
      <c r="H19" s="82" t="s">
        <v>587</v>
      </c>
      <c r="I19" s="82"/>
      <c r="J19" s="82"/>
      <c r="K19" s="82"/>
    </row>
    <row r="20" spans="1:11" ht="12.75" x14ac:dyDescent="0.2">
      <c r="A20" s="82" t="s">
        <v>1104</v>
      </c>
      <c r="B20" s="82" t="s">
        <v>1105</v>
      </c>
      <c r="C20" s="82" t="s">
        <v>1100</v>
      </c>
      <c r="D20" s="82"/>
      <c r="E20" s="82">
        <v>3</v>
      </c>
      <c r="F20" s="82"/>
      <c r="G20" s="82">
        <v>5011</v>
      </c>
      <c r="H20" s="82" t="s">
        <v>588</v>
      </c>
      <c r="I20" s="82"/>
      <c r="J20" s="82"/>
      <c r="K20" s="82"/>
    </row>
    <row r="21" spans="1:11" ht="12.75" x14ac:dyDescent="0.2">
      <c r="A21" s="82" t="s">
        <v>1104</v>
      </c>
      <c r="B21" s="82" t="s">
        <v>1105</v>
      </c>
      <c r="C21" s="82" t="s">
        <v>1100</v>
      </c>
      <c r="D21" s="82"/>
      <c r="E21" s="82">
        <v>3</v>
      </c>
      <c r="F21" s="82"/>
      <c r="G21" s="82">
        <v>50111</v>
      </c>
      <c r="H21" s="82" t="s">
        <v>589</v>
      </c>
      <c r="I21" s="82">
        <v>10050000</v>
      </c>
      <c r="J21" s="82"/>
      <c r="K21" s="82"/>
    </row>
    <row r="22" spans="1:11" ht="12.75" x14ac:dyDescent="0.2">
      <c r="A22" s="82" t="s">
        <v>1106</v>
      </c>
      <c r="B22" s="82" t="s">
        <v>1105</v>
      </c>
      <c r="C22" s="82" t="s">
        <v>1107</v>
      </c>
      <c r="D22" s="82"/>
      <c r="E22" s="82">
        <v>4</v>
      </c>
      <c r="F22" s="82"/>
      <c r="G22" s="82">
        <v>60</v>
      </c>
      <c r="H22" s="82" t="s">
        <v>633</v>
      </c>
      <c r="I22" s="82"/>
      <c r="J22" s="82">
        <v>120000</v>
      </c>
      <c r="K22" s="82"/>
    </row>
    <row r="23" spans="1:11" ht="12.75" x14ac:dyDescent="0.2">
      <c r="A23" s="82" t="s">
        <v>1106</v>
      </c>
      <c r="B23" s="82" t="s">
        <v>1105</v>
      </c>
      <c r="C23" s="82" t="s">
        <v>1107</v>
      </c>
      <c r="D23" s="82"/>
      <c r="E23" s="82">
        <v>4</v>
      </c>
      <c r="F23" s="82"/>
      <c r="G23" s="82">
        <v>601</v>
      </c>
      <c r="H23" s="82" t="s">
        <v>234</v>
      </c>
      <c r="I23" s="82"/>
      <c r="J23" s="82"/>
      <c r="K23" s="82"/>
    </row>
    <row r="24" spans="1:11" ht="12.75" x14ac:dyDescent="0.2">
      <c r="A24" s="82" t="s">
        <v>1106</v>
      </c>
      <c r="B24" s="82" t="s">
        <v>1105</v>
      </c>
      <c r="C24" s="82" t="s">
        <v>1107</v>
      </c>
      <c r="D24" s="82"/>
      <c r="E24" s="82">
        <v>4</v>
      </c>
      <c r="F24" s="82"/>
      <c r="G24" s="82">
        <v>6011</v>
      </c>
      <c r="H24" s="82" t="s">
        <v>142</v>
      </c>
      <c r="I24" s="82"/>
      <c r="J24" s="82"/>
      <c r="K24" s="82"/>
    </row>
    <row r="25" spans="1:11" ht="12.75" x14ac:dyDescent="0.2">
      <c r="A25" s="82" t="s">
        <v>1106</v>
      </c>
      <c r="B25" s="82" t="s">
        <v>1105</v>
      </c>
      <c r="C25" s="82" t="s">
        <v>1107</v>
      </c>
      <c r="D25" s="82"/>
      <c r="E25" s="82">
        <v>4</v>
      </c>
      <c r="F25" s="82"/>
      <c r="G25" s="82">
        <v>60111</v>
      </c>
      <c r="H25" s="82" t="s">
        <v>31</v>
      </c>
      <c r="I25" s="82">
        <v>120000</v>
      </c>
      <c r="J25" s="82"/>
      <c r="K25" s="82"/>
    </row>
    <row r="26" spans="1:11" ht="12.75" x14ac:dyDescent="0.2">
      <c r="A26" s="82" t="s">
        <v>1106</v>
      </c>
      <c r="B26" s="82" t="s">
        <v>1105</v>
      </c>
      <c r="C26" s="82" t="s">
        <v>1107</v>
      </c>
      <c r="D26" s="82"/>
      <c r="E26" s="82">
        <v>5</v>
      </c>
      <c r="F26" s="82"/>
      <c r="G26" s="82">
        <v>40</v>
      </c>
      <c r="H26" s="82" t="s">
        <v>437</v>
      </c>
      <c r="I26" s="82"/>
      <c r="J26" s="82">
        <v>21600</v>
      </c>
      <c r="K26" s="82"/>
    </row>
    <row r="27" spans="1:11" ht="12.75" x14ac:dyDescent="0.2">
      <c r="A27" s="82" t="s">
        <v>1106</v>
      </c>
      <c r="B27" s="82" t="s">
        <v>1105</v>
      </c>
      <c r="C27" s="82" t="s">
        <v>1107</v>
      </c>
      <c r="D27" s="82"/>
      <c r="E27" s="82">
        <v>5</v>
      </c>
      <c r="F27" s="82"/>
      <c r="G27" s="82">
        <v>401</v>
      </c>
      <c r="H27" s="82" t="s">
        <v>438</v>
      </c>
      <c r="I27" s="82"/>
      <c r="J27" s="82"/>
      <c r="K27" s="82"/>
    </row>
    <row r="28" spans="1:11" ht="12.75" x14ac:dyDescent="0.2">
      <c r="A28" s="82" t="s">
        <v>1106</v>
      </c>
      <c r="B28" s="82" t="s">
        <v>1105</v>
      </c>
      <c r="C28" s="82" t="s">
        <v>1107</v>
      </c>
      <c r="D28" s="82"/>
      <c r="E28" s="82">
        <v>5</v>
      </c>
      <c r="F28" s="82"/>
      <c r="G28" s="82">
        <v>4011</v>
      </c>
      <c r="H28" s="82" t="s">
        <v>439</v>
      </c>
      <c r="I28" s="82"/>
      <c r="J28" s="82"/>
      <c r="K28" s="82"/>
    </row>
    <row r="29" spans="1:11" ht="12.75" x14ac:dyDescent="0.2">
      <c r="A29" s="82" t="s">
        <v>1106</v>
      </c>
      <c r="B29" s="82" t="s">
        <v>1105</v>
      </c>
      <c r="C29" s="82" t="s">
        <v>1107</v>
      </c>
      <c r="D29" s="82"/>
      <c r="E29" s="82">
        <v>5</v>
      </c>
      <c r="F29" s="82"/>
      <c r="G29" s="82">
        <v>40111</v>
      </c>
      <c r="H29" s="82" t="s">
        <v>440</v>
      </c>
      <c r="I29" s="82">
        <v>21600</v>
      </c>
      <c r="J29" s="82"/>
      <c r="K29" s="82"/>
    </row>
    <row r="30" spans="1:11" ht="12.75" x14ac:dyDescent="0.2">
      <c r="A30" s="82" t="s">
        <v>1106</v>
      </c>
      <c r="B30" s="82" t="s">
        <v>1105</v>
      </c>
      <c r="C30" s="82" t="s">
        <v>1107</v>
      </c>
      <c r="D30" s="82"/>
      <c r="E30" s="82">
        <v>6</v>
      </c>
      <c r="F30" s="82"/>
      <c r="G30" s="82">
        <v>42</v>
      </c>
      <c r="H30" s="82" t="s">
        <v>510</v>
      </c>
      <c r="I30" s="82"/>
      <c r="J30" s="82"/>
      <c r="K30" s="82">
        <v>141600</v>
      </c>
    </row>
    <row r="31" spans="1:11" ht="12.75" x14ac:dyDescent="0.2">
      <c r="A31" s="82" t="s">
        <v>1106</v>
      </c>
      <c r="B31" s="82" t="s">
        <v>1105</v>
      </c>
      <c r="C31" s="82" t="s">
        <v>1107</v>
      </c>
      <c r="D31" s="82"/>
      <c r="E31" s="82">
        <v>6</v>
      </c>
      <c r="F31" s="82"/>
      <c r="G31" s="82">
        <v>421</v>
      </c>
      <c r="H31" s="82" t="s">
        <v>511</v>
      </c>
      <c r="I31" s="82"/>
      <c r="J31" s="82"/>
      <c r="K31" s="82"/>
    </row>
    <row r="32" spans="1:11" ht="12.75" x14ac:dyDescent="0.2">
      <c r="A32" s="82" t="s">
        <v>1106</v>
      </c>
      <c r="B32" s="82" t="s">
        <v>1105</v>
      </c>
      <c r="C32" s="82" t="s">
        <v>1107</v>
      </c>
      <c r="D32" s="82"/>
      <c r="E32" s="82">
        <v>6</v>
      </c>
      <c r="F32" s="82"/>
      <c r="G32" s="82">
        <v>4212</v>
      </c>
      <c r="H32" s="82" t="s">
        <v>512</v>
      </c>
      <c r="I32" s="82">
        <v>141600</v>
      </c>
      <c r="J32" s="82"/>
      <c r="K32" s="82"/>
    </row>
    <row r="33" spans="1:11" ht="12.75" x14ac:dyDescent="0.2">
      <c r="A33" s="82" t="s">
        <v>1108</v>
      </c>
      <c r="B33" s="82" t="s">
        <v>1105</v>
      </c>
      <c r="C33" s="82" t="s">
        <v>1109</v>
      </c>
      <c r="D33" s="82"/>
      <c r="E33" s="82">
        <v>7</v>
      </c>
      <c r="F33" s="82"/>
      <c r="G33" s="82">
        <v>20</v>
      </c>
      <c r="H33" s="82" t="s">
        <v>140</v>
      </c>
      <c r="I33" s="82"/>
      <c r="J33" s="82">
        <v>120000</v>
      </c>
      <c r="K33" s="82"/>
    </row>
    <row r="34" spans="1:11" ht="12.75" x14ac:dyDescent="0.2">
      <c r="A34" s="82" t="s">
        <v>1108</v>
      </c>
      <c r="B34" s="82" t="s">
        <v>1105</v>
      </c>
      <c r="C34" s="82" t="s">
        <v>1109</v>
      </c>
      <c r="D34" s="82"/>
      <c r="E34" s="82">
        <v>7</v>
      </c>
      <c r="F34" s="82"/>
      <c r="G34" s="82">
        <v>201</v>
      </c>
      <c r="H34" s="82" t="s">
        <v>141</v>
      </c>
      <c r="I34" s="82"/>
      <c r="J34" s="82"/>
      <c r="K34" s="82"/>
    </row>
    <row r="35" spans="1:11" ht="12.75" x14ac:dyDescent="0.2">
      <c r="A35" s="82" t="s">
        <v>1108</v>
      </c>
      <c r="B35" s="82" t="s">
        <v>1105</v>
      </c>
      <c r="C35" s="82" t="s">
        <v>1109</v>
      </c>
      <c r="D35" s="82"/>
      <c r="E35" s="82">
        <v>7</v>
      </c>
      <c r="F35" s="82"/>
      <c r="G35" s="82">
        <v>2011</v>
      </c>
      <c r="H35" s="82" t="s">
        <v>142</v>
      </c>
      <c r="I35" s="82"/>
      <c r="J35" s="82"/>
      <c r="K35" s="82"/>
    </row>
    <row r="36" spans="1:11" ht="12.75" x14ac:dyDescent="0.2">
      <c r="A36" s="82" t="s">
        <v>1108</v>
      </c>
      <c r="B36" s="82" t="s">
        <v>1105</v>
      </c>
      <c r="C36" s="82" t="s">
        <v>1109</v>
      </c>
      <c r="D36" s="82"/>
      <c r="E36" s="82">
        <v>7</v>
      </c>
      <c r="F36" s="82"/>
      <c r="G36" s="82">
        <v>20111</v>
      </c>
      <c r="H36" s="82" t="s">
        <v>143</v>
      </c>
      <c r="I36" s="82">
        <v>120000</v>
      </c>
      <c r="J36" s="82"/>
      <c r="K36" s="82"/>
    </row>
    <row r="37" spans="1:11" ht="12.75" x14ac:dyDescent="0.2">
      <c r="A37" s="82" t="s">
        <v>1108</v>
      </c>
      <c r="B37" s="82" t="s">
        <v>1105</v>
      </c>
      <c r="C37" s="82" t="s">
        <v>1109</v>
      </c>
      <c r="D37" s="82"/>
      <c r="E37" s="82">
        <v>8</v>
      </c>
      <c r="F37" s="82"/>
      <c r="G37" s="82">
        <v>61</v>
      </c>
      <c r="H37" s="82" t="s">
        <v>643</v>
      </c>
      <c r="I37" s="82"/>
      <c r="J37" s="82"/>
      <c r="K37" s="82">
        <v>120000</v>
      </c>
    </row>
    <row r="38" spans="1:11" ht="12.75" x14ac:dyDescent="0.2">
      <c r="A38" s="82" t="s">
        <v>1108</v>
      </c>
      <c r="B38" s="82" t="s">
        <v>1105</v>
      </c>
      <c r="C38" s="82" t="s">
        <v>1109</v>
      </c>
      <c r="D38" s="82"/>
      <c r="E38" s="82">
        <v>8</v>
      </c>
      <c r="F38" s="82"/>
      <c r="G38" s="82">
        <v>611</v>
      </c>
      <c r="H38" s="82" t="s">
        <v>234</v>
      </c>
      <c r="I38" s="82"/>
      <c r="J38" s="82"/>
      <c r="K38" s="82"/>
    </row>
    <row r="39" spans="1:11" ht="12.75" x14ac:dyDescent="0.2">
      <c r="A39" s="82" t="s">
        <v>1108</v>
      </c>
      <c r="B39" s="82" t="s">
        <v>1105</v>
      </c>
      <c r="C39" s="82" t="s">
        <v>1109</v>
      </c>
      <c r="D39" s="82"/>
      <c r="E39" s="82">
        <v>8</v>
      </c>
      <c r="F39" s="82"/>
      <c r="G39" s="82">
        <v>6111</v>
      </c>
      <c r="H39" s="82" t="s">
        <v>142</v>
      </c>
      <c r="I39" s="82">
        <v>120000</v>
      </c>
      <c r="J39" s="82"/>
      <c r="K39" s="82"/>
    </row>
    <row r="40" spans="1:11" ht="12.75" x14ac:dyDescent="0.2">
      <c r="A40" s="82" t="s">
        <v>1110</v>
      </c>
      <c r="B40" s="82" t="s">
        <v>1105</v>
      </c>
      <c r="C40" s="82" t="s">
        <v>1107</v>
      </c>
      <c r="D40" s="82"/>
      <c r="E40" s="82">
        <v>9</v>
      </c>
      <c r="F40" s="82"/>
      <c r="G40" s="82">
        <v>42</v>
      </c>
      <c r="H40" s="82" t="s">
        <v>510</v>
      </c>
      <c r="I40" s="82"/>
      <c r="J40" s="82">
        <v>7080</v>
      </c>
      <c r="K40" s="82"/>
    </row>
    <row r="41" spans="1:11" ht="12.75" x14ac:dyDescent="0.2">
      <c r="A41" s="82" t="s">
        <v>1110</v>
      </c>
      <c r="B41" s="82" t="s">
        <v>1105</v>
      </c>
      <c r="C41" s="82" t="s">
        <v>1107</v>
      </c>
      <c r="D41" s="82"/>
      <c r="E41" s="82">
        <v>9</v>
      </c>
      <c r="F41" s="82"/>
      <c r="G41" s="82">
        <v>421</v>
      </c>
      <c r="H41" s="82" t="s">
        <v>511</v>
      </c>
      <c r="I41" s="82"/>
      <c r="J41" s="82"/>
      <c r="K41" s="82"/>
    </row>
    <row r="42" spans="1:11" ht="12.75" x14ac:dyDescent="0.2">
      <c r="A42" s="82" t="s">
        <v>1110</v>
      </c>
      <c r="B42" s="82" t="s">
        <v>1105</v>
      </c>
      <c r="C42" s="82" t="s">
        <v>1107</v>
      </c>
      <c r="D42" s="82"/>
      <c r="E42" s="82">
        <v>9</v>
      </c>
      <c r="F42" s="82"/>
      <c r="G42" s="82">
        <v>4212</v>
      </c>
      <c r="H42" s="82" t="s">
        <v>512</v>
      </c>
      <c r="I42" s="82">
        <v>7080</v>
      </c>
      <c r="J42" s="82"/>
      <c r="K42" s="82"/>
    </row>
    <row r="43" spans="1:11" ht="12.75" x14ac:dyDescent="0.2">
      <c r="A43" s="82" t="s">
        <v>1111</v>
      </c>
      <c r="B43" s="82" t="s">
        <v>1105</v>
      </c>
      <c r="C43" s="82" t="s">
        <v>1112</v>
      </c>
      <c r="D43" s="82"/>
      <c r="E43" s="82">
        <v>14</v>
      </c>
      <c r="F43" s="82"/>
      <c r="G43" s="82">
        <v>12</v>
      </c>
      <c r="H43" s="82" t="s">
        <v>41</v>
      </c>
      <c r="I43" s="82"/>
      <c r="J43" s="82">
        <v>1062000</v>
      </c>
      <c r="K43" s="82"/>
    </row>
    <row r="44" spans="1:11" ht="12.75" x14ac:dyDescent="0.2">
      <c r="A44" s="82" t="s">
        <v>1111</v>
      </c>
      <c r="B44" s="82" t="s">
        <v>1105</v>
      </c>
      <c r="C44" s="82" t="s">
        <v>1112</v>
      </c>
      <c r="D44" s="82"/>
      <c r="E44" s="82">
        <v>14</v>
      </c>
      <c r="F44" s="82"/>
      <c r="G44" s="82">
        <v>121</v>
      </c>
      <c r="H44" s="82" t="s">
        <v>42</v>
      </c>
      <c r="I44" s="82"/>
      <c r="J44" s="82"/>
      <c r="K44" s="82"/>
    </row>
    <row r="45" spans="1:11" ht="12.75" x14ac:dyDescent="0.2">
      <c r="A45" s="82" t="s">
        <v>1111</v>
      </c>
      <c r="B45" s="82" t="s">
        <v>1105</v>
      </c>
      <c r="C45" s="82" t="s">
        <v>1112</v>
      </c>
      <c r="D45" s="82"/>
      <c r="E45" s="82">
        <v>14</v>
      </c>
      <c r="F45" s="82"/>
      <c r="G45" s="82">
        <v>1212</v>
      </c>
      <c r="H45" s="82" t="s">
        <v>44</v>
      </c>
      <c r="I45" s="82">
        <v>1062000</v>
      </c>
      <c r="J45" s="82"/>
      <c r="K45" s="82"/>
    </row>
    <row r="46" spans="1:11" ht="12.75" x14ac:dyDescent="0.2">
      <c r="A46" s="82" t="s">
        <v>1111</v>
      </c>
      <c r="B46" s="82" t="s">
        <v>1105</v>
      </c>
      <c r="C46" s="82" t="s">
        <v>1112</v>
      </c>
      <c r="D46" s="82"/>
      <c r="E46" s="82">
        <v>15</v>
      </c>
      <c r="F46" s="82"/>
      <c r="G46" s="82">
        <v>40</v>
      </c>
      <c r="H46" s="82" t="s">
        <v>437</v>
      </c>
      <c r="I46" s="82"/>
      <c r="J46" s="82"/>
      <c r="K46" s="82">
        <v>162000</v>
      </c>
    </row>
    <row r="47" spans="1:11" ht="12.75" x14ac:dyDescent="0.2">
      <c r="A47" s="82" t="s">
        <v>1111</v>
      </c>
      <c r="B47" s="82" t="s">
        <v>1105</v>
      </c>
      <c r="C47" s="82" t="s">
        <v>1112</v>
      </c>
      <c r="D47" s="82"/>
      <c r="E47" s="82">
        <v>15</v>
      </c>
      <c r="F47" s="82"/>
      <c r="G47" s="82">
        <v>401</v>
      </c>
      <c r="H47" s="82" t="s">
        <v>438</v>
      </c>
      <c r="I47" s="82"/>
      <c r="J47" s="82"/>
      <c r="K47" s="82"/>
    </row>
    <row r="48" spans="1:11" ht="12.75" x14ac:dyDescent="0.2">
      <c r="A48" s="82" t="s">
        <v>1111</v>
      </c>
      <c r="B48" s="82" t="s">
        <v>1105</v>
      </c>
      <c r="C48" s="82" t="s">
        <v>1112</v>
      </c>
      <c r="D48" s="82"/>
      <c r="E48" s="82">
        <v>15</v>
      </c>
      <c r="F48" s="82"/>
      <c r="G48" s="82">
        <v>4011</v>
      </c>
      <c r="H48" s="82" t="s">
        <v>439</v>
      </c>
      <c r="I48" s="82"/>
      <c r="J48" s="82"/>
      <c r="K48" s="82"/>
    </row>
    <row r="49" spans="1:11" ht="12.75" x14ac:dyDescent="0.2">
      <c r="A49" s="82" t="s">
        <v>1111</v>
      </c>
      <c r="B49" s="82" t="s">
        <v>1105</v>
      </c>
      <c r="C49" s="82" t="s">
        <v>1112</v>
      </c>
      <c r="D49" s="82"/>
      <c r="E49" s="82">
        <v>15</v>
      </c>
      <c r="F49" s="82"/>
      <c r="G49" s="82">
        <v>40111</v>
      </c>
      <c r="H49" s="82" t="s">
        <v>440</v>
      </c>
      <c r="I49" s="82">
        <v>162000</v>
      </c>
      <c r="J49" s="82"/>
      <c r="K49" s="82"/>
    </row>
    <row r="50" spans="1:11" ht="12.75" x14ac:dyDescent="0.2">
      <c r="A50" s="82" t="s">
        <v>1111</v>
      </c>
      <c r="B50" s="82" t="s">
        <v>1105</v>
      </c>
      <c r="C50" s="82" t="s">
        <v>1112</v>
      </c>
      <c r="D50" s="82"/>
      <c r="E50" s="82">
        <v>16</v>
      </c>
      <c r="F50" s="82"/>
      <c r="G50" s="82">
        <v>70</v>
      </c>
      <c r="H50" s="82" t="s">
        <v>834</v>
      </c>
      <c r="I50" s="82"/>
      <c r="J50" s="82"/>
      <c r="K50" s="82">
        <v>900000</v>
      </c>
    </row>
    <row r="51" spans="1:11" ht="12.75" x14ac:dyDescent="0.2">
      <c r="A51" s="82" t="s">
        <v>1111</v>
      </c>
      <c r="B51" s="82" t="s">
        <v>1105</v>
      </c>
      <c r="C51" s="82" t="s">
        <v>1112</v>
      </c>
      <c r="D51" s="82"/>
      <c r="E51" s="82">
        <v>16</v>
      </c>
      <c r="F51" s="82"/>
      <c r="G51" s="82">
        <v>701</v>
      </c>
      <c r="H51" s="82" t="s">
        <v>234</v>
      </c>
      <c r="I51" s="82"/>
      <c r="J51" s="82"/>
      <c r="K51" s="82"/>
    </row>
    <row r="52" spans="1:11" ht="12.75" x14ac:dyDescent="0.2">
      <c r="A52" s="82" t="s">
        <v>1111</v>
      </c>
      <c r="B52" s="82" t="s">
        <v>1105</v>
      </c>
      <c r="C52" s="82" t="s">
        <v>1112</v>
      </c>
      <c r="D52" s="82"/>
      <c r="E52" s="82">
        <v>16</v>
      </c>
      <c r="F52" s="82"/>
      <c r="G52" s="82">
        <v>7011</v>
      </c>
      <c r="H52" s="82" t="s">
        <v>142</v>
      </c>
      <c r="I52" s="82"/>
      <c r="J52" s="82"/>
      <c r="K52" s="82"/>
    </row>
    <row r="53" spans="1:11" ht="12.75" x14ac:dyDescent="0.2">
      <c r="A53" s="82" t="s">
        <v>1111</v>
      </c>
      <c r="B53" s="82" t="s">
        <v>1105</v>
      </c>
      <c r="C53" s="82" t="s">
        <v>1112</v>
      </c>
      <c r="D53" s="82"/>
      <c r="E53" s="82">
        <v>16</v>
      </c>
      <c r="F53" s="82"/>
      <c r="G53" s="82">
        <v>70111</v>
      </c>
      <c r="H53" s="82" t="s">
        <v>835</v>
      </c>
      <c r="I53" s="82">
        <v>900000</v>
      </c>
      <c r="J53" s="82"/>
      <c r="K53" s="82"/>
    </row>
    <row r="54" spans="1:11" ht="12.75" x14ac:dyDescent="0.2">
      <c r="A54" s="82" t="s">
        <v>1113</v>
      </c>
      <c r="B54" s="82" t="s">
        <v>1114</v>
      </c>
      <c r="C54" s="82" t="s">
        <v>1115</v>
      </c>
      <c r="D54" s="82"/>
      <c r="E54" s="82">
        <v>25</v>
      </c>
      <c r="F54" s="82"/>
      <c r="G54" s="82">
        <v>69</v>
      </c>
      <c r="H54" s="82" t="s">
        <v>824</v>
      </c>
      <c r="I54" s="82"/>
      <c r="J54" s="82">
        <v>1000</v>
      </c>
      <c r="K54" s="82"/>
    </row>
    <row r="55" spans="1:11" ht="12.75" x14ac:dyDescent="0.2">
      <c r="A55" s="82" t="s">
        <v>1113</v>
      </c>
      <c r="B55" s="82" t="s">
        <v>1114</v>
      </c>
      <c r="C55" s="82" t="s">
        <v>1115</v>
      </c>
      <c r="D55" s="82"/>
      <c r="E55" s="82">
        <v>25</v>
      </c>
      <c r="F55" s="82"/>
      <c r="G55" s="82">
        <v>691</v>
      </c>
      <c r="H55" s="82" t="s">
        <v>234</v>
      </c>
      <c r="I55" s="82"/>
      <c r="J55" s="82"/>
      <c r="K55" s="82"/>
    </row>
    <row r="56" spans="1:11" ht="12.75" x14ac:dyDescent="0.2">
      <c r="A56" s="82" t="s">
        <v>1113</v>
      </c>
      <c r="B56" s="82" t="s">
        <v>1114</v>
      </c>
      <c r="C56" s="82" t="s">
        <v>1115</v>
      </c>
      <c r="D56" s="82"/>
      <c r="E56" s="82">
        <v>25</v>
      </c>
      <c r="F56" s="82"/>
      <c r="G56" s="82">
        <v>6911</v>
      </c>
      <c r="H56" s="82" t="s">
        <v>142</v>
      </c>
      <c r="I56" s="82"/>
      <c r="J56" s="82"/>
      <c r="K56" s="82"/>
    </row>
    <row r="57" spans="1:11" ht="12.75" x14ac:dyDescent="0.2">
      <c r="A57" s="82" t="s">
        <v>1113</v>
      </c>
      <c r="B57" s="82" t="s">
        <v>1114</v>
      </c>
      <c r="C57" s="82" t="s">
        <v>1115</v>
      </c>
      <c r="D57" s="82"/>
      <c r="E57" s="82">
        <v>25</v>
      </c>
      <c r="F57" s="82"/>
      <c r="G57" s="82">
        <v>69111</v>
      </c>
      <c r="H57" s="82" t="s">
        <v>825</v>
      </c>
      <c r="I57" s="82">
        <v>1000</v>
      </c>
      <c r="J57" s="82"/>
      <c r="K57" s="82"/>
    </row>
    <row r="58" spans="1:11" ht="12.75" x14ac:dyDescent="0.2">
      <c r="A58" s="82" t="s">
        <v>1113</v>
      </c>
      <c r="B58" s="82" t="s">
        <v>1114</v>
      </c>
      <c r="C58" s="82" t="s">
        <v>1115</v>
      </c>
      <c r="D58" s="82"/>
      <c r="E58" s="82">
        <v>26</v>
      </c>
      <c r="F58" s="82"/>
      <c r="G58" s="82">
        <v>20</v>
      </c>
      <c r="H58" s="82" t="s">
        <v>140</v>
      </c>
      <c r="I58" s="82"/>
      <c r="J58" s="82"/>
      <c r="K58" s="82">
        <v>1000</v>
      </c>
    </row>
    <row r="59" spans="1:11" ht="12.75" x14ac:dyDescent="0.2">
      <c r="A59" s="82" t="s">
        <v>1113</v>
      </c>
      <c r="B59" s="82" t="s">
        <v>1114</v>
      </c>
      <c r="C59" s="82" t="s">
        <v>1115</v>
      </c>
      <c r="D59" s="82"/>
      <c r="E59" s="82">
        <v>26</v>
      </c>
      <c r="F59" s="82"/>
      <c r="G59" s="82">
        <v>201</v>
      </c>
      <c r="H59" s="82" t="s">
        <v>141</v>
      </c>
      <c r="I59" s="82"/>
      <c r="J59" s="82"/>
      <c r="K59" s="82"/>
    </row>
    <row r="60" spans="1:11" ht="12.75" x14ac:dyDescent="0.2">
      <c r="A60" s="82" t="s">
        <v>1113</v>
      </c>
      <c r="B60" s="82" t="s">
        <v>1114</v>
      </c>
      <c r="C60" s="82" t="s">
        <v>1115</v>
      </c>
      <c r="D60" s="82"/>
      <c r="E60" s="82">
        <v>26</v>
      </c>
      <c r="F60" s="82"/>
      <c r="G60" s="82">
        <v>2011</v>
      </c>
      <c r="H60" s="82" t="s">
        <v>142</v>
      </c>
      <c r="I60" s="82"/>
      <c r="J60" s="82"/>
      <c r="K60" s="82"/>
    </row>
    <row r="61" spans="1:11" ht="12.75" x14ac:dyDescent="0.2">
      <c r="A61" s="82" t="s">
        <v>1113</v>
      </c>
      <c r="B61" s="82" t="s">
        <v>1114</v>
      </c>
      <c r="C61" s="82" t="s">
        <v>1115</v>
      </c>
      <c r="D61" s="82"/>
      <c r="E61" s="82">
        <v>26</v>
      </c>
      <c r="F61" s="82"/>
      <c r="G61" s="82">
        <v>20111</v>
      </c>
      <c r="H61" s="82" t="s">
        <v>143</v>
      </c>
      <c r="I61" s="83">
        <v>1000</v>
      </c>
      <c r="J61" s="83"/>
      <c r="K61" s="83"/>
    </row>
    <row r="62" spans="1:11" ht="15.75" thickBot="1" x14ac:dyDescent="0.3">
      <c r="A62" t="s">
        <v>1101</v>
      </c>
      <c r="H62" t="s">
        <v>1102</v>
      </c>
      <c r="I62" s="84">
        <f>SUM(I10:I61)</f>
        <v>22756280</v>
      </c>
      <c r="J62" s="84">
        <f>SUM(J10:J61)</f>
        <v>11381680</v>
      </c>
      <c r="K62" s="84">
        <f>SUM(K10:K61)</f>
        <v>11374600</v>
      </c>
    </row>
    <row r="63" spans="1:11" ht="15.75" thickTop="1" x14ac:dyDescent="0.25"/>
  </sheetData>
  <mergeCells count="10">
    <mergeCell ref="A1:K1"/>
    <mergeCell ref="A3:K3"/>
    <mergeCell ref="A4:K4"/>
    <mergeCell ref="A5:K5"/>
    <mergeCell ref="A7:A8"/>
    <mergeCell ref="B7:B8"/>
    <mergeCell ref="C7:C8"/>
    <mergeCell ref="D7:F7"/>
    <mergeCell ref="G7:H7"/>
    <mergeCell ref="I7:K7"/>
  </mergeCells>
  <printOptions horizontalCentered="1"/>
  <pageMargins left="0.15748031496062992" right="0.19685039370078741" top="0.19685039370078741" bottom="0.23622047244094491" header="0" footer="0"/>
  <pageSetup paperSize="9" scale="84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DATOS</vt:lpstr>
      <vt:lpstr>PCGE</vt:lpstr>
      <vt:lpstr>DATA DIARIO </vt:lpstr>
      <vt:lpstr>LIBRO DIARIO PROESADO</vt:lpstr>
      <vt:lpstr>Diario Mensual</vt:lpstr>
      <vt:lpstr>'Diario Mensual'!Títulos_a_imprimir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F. Bazán Saldivar</dc:creator>
  <cp:lastModifiedBy>XLSVM</cp:lastModifiedBy>
  <cp:lastPrinted>2015-10-14T00:46:42Z</cp:lastPrinted>
  <dcterms:created xsi:type="dcterms:W3CDTF">2015-10-12T17:19:47Z</dcterms:created>
  <dcterms:modified xsi:type="dcterms:W3CDTF">2015-10-14T01:37:29Z</dcterms:modified>
</cp:coreProperties>
</file>