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defaultThemeVersion="124226"/>
  <bookViews>
    <workbookView xWindow="240" yWindow="60" windowWidth="11580" windowHeight="6030" activeTab="1"/>
  </bookViews>
  <sheets>
    <sheet name="Instrucciones" sheetId="3" r:id="rId1"/>
    <sheet name="BC_PCGEmpresarial" sheetId="1" r:id="rId2"/>
  </sheets>
  <definedNames>
    <definedName name="_xlnm._FilterDatabase" localSheetId="1" hidden="1">BC_PCGEmpresarial!$B$2:$R$1291</definedName>
  </definedNames>
  <calcPr calcId="144525"/>
</workbook>
</file>

<file path=xl/calcChain.xml><?xml version="1.0" encoding="utf-8"?>
<calcChain xmlns="http://schemas.openxmlformats.org/spreadsheetml/2006/main">
  <c r="J998" i="1" l="1"/>
  <c r="I998" i="1"/>
  <c r="H998" i="1"/>
  <c r="G998" i="1"/>
  <c r="G18" i="1"/>
  <c r="G1255" i="1"/>
  <c r="G1257" i="1"/>
  <c r="H994" i="1"/>
  <c r="J1256" i="1"/>
  <c r="I1256" i="1"/>
  <c r="H1256" i="1"/>
  <c r="G1256" i="1"/>
  <c r="R998" i="1"/>
  <c r="R996" i="1"/>
  <c r="R995" i="1"/>
  <c r="R994" i="1"/>
  <c r="R1256" i="1"/>
  <c r="R1024" i="1"/>
  <c r="R1023" i="1"/>
  <c r="R1022" i="1"/>
  <c r="R1016" i="1"/>
  <c r="R1015" i="1"/>
  <c r="R1014" i="1"/>
  <c r="R1013" i="1"/>
  <c r="J1024" i="1"/>
  <c r="I1024" i="1"/>
  <c r="H1024" i="1"/>
  <c r="G1024" i="1"/>
  <c r="J1023" i="1"/>
  <c r="I1023" i="1"/>
  <c r="H1023" i="1"/>
  <c r="G1023" i="1"/>
  <c r="J1022" i="1"/>
  <c r="I1022" i="1"/>
  <c r="H1022" i="1"/>
  <c r="G1022" i="1"/>
  <c r="J1016" i="1"/>
  <c r="I1016" i="1"/>
  <c r="H1016" i="1"/>
  <c r="G1016" i="1"/>
  <c r="J1015" i="1"/>
  <c r="I1015" i="1"/>
  <c r="H1015" i="1"/>
  <c r="G1015" i="1"/>
  <c r="J1014" i="1"/>
  <c r="I1014" i="1"/>
  <c r="H1014" i="1"/>
  <c r="G1014" i="1"/>
  <c r="J1013" i="1"/>
  <c r="I1013" i="1"/>
  <c r="H1013" i="1"/>
  <c r="G1013" i="1"/>
  <c r="J996" i="1"/>
  <c r="I996" i="1"/>
  <c r="H996" i="1"/>
  <c r="G996" i="1"/>
  <c r="J995" i="1"/>
  <c r="I995" i="1"/>
  <c r="H995" i="1"/>
  <c r="G995" i="1"/>
  <c r="J994" i="1"/>
  <c r="I994" i="1"/>
  <c r="G994" i="1"/>
  <c r="L1289" i="1"/>
  <c r="L1291" i="1" s="1"/>
  <c r="K1289" i="1"/>
  <c r="F1289" i="1"/>
  <c r="F1291" i="1" s="1"/>
  <c r="E1289" i="1"/>
  <c r="E1291" i="1" s="1"/>
  <c r="D1289" i="1"/>
  <c r="D1291" i="1" s="1"/>
  <c r="C1289" i="1"/>
  <c r="R1288" i="1"/>
  <c r="J1288" i="1"/>
  <c r="I1288" i="1"/>
  <c r="H1288" i="1"/>
  <c r="G1288" i="1"/>
  <c r="R1287" i="1"/>
  <c r="J1287" i="1"/>
  <c r="I1287" i="1"/>
  <c r="H1287" i="1"/>
  <c r="G1287" i="1"/>
  <c r="R1286" i="1"/>
  <c r="J1286" i="1"/>
  <c r="I1286" i="1"/>
  <c r="H1286" i="1"/>
  <c r="G1286" i="1"/>
  <c r="R1285" i="1"/>
  <c r="J1285" i="1"/>
  <c r="I1285" i="1"/>
  <c r="H1285" i="1"/>
  <c r="G1285" i="1"/>
  <c r="R1284" i="1"/>
  <c r="J1284" i="1"/>
  <c r="I1284" i="1"/>
  <c r="O1284" i="1" s="1"/>
  <c r="H1284" i="1"/>
  <c r="G1284" i="1"/>
  <c r="R1283" i="1"/>
  <c r="J1283" i="1"/>
  <c r="P1283" i="1" s="1"/>
  <c r="I1283" i="1"/>
  <c r="H1283" i="1"/>
  <c r="G1283" i="1"/>
  <c r="R1282" i="1"/>
  <c r="J1282" i="1"/>
  <c r="I1282" i="1"/>
  <c r="H1282" i="1"/>
  <c r="G1282" i="1"/>
  <c r="R1281" i="1"/>
  <c r="J1281" i="1"/>
  <c r="I1281" i="1"/>
  <c r="H1281" i="1"/>
  <c r="G1281" i="1"/>
  <c r="R1280" i="1"/>
  <c r="J1280" i="1"/>
  <c r="I1280" i="1"/>
  <c r="H1280" i="1"/>
  <c r="G1280" i="1"/>
  <c r="R1279" i="1"/>
  <c r="J1279" i="1"/>
  <c r="I1279" i="1"/>
  <c r="H1279" i="1"/>
  <c r="G1279" i="1"/>
  <c r="R1278" i="1"/>
  <c r="J1278" i="1"/>
  <c r="I1278" i="1"/>
  <c r="H1278" i="1"/>
  <c r="G1278" i="1"/>
  <c r="R1277" i="1"/>
  <c r="J1277" i="1"/>
  <c r="I1277" i="1"/>
  <c r="H1277" i="1"/>
  <c r="G1277" i="1"/>
  <c r="R1276" i="1"/>
  <c r="J1276" i="1"/>
  <c r="I1276" i="1"/>
  <c r="O1276" i="1" s="1"/>
  <c r="H1276" i="1"/>
  <c r="G1276" i="1"/>
  <c r="R1275" i="1"/>
  <c r="J1275" i="1"/>
  <c r="I1275" i="1"/>
  <c r="H1275" i="1"/>
  <c r="G1275" i="1"/>
  <c r="R1274" i="1"/>
  <c r="J1274" i="1"/>
  <c r="I1274" i="1"/>
  <c r="H1274" i="1"/>
  <c r="G1274" i="1"/>
  <c r="R1273" i="1"/>
  <c r="J1273" i="1"/>
  <c r="I1273" i="1"/>
  <c r="H1273" i="1"/>
  <c r="G1273" i="1"/>
  <c r="R1272" i="1"/>
  <c r="J1272" i="1"/>
  <c r="I1272" i="1"/>
  <c r="O1272" i="1" s="1"/>
  <c r="H1272" i="1"/>
  <c r="G1272" i="1"/>
  <c r="R1271" i="1"/>
  <c r="J1271" i="1"/>
  <c r="I1271" i="1"/>
  <c r="H1271" i="1"/>
  <c r="G1271" i="1"/>
  <c r="R1270" i="1"/>
  <c r="J1270" i="1"/>
  <c r="I1270" i="1"/>
  <c r="H1270" i="1"/>
  <c r="G1270" i="1"/>
  <c r="R1269" i="1"/>
  <c r="J1269" i="1"/>
  <c r="I1269" i="1"/>
  <c r="H1269" i="1"/>
  <c r="G1269" i="1"/>
  <c r="R1268" i="1"/>
  <c r="J1268" i="1"/>
  <c r="I1268" i="1"/>
  <c r="P1268" i="1" s="1"/>
  <c r="H1268" i="1"/>
  <c r="G1268" i="1"/>
  <c r="R1267" i="1"/>
  <c r="J1267" i="1"/>
  <c r="P1267" i="1" s="1"/>
  <c r="I1267" i="1"/>
  <c r="H1267" i="1"/>
  <c r="G1267" i="1"/>
  <c r="R1266" i="1"/>
  <c r="J1266" i="1"/>
  <c r="I1266" i="1"/>
  <c r="H1266" i="1"/>
  <c r="G1266" i="1"/>
  <c r="R1265" i="1"/>
  <c r="J1265" i="1"/>
  <c r="I1265" i="1"/>
  <c r="H1265" i="1"/>
  <c r="G1265" i="1"/>
  <c r="R1264" i="1"/>
  <c r="J1264" i="1"/>
  <c r="I1264" i="1"/>
  <c r="P1264" i="1" s="1"/>
  <c r="H1264" i="1"/>
  <c r="G1264" i="1"/>
  <c r="R1263" i="1"/>
  <c r="J1263" i="1"/>
  <c r="P1263" i="1" s="1"/>
  <c r="I1263" i="1"/>
  <c r="H1263" i="1"/>
  <c r="G1263" i="1"/>
  <c r="R1262" i="1"/>
  <c r="J1262" i="1"/>
  <c r="I1262" i="1"/>
  <c r="H1262" i="1"/>
  <c r="G1262" i="1"/>
  <c r="R1261" i="1"/>
  <c r="J1261" i="1"/>
  <c r="I1261" i="1"/>
  <c r="H1261" i="1"/>
  <c r="G1261" i="1"/>
  <c r="R1260" i="1"/>
  <c r="J1260" i="1"/>
  <c r="I1260" i="1"/>
  <c r="O1260" i="1" s="1"/>
  <c r="H1260" i="1"/>
  <c r="G1260" i="1"/>
  <c r="R1259" i="1"/>
  <c r="J1259" i="1"/>
  <c r="I1259" i="1"/>
  <c r="H1259" i="1"/>
  <c r="G1259" i="1"/>
  <c r="R1258" i="1"/>
  <c r="J1258" i="1"/>
  <c r="I1258" i="1"/>
  <c r="H1258" i="1"/>
  <c r="G1258" i="1"/>
  <c r="R1257" i="1"/>
  <c r="J1257" i="1"/>
  <c r="I1257" i="1"/>
  <c r="H1257" i="1"/>
  <c r="R1255" i="1"/>
  <c r="J1255" i="1"/>
  <c r="I1255" i="1"/>
  <c r="H1255" i="1"/>
  <c r="R1254" i="1"/>
  <c r="J1254" i="1"/>
  <c r="I1254" i="1"/>
  <c r="H1254" i="1"/>
  <c r="G1254" i="1"/>
  <c r="R1253" i="1"/>
  <c r="J1253" i="1"/>
  <c r="I1253" i="1"/>
  <c r="H1253" i="1"/>
  <c r="G1253" i="1"/>
  <c r="R1252" i="1"/>
  <c r="J1252" i="1"/>
  <c r="P1252" i="1" s="1"/>
  <c r="I1252" i="1"/>
  <c r="H1252" i="1"/>
  <c r="G1252" i="1"/>
  <c r="R1251" i="1"/>
  <c r="J1251" i="1"/>
  <c r="I1251" i="1"/>
  <c r="H1251" i="1"/>
  <c r="G1251" i="1"/>
  <c r="R1250" i="1"/>
  <c r="J1250" i="1"/>
  <c r="I1250" i="1"/>
  <c r="H1250" i="1"/>
  <c r="G1250" i="1"/>
  <c r="R1249" i="1"/>
  <c r="J1249" i="1"/>
  <c r="I1249" i="1"/>
  <c r="P1249" i="1" s="1"/>
  <c r="H1249" i="1"/>
  <c r="G1249" i="1"/>
  <c r="R1248" i="1"/>
  <c r="J1248" i="1"/>
  <c r="I1248" i="1"/>
  <c r="H1248" i="1"/>
  <c r="G1248" i="1"/>
  <c r="R1247" i="1"/>
  <c r="J1247" i="1"/>
  <c r="I1247" i="1"/>
  <c r="H1247" i="1"/>
  <c r="G1247" i="1"/>
  <c r="R1246" i="1"/>
  <c r="J1246" i="1"/>
  <c r="I1246" i="1"/>
  <c r="H1246" i="1"/>
  <c r="G1246" i="1"/>
  <c r="R1245" i="1"/>
  <c r="J1245" i="1"/>
  <c r="I1245" i="1"/>
  <c r="O1245" i="1" s="1"/>
  <c r="H1245" i="1"/>
  <c r="G1245" i="1"/>
  <c r="R1244" i="1"/>
  <c r="J1244" i="1"/>
  <c r="P1244" i="1" s="1"/>
  <c r="I1244" i="1"/>
  <c r="H1244" i="1"/>
  <c r="G1244" i="1"/>
  <c r="R1243" i="1"/>
  <c r="J1243" i="1"/>
  <c r="I1243" i="1"/>
  <c r="H1243" i="1"/>
  <c r="G1243" i="1"/>
  <c r="R1242" i="1"/>
  <c r="J1242" i="1"/>
  <c r="I1242" i="1"/>
  <c r="H1242" i="1"/>
  <c r="G1242" i="1"/>
  <c r="R1241" i="1"/>
  <c r="J1241" i="1"/>
  <c r="I1241" i="1"/>
  <c r="O1241" i="1" s="1"/>
  <c r="H1241" i="1"/>
  <c r="G1241" i="1"/>
  <c r="R1240" i="1"/>
  <c r="J1240" i="1"/>
  <c r="O1240" i="1" s="1"/>
  <c r="I1240" i="1"/>
  <c r="H1240" i="1"/>
  <c r="G1240" i="1"/>
  <c r="R1239" i="1"/>
  <c r="J1239" i="1"/>
  <c r="I1239" i="1"/>
  <c r="H1239" i="1"/>
  <c r="G1239" i="1"/>
  <c r="R1238" i="1"/>
  <c r="J1238" i="1"/>
  <c r="I1238" i="1"/>
  <c r="H1238" i="1"/>
  <c r="G1238" i="1"/>
  <c r="R1237" i="1"/>
  <c r="J1237" i="1"/>
  <c r="I1237" i="1"/>
  <c r="O1237" i="1" s="1"/>
  <c r="H1237" i="1"/>
  <c r="G1237" i="1"/>
  <c r="R1236" i="1"/>
  <c r="J1236" i="1"/>
  <c r="O1236" i="1" s="1"/>
  <c r="I1236" i="1"/>
  <c r="H1236" i="1"/>
  <c r="G1236" i="1"/>
  <c r="R1235" i="1"/>
  <c r="J1235" i="1"/>
  <c r="I1235" i="1"/>
  <c r="H1235" i="1"/>
  <c r="G1235" i="1"/>
  <c r="R1234" i="1"/>
  <c r="J1234" i="1"/>
  <c r="I1234" i="1"/>
  <c r="H1234" i="1"/>
  <c r="G1234" i="1"/>
  <c r="R1233" i="1"/>
  <c r="J1233" i="1"/>
  <c r="I1233" i="1"/>
  <c r="O1233" i="1" s="1"/>
  <c r="H1233" i="1"/>
  <c r="G1233" i="1"/>
  <c r="R1232" i="1"/>
  <c r="J1232" i="1"/>
  <c r="O1232" i="1" s="1"/>
  <c r="I1232" i="1"/>
  <c r="H1232" i="1"/>
  <c r="G1232" i="1"/>
  <c r="R1231" i="1"/>
  <c r="J1231" i="1"/>
  <c r="I1231" i="1"/>
  <c r="H1231" i="1"/>
  <c r="G1231" i="1"/>
  <c r="R1230" i="1"/>
  <c r="J1230" i="1"/>
  <c r="I1230" i="1"/>
  <c r="H1230" i="1"/>
  <c r="G1230" i="1"/>
  <c r="R1229" i="1"/>
  <c r="J1229" i="1"/>
  <c r="I1229" i="1"/>
  <c r="O1229" i="1" s="1"/>
  <c r="H1229" i="1"/>
  <c r="G1229" i="1"/>
  <c r="R1228" i="1"/>
  <c r="J1228" i="1"/>
  <c r="O1228" i="1" s="1"/>
  <c r="I1228" i="1"/>
  <c r="H1228" i="1"/>
  <c r="G1228" i="1"/>
  <c r="R1227" i="1"/>
  <c r="J1227" i="1"/>
  <c r="I1227" i="1"/>
  <c r="H1227" i="1"/>
  <c r="G1227" i="1"/>
  <c r="R1226" i="1"/>
  <c r="J1226" i="1"/>
  <c r="I1226" i="1"/>
  <c r="H1226" i="1"/>
  <c r="G1226" i="1"/>
  <c r="R1225" i="1"/>
  <c r="J1225" i="1"/>
  <c r="I1225" i="1"/>
  <c r="O1225" i="1" s="1"/>
  <c r="H1225" i="1"/>
  <c r="G1225" i="1"/>
  <c r="R1224" i="1"/>
  <c r="J1224" i="1"/>
  <c r="O1224" i="1" s="1"/>
  <c r="I1224" i="1"/>
  <c r="H1224" i="1"/>
  <c r="G1224" i="1"/>
  <c r="R1223" i="1"/>
  <c r="J1223" i="1"/>
  <c r="I1223" i="1"/>
  <c r="H1223" i="1"/>
  <c r="G1223" i="1"/>
  <c r="R1222" i="1"/>
  <c r="J1222" i="1"/>
  <c r="I1222" i="1"/>
  <c r="H1222" i="1"/>
  <c r="G1222" i="1"/>
  <c r="R1221" i="1"/>
  <c r="J1221" i="1"/>
  <c r="I1221" i="1"/>
  <c r="O1221" i="1" s="1"/>
  <c r="H1221" i="1"/>
  <c r="G1221" i="1"/>
  <c r="R1220" i="1"/>
  <c r="J1220" i="1"/>
  <c r="O1220" i="1" s="1"/>
  <c r="I1220" i="1"/>
  <c r="H1220" i="1"/>
  <c r="G1220" i="1"/>
  <c r="R1219" i="1"/>
  <c r="J1219" i="1"/>
  <c r="I1219" i="1"/>
  <c r="H1219" i="1"/>
  <c r="G1219" i="1"/>
  <c r="R1218" i="1"/>
  <c r="J1218" i="1"/>
  <c r="I1218" i="1"/>
  <c r="H1218" i="1"/>
  <c r="G1218" i="1"/>
  <c r="R1217" i="1"/>
  <c r="J1217" i="1"/>
  <c r="I1217" i="1"/>
  <c r="O1217" i="1" s="1"/>
  <c r="H1217" i="1"/>
  <c r="G1217" i="1"/>
  <c r="R1216" i="1"/>
  <c r="J1216" i="1"/>
  <c r="O1216" i="1" s="1"/>
  <c r="I1216" i="1"/>
  <c r="H1216" i="1"/>
  <c r="G1216" i="1"/>
  <c r="R1215" i="1"/>
  <c r="J1215" i="1"/>
  <c r="I1215" i="1"/>
  <c r="H1215" i="1"/>
  <c r="G1215" i="1"/>
  <c r="R1214" i="1"/>
  <c r="J1214" i="1"/>
  <c r="I1214" i="1"/>
  <c r="H1214" i="1"/>
  <c r="G1214" i="1"/>
  <c r="R1213" i="1"/>
  <c r="J1213" i="1"/>
  <c r="I1213" i="1"/>
  <c r="H1213" i="1"/>
  <c r="G1213" i="1"/>
  <c r="R1212" i="1"/>
  <c r="J1212" i="1"/>
  <c r="O1212" i="1" s="1"/>
  <c r="I1212" i="1"/>
  <c r="H1212" i="1"/>
  <c r="G1212" i="1"/>
  <c r="R1211" i="1"/>
  <c r="J1211" i="1"/>
  <c r="I1211" i="1"/>
  <c r="H1211" i="1"/>
  <c r="G1211" i="1"/>
  <c r="R1210" i="1"/>
  <c r="J1210" i="1"/>
  <c r="I1210" i="1"/>
  <c r="H1210" i="1"/>
  <c r="G1210" i="1"/>
  <c r="R1209" i="1"/>
  <c r="J1209" i="1"/>
  <c r="I1209" i="1"/>
  <c r="O1209" i="1" s="1"/>
  <c r="H1209" i="1"/>
  <c r="G1209" i="1"/>
  <c r="R1208" i="1"/>
  <c r="J1208" i="1"/>
  <c r="O1208" i="1" s="1"/>
  <c r="I1208" i="1"/>
  <c r="H1208" i="1"/>
  <c r="G1208" i="1"/>
  <c r="R1207" i="1"/>
  <c r="J1207" i="1"/>
  <c r="I1207" i="1"/>
  <c r="H1207" i="1"/>
  <c r="G1207" i="1"/>
  <c r="R1206" i="1"/>
  <c r="J1206" i="1"/>
  <c r="I1206" i="1"/>
  <c r="H1206" i="1"/>
  <c r="G1206" i="1"/>
  <c r="R1205" i="1"/>
  <c r="J1205" i="1"/>
  <c r="I1205" i="1"/>
  <c r="H1205" i="1"/>
  <c r="G1205" i="1"/>
  <c r="R1204" i="1"/>
  <c r="J1204" i="1"/>
  <c r="O1204" i="1" s="1"/>
  <c r="I1204" i="1"/>
  <c r="H1204" i="1"/>
  <c r="G1204" i="1"/>
  <c r="R1203" i="1"/>
  <c r="J1203" i="1"/>
  <c r="I1203" i="1"/>
  <c r="H1203" i="1"/>
  <c r="G1203" i="1"/>
  <c r="R1202" i="1"/>
  <c r="J1202" i="1"/>
  <c r="I1202" i="1"/>
  <c r="H1202" i="1"/>
  <c r="G1202" i="1"/>
  <c r="R1201" i="1"/>
  <c r="J1201" i="1"/>
  <c r="I1201" i="1"/>
  <c r="O1201" i="1" s="1"/>
  <c r="H1201" i="1"/>
  <c r="G1201" i="1"/>
  <c r="R1200" i="1"/>
  <c r="J1200" i="1"/>
  <c r="O1200" i="1" s="1"/>
  <c r="I1200" i="1"/>
  <c r="H1200" i="1"/>
  <c r="G1200" i="1"/>
  <c r="R1199" i="1"/>
  <c r="J1199" i="1"/>
  <c r="I1199" i="1"/>
  <c r="H1199" i="1"/>
  <c r="G1199" i="1"/>
  <c r="R1198" i="1"/>
  <c r="J1198" i="1"/>
  <c r="I1198" i="1"/>
  <c r="H1198" i="1"/>
  <c r="G1198" i="1"/>
  <c r="R1197" i="1"/>
  <c r="J1197" i="1"/>
  <c r="I1197" i="1"/>
  <c r="H1197" i="1"/>
  <c r="G1197" i="1"/>
  <c r="R1196" i="1"/>
  <c r="J1196" i="1"/>
  <c r="O1196" i="1" s="1"/>
  <c r="I1196" i="1"/>
  <c r="H1196" i="1"/>
  <c r="G1196" i="1"/>
  <c r="R1195" i="1"/>
  <c r="J1195" i="1"/>
  <c r="I1195" i="1"/>
  <c r="H1195" i="1"/>
  <c r="G1195" i="1"/>
  <c r="R1194" i="1"/>
  <c r="J1194" i="1"/>
  <c r="I1194" i="1"/>
  <c r="H1194" i="1"/>
  <c r="G1194" i="1"/>
  <c r="R1193" i="1"/>
  <c r="J1193" i="1"/>
  <c r="I1193" i="1"/>
  <c r="O1193" i="1" s="1"/>
  <c r="H1193" i="1"/>
  <c r="G1193" i="1"/>
  <c r="R1192" i="1"/>
  <c r="J1192" i="1"/>
  <c r="O1192" i="1" s="1"/>
  <c r="I1192" i="1"/>
  <c r="H1192" i="1"/>
  <c r="G1192" i="1"/>
  <c r="R1191" i="1"/>
  <c r="J1191" i="1"/>
  <c r="I1191" i="1"/>
  <c r="H1191" i="1"/>
  <c r="G1191" i="1"/>
  <c r="R1190" i="1"/>
  <c r="J1190" i="1"/>
  <c r="I1190" i="1"/>
  <c r="H1190" i="1"/>
  <c r="G1190" i="1"/>
  <c r="R1189" i="1"/>
  <c r="J1189" i="1"/>
  <c r="I1189" i="1"/>
  <c r="H1189" i="1"/>
  <c r="G1189" i="1"/>
  <c r="R1188" i="1"/>
  <c r="J1188" i="1"/>
  <c r="O1188" i="1" s="1"/>
  <c r="I1188" i="1"/>
  <c r="H1188" i="1"/>
  <c r="G1188" i="1"/>
  <c r="R1187" i="1"/>
  <c r="J1187" i="1"/>
  <c r="I1187" i="1"/>
  <c r="H1187" i="1"/>
  <c r="G1187" i="1"/>
  <c r="R1186" i="1"/>
  <c r="J1186" i="1"/>
  <c r="I1186" i="1"/>
  <c r="H1186" i="1"/>
  <c r="G1186" i="1"/>
  <c r="R1185" i="1"/>
  <c r="J1185" i="1"/>
  <c r="I1185" i="1"/>
  <c r="O1185" i="1" s="1"/>
  <c r="H1185" i="1"/>
  <c r="G1185" i="1"/>
  <c r="R1184" i="1"/>
  <c r="J1184" i="1"/>
  <c r="O1184" i="1" s="1"/>
  <c r="I1184" i="1"/>
  <c r="H1184" i="1"/>
  <c r="G1184" i="1"/>
  <c r="R1183" i="1"/>
  <c r="J1183" i="1"/>
  <c r="I1183" i="1"/>
  <c r="H1183" i="1"/>
  <c r="G1183" i="1"/>
  <c r="R1182" i="1"/>
  <c r="J1182" i="1"/>
  <c r="I1182" i="1"/>
  <c r="H1182" i="1"/>
  <c r="G1182" i="1"/>
  <c r="R1181" i="1"/>
  <c r="J1181" i="1"/>
  <c r="I1181" i="1"/>
  <c r="H1181" i="1"/>
  <c r="G1181" i="1"/>
  <c r="R1180" i="1"/>
  <c r="J1180" i="1"/>
  <c r="O1180" i="1" s="1"/>
  <c r="I1180" i="1"/>
  <c r="H1180" i="1"/>
  <c r="G1180" i="1"/>
  <c r="R1179" i="1"/>
  <c r="J1179" i="1"/>
  <c r="I1179" i="1"/>
  <c r="H1179" i="1"/>
  <c r="G1179" i="1"/>
  <c r="R1178" i="1"/>
  <c r="J1178" i="1"/>
  <c r="I1178" i="1"/>
  <c r="H1178" i="1"/>
  <c r="G1178" i="1"/>
  <c r="R1177" i="1"/>
  <c r="J1177" i="1"/>
  <c r="I1177" i="1"/>
  <c r="H1177" i="1"/>
  <c r="G1177" i="1"/>
  <c r="R1176" i="1"/>
  <c r="J1176" i="1"/>
  <c r="O1176" i="1" s="1"/>
  <c r="I1176" i="1"/>
  <c r="H1176" i="1"/>
  <c r="G1176" i="1"/>
  <c r="R1175" i="1"/>
  <c r="J1175" i="1"/>
  <c r="I1175" i="1"/>
  <c r="H1175" i="1"/>
  <c r="G1175" i="1"/>
  <c r="R1174" i="1"/>
  <c r="J1174" i="1"/>
  <c r="I1174" i="1"/>
  <c r="H1174" i="1"/>
  <c r="G1174" i="1"/>
  <c r="R1173" i="1"/>
  <c r="J1173" i="1"/>
  <c r="I1173" i="1"/>
  <c r="H1173" i="1"/>
  <c r="G1173" i="1"/>
  <c r="R1172" i="1"/>
  <c r="J1172" i="1"/>
  <c r="O1172" i="1" s="1"/>
  <c r="I1172" i="1"/>
  <c r="H1172" i="1"/>
  <c r="G1172" i="1"/>
  <c r="R1171" i="1"/>
  <c r="J1171" i="1"/>
  <c r="I1171" i="1"/>
  <c r="H1171" i="1"/>
  <c r="G1171" i="1"/>
  <c r="R1170" i="1"/>
  <c r="J1170" i="1"/>
  <c r="I1170" i="1"/>
  <c r="H1170" i="1"/>
  <c r="G1170" i="1"/>
  <c r="R1169" i="1"/>
  <c r="J1169" i="1"/>
  <c r="I1169" i="1"/>
  <c r="H1169" i="1"/>
  <c r="G1169" i="1"/>
  <c r="R1168" i="1"/>
  <c r="J1168" i="1"/>
  <c r="O1168" i="1" s="1"/>
  <c r="I1168" i="1"/>
  <c r="H1168" i="1"/>
  <c r="G1168" i="1"/>
  <c r="R1167" i="1"/>
  <c r="J1167" i="1"/>
  <c r="I1167" i="1"/>
  <c r="H1167" i="1"/>
  <c r="G1167" i="1"/>
  <c r="R1166" i="1"/>
  <c r="J1166" i="1"/>
  <c r="I1166" i="1"/>
  <c r="H1166" i="1"/>
  <c r="G1166" i="1"/>
  <c r="R1165" i="1"/>
  <c r="J1165" i="1"/>
  <c r="I1165" i="1"/>
  <c r="O1165" i="1" s="1"/>
  <c r="H1165" i="1"/>
  <c r="G1165" i="1"/>
  <c r="R1164" i="1"/>
  <c r="J1164" i="1"/>
  <c r="O1164" i="1" s="1"/>
  <c r="I1164" i="1"/>
  <c r="H1164" i="1"/>
  <c r="G1164" i="1"/>
  <c r="R1163" i="1"/>
  <c r="J1163" i="1"/>
  <c r="I1163" i="1"/>
  <c r="H1163" i="1"/>
  <c r="G1163" i="1"/>
  <c r="R1162" i="1"/>
  <c r="J1162" i="1"/>
  <c r="I1162" i="1"/>
  <c r="H1162" i="1"/>
  <c r="G1162" i="1"/>
  <c r="R1161" i="1"/>
  <c r="J1161" i="1"/>
  <c r="I1161" i="1"/>
  <c r="H1161" i="1"/>
  <c r="G1161" i="1"/>
  <c r="R1160" i="1"/>
  <c r="J1160" i="1"/>
  <c r="O1160" i="1" s="1"/>
  <c r="I1160" i="1"/>
  <c r="H1160" i="1"/>
  <c r="G1160" i="1"/>
  <c r="R1159" i="1"/>
  <c r="J1159" i="1"/>
  <c r="I1159" i="1"/>
  <c r="H1159" i="1"/>
  <c r="G1159" i="1"/>
  <c r="R1158" i="1"/>
  <c r="J1158" i="1"/>
  <c r="I1158" i="1"/>
  <c r="H1158" i="1"/>
  <c r="G1158" i="1"/>
  <c r="R1157" i="1"/>
  <c r="J1157" i="1"/>
  <c r="I1157" i="1"/>
  <c r="H1157" i="1"/>
  <c r="G1157" i="1"/>
  <c r="R1156" i="1"/>
  <c r="J1156" i="1"/>
  <c r="O1156" i="1" s="1"/>
  <c r="I1156" i="1"/>
  <c r="H1156" i="1"/>
  <c r="G1156" i="1"/>
  <c r="R1155" i="1"/>
  <c r="J1155" i="1"/>
  <c r="I1155" i="1"/>
  <c r="H1155" i="1"/>
  <c r="G1155" i="1"/>
  <c r="R1154" i="1"/>
  <c r="J1154" i="1"/>
  <c r="I1154" i="1"/>
  <c r="H1154" i="1"/>
  <c r="G1154" i="1"/>
  <c r="R1153" i="1"/>
  <c r="J1153" i="1"/>
  <c r="I1153" i="1"/>
  <c r="H1153" i="1"/>
  <c r="G1153" i="1"/>
  <c r="R1152" i="1"/>
  <c r="J1152" i="1"/>
  <c r="O1152" i="1" s="1"/>
  <c r="I1152" i="1"/>
  <c r="H1152" i="1"/>
  <c r="G1152" i="1"/>
  <c r="R1151" i="1"/>
  <c r="J1151" i="1"/>
  <c r="I1151" i="1"/>
  <c r="H1151" i="1"/>
  <c r="G1151" i="1"/>
  <c r="R1150" i="1"/>
  <c r="J1150" i="1"/>
  <c r="I1150" i="1"/>
  <c r="H1150" i="1"/>
  <c r="G1150" i="1"/>
  <c r="R1149" i="1"/>
  <c r="J1149" i="1"/>
  <c r="I1149" i="1"/>
  <c r="H1149" i="1"/>
  <c r="G1149" i="1"/>
  <c r="R1148" i="1"/>
  <c r="J1148" i="1"/>
  <c r="O1148" i="1" s="1"/>
  <c r="I1148" i="1"/>
  <c r="H1148" i="1"/>
  <c r="G1148" i="1"/>
  <c r="R1147" i="1"/>
  <c r="J1147" i="1"/>
  <c r="I1147" i="1"/>
  <c r="H1147" i="1"/>
  <c r="G1147" i="1"/>
  <c r="R1146" i="1"/>
  <c r="J1146" i="1"/>
  <c r="I1146" i="1"/>
  <c r="H1146" i="1"/>
  <c r="G1146" i="1"/>
  <c r="R1145" i="1"/>
  <c r="J1145" i="1"/>
  <c r="I1145" i="1"/>
  <c r="H1145" i="1"/>
  <c r="G1145" i="1"/>
  <c r="R1144" i="1"/>
  <c r="J1144" i="1"/>
  <c r="O1144" i="1" s="1"/>
  <c r="I1144" i="1"/>
  <c r="H1144" i="1"/>
  <c r="G1144" i="1"/>
  <c r="R1143" i="1"/>
  <c r="J1143" i="1"/>
  <c r="I1143" i="1"/>
  <c r="H1143" i="1"/>
  <c r="G1143" i="1"/>
  <c r="R1142" i="1"/>
  <c r="J1142" i="1"/>
  <c r="I1142" i="1"/>
  <c r="H1142" i="1"/>
  <c r="G1142" i="1"/>
  <c r="R1141" i="1"/>
  <c r="J1141" i="1"/>
  <c r="I1141" i="1"/>
  <c r="O1141" i="1" s="1"/>
  <c r="H1141" i="1"/>
  <c r="G1141" i="1"/>
  <c r="R1140" i="1"/>
  <c r="J1140" i="1"/>
  <c r="O1140" i="1" s="1"/>
  <c r="I1140" i="1"/>
  <c r="H1140" i="1"/>
  <c r="G1140" i="1"/>
  <c r="R1139" i="1"/>
  <c r="J1139" i="1"/>
  <c r="I1139" i="1"/>
  <c r="H1139" i="1"/>
  <c r="G1139" i="1"/>
  <c r="R1138" i="1"/>
  <c r="J1138" i="1"/>
  <c r="I1138" i="1"/>
  <c r="H1138" i="1"/>
  <c r="G1138" i="1"/>
  <c r="R1137" i="1"/>
  <c r="J1137" i="1"/>
  <c r="I1137" i="1"/>
  <c r="H1137" i="1"/>
  <c r="G1137" i="1"/>
  <c r="R1136" i="1"/>
  <c r="J1136" i="1"/>
  <c r="O1136" i="1" s="1"/>
  <c r="I1136" i="1"/>
  <c r="H1136" i="1"/>
  <c r="G1136" i="1"/>
  <c r="R1135" i="1"/>
  <c r="J1135" i="1"/>
  <c r="I1135" i="1"/>
  <c r="H1135" i="1"/>
  <c r="G1135" i="1"/>
  <c r="R1134" i="1"/>
  <c r="J1134" i="1"/>
  <c r="I1134" i="1"/>
  <c r="H1134" i="1"/>
  <c r="G1134" i="1"/>
  <c r="R1133" i="1"/>
  <c r="J1133" i="1"/>
  <c r="I1133" i="1"/>
  <c r="H1133" i="1"/>
  <c r="G1133" i="1"/>
  <c r="R1132" i="1"/>
  <c r="J1132" i="1"/>
  <c r="O1132" i="1" s="1"/>
  <c r="I1132" i="1"/>
  <c r="H1132" i="1"/>
  <c r="G1132" i="1"/>
  <c r="R1131" i="1"/>
  <c r="J1131" i="1"/>
  <c r="I1131" i="1"/>
  <c r="H1131" i="1"/>
  <c r="G1131" i="1"/>
  <c r="R1130" i="1"/>
  <c r="J1130" i="1"/>
  <c r="I1130" i="1"/>
  <c r="H1130" i="1"/>
  <c r="G1130" i="1"/>
  <c r="R1129" i="1"/>
  <c r="J1129" i="1"/>
  <c r="I1129" i="1"/>
  <c r="H1129" i="1"/>
  <c r="G1129" i="1"/>
  <c r="R1128" i="1"/>
  <c r="J1128" i="1"/>
  <c r="O1128" i="1" s="1"/>
  <c r="I1128" i="1"/>
  <c r="H1128" i="1"/>
  <c r="G1128" i="1"/>
  <c r="R1127" i="1"/>
  <c r="J1127" i="1"/>
  <c r="I1127" i="1"/>
  <c r="H1127" i="1"/>
  <c r="G1127" i="1"/>
  <c r="R1126" i="1"/>
  <c r="J1126" i="1"/>
  <c r="I1126" i="1"/>
  <c r="H1126" i="1"/>
  <c r="G1126" i="1"/>
  <c r="R1125" i="1"/>
  <c r="J1125" i="1"/>
  <c r="I1125" i="1"/>
  <c r="H1125" i="1"/>
  <c r="G1125" i="1"/>
  <c r="R1124" i="1"/>
  <c r="J1124" i="1"/>
  <c r="O1124" i="1" s="1"/>
  <c r="I1124" i="1"/>
  <c r="H1124" i="1"/>
  <c r="G1124" i="1"/>
  <c r="R1123" i="1"/>
  <c r="J1123" i="1"/>
  <c r="I1123" i="1"/>
  <c r="H1123" i="1"/>
  <c r="G1123" i="1"/>
  <c r="R1122" i="1"/>
  <c r="J1122" i="1"/>
  <c r="I1122" i="1"/>
  <c r="H1122" i="1"/>
  <c r="G1122" i="1"/>
  <c r="R1121" i="1"/>
  <c r="J1121" i="1"/>
  <c r="I1121" i="1"/>
  <c r="O1121" i="1" s="1"/>
  <c r="H1121" i="1"/>
  <c r="G1121" i="1"/>
  <c r="R1120" i="1"/>
  <c r="J1120" i="1"/>
  <c r="O1120" i="1" s="1"/>
  <c r="I1120" i="1"/>
  <c r="H1120" i="1"/>
  <c r="G1120" i="1"/>
  <c r="R1119" i="1"/>
  <c r="J1119" i="1"/>
  <c r="I1119" i="1"/>
  <c r="H1119" i="1"/>
  <c r="G1119" i="1"/>
  <c r="R1118" i="1"/>
  <c r="J1118" i="1"/>
  <c r="I1118" i="1"/>
  <c r="H1118" i="1"/>
  <c r="G1118" i="1"/>
  <c r="R1117" i="1"/>
  <c r="J1117" i="1"/>
  <c r="I1117" i="1"/>
  <c r="H1117" i="1"/>
  <c r="G1117" i="1"/>
  <c r="R1116" i="1"/>
  <c r="J1116" i="1"/>
  <c r="O1116" i="1" s="1"/>
  <c r="I1116" i="1"/>
  <c r="H1116" i="1"/>
  <c r="G1116" i="1"/>
  <c r="R1115" i="1"/>
  <c r="J1115" i="1"/>
  <c r="I1115" i="1"/>
  <c r="H1115" i="1"/>
  <c r="G1115" i="1"/>
  <c r="R1114" i="1"/>
  <c r="J1114" i="1"/>
  <c r="I1114" i="1"/>
  <c r="H1114" i="1"/>
  <c r="G1114" i="1"/>
  <c r="R1113" i="1"/>
  <c r="J1113" i="1"/>
  <c r="I1113" i="1"/>
  <c r="H1113" i="1"/>
  <c r="G1113" i="1"/>
  <c r="R1112" i="1"/>
  <c r="J1112" i="1"/>
  <c r="O1112" i="1" s="1"/>
  <c r="I1112" i="1"/>
  <c r="H1112" i="1"/>
  <c r="G1112" i="1"/>
  <c r="R1111" i="1"/>
  <c r="J1111" i="1"/>
  <c r="I1111" i="1"/>
  <c r="H1111" i="1"/>
  <c r="G1111" i="1"/>
  <c r="R1110" i="1"/>
  <c r="J1110" i="1"/>
  <c r="I1110" i="1"/>
  <c r="H1110" i="1"/>
  <c r="G1110" i="1"/>
  <c r="R1109" i="1"/>
  <c r="J1109" i="1"/>
  <c r="I1109" i="1"/>
  <c r="H1109" i="1"/>
  <c r="G1109" i="1"/>
  <c r="R1108" i="1"/>
  <c r="J1108" i="1"/>
  <c r="O1108" i="1" s="1"/>
  <c r="I1108" i="1"/>
  <c r="H1108" i="1"/>
  <c r="G1108" i="1"/>
  <c r="R1107" i="1"/>
  <c r="J1107" i="1"/>
  <c r="I1107" i="1"/>
  <c r="H1107" i="1"/>
  <c r="G1107" i="1"/>
  <c r="R1106" i="1"/>
  <c r="J1106" i="1"/>
  <c r="I1106" i="1"/>
  <c r="H1106" i="1"/>
  <c r="G1106" i="1"/>
  <c r="R1105" i="1"/>
  <c r="J1105" i="1"/>
  <c r="I1105" i="1"/>
  <c r="H1105" i="1"/>
  <c r="G1105" i="1"/>
  <c r="R1104" i="1"/>
  <c r="J1104" i="1"/>
  <c r="O1104" i="1" s="1"/>
  <c r="I1104" i="1"/>
  <c r="H1104" i="1"/>
  <c r="G1104" i="1"/>
  <c r="R1103" i="1"/>
  <c r="J1103" i="1"/>
  <c r="I1103" i="1"/>
  <c r="H1103" i="1"/>
  <c r="G1103" i="1"/>
  <c r="R1102" i="1"/>
  <c r="J1102" i="1"/>
  <c r="I1102" i="1"/>
  <c r="H1102" i="1"/>
  <c r="G1102" i="1"/>
  <c r="R1101" i="1"/>
  <c r="J1101" i="1"/>
  <c r="I1101" i="1"/>
  <c r="O1101" i="1" s="1"/>
  <c r="H1101" i="1"/>
  <c r="G1101" i="1"/>
  <c r="R1100" i="1"/>
  <c r="J1100" i="1"/>
  <c r="O1100" i="1" s="1"/>
  <c r="I1100" i="1"/>
  <c r="H1100" i="1"/>
  <c r="G1100" i="1"/>
  <c r="R1099" i="1"/>
  <c r="J1099" i="1"/>
  <c r="I1099" i="1"/>
  <c r="H1099" i="1"/>
  <c r="G1099" i="1"/>
  <c r="R1098" i="1"/>
  <c r="J1098" i="1"/>
  <c r="I1098" i="1"/>
  <c r="H1098" i="1"/>
  <c r="G1098" i="1"/>
  <c r="R1097" i="1"/>
  <c r="J1097" i="1"/>
  <c r="I1097" i="1"/>
  <c r="H1097" i="1"/>
  <c r="G1097" i="1"/>
  <c r="R1096" i="1"/>
  <c r="J1096" i="1"/>
  <c r="O1096" i="1" s="1"/>
  <c r="I1096" i="1"/>
  <c r="H1096" i="1"/>
  <c r="G1096" i="1"/>
  <c r="R1095" i="1"/>
  <c r="J1095" i="1"/>
  <c r="I1095" i="1"/>
  <c r="H1095" i="1"/>
  <c r="G1095" i="1"/>
  <c r="R1094" i="1"/>
  <c r="J1094" i="1"/>
  <c r="I1094" i="1"/>
  <c r="H1094" i="1"/>
  <c r="G1094" i="1"/>
  <c r="R1093" i="1"/>
  <c r="J1093" i="1"/>
  <c r="I1093" i="1"/>
  <c r="H1093" i="1"/>
  <c r="G1093" i="1"/>
  <c r="R1092" i="1"/>
  <c r="J1092" i="1"/>
  <c r="O1092" i="1" s="1"/>
  <c r="I1092" i="1"/>
  <c r="H1092" i="1"/>
  <c r="G1092" i="1"/>
  <c r="R1091" i="1"/>
  <c r="J1091" i="1"/>
  <c r="I1091" i="1"/>
  <c r="H1091" i="1"/>
  <c r="G1091" i="1"/>
  <c r="R1090" i="1"/>
  <c r="J1090" i="1"/>
  <c r="I1090" i="1"/>
  <c r="H1090" i="1"/>
  <c r="G1090" i="1"/>
  <c r="R1089" i="1"/>
  <c r="J1089" i="1"/>
  <c r="I1089" i="1"/>
  <c r="H1089" i="1"/>
  <c r="G1089" i="1"/>
  <c r="R1088" i="1"/>
  <c r="J1088" i="1"/>
  <c r="O1088" i="1" s="1"/>
  <c r="I1088" i="1"/>
  <c r="H1088" i="1"/>
  <c r="G1088" i="1"/>
  <c r="R1087" i="1"/>
  <c r="J1087" i="1"/>
  <c r="I1087" i="1"/>
  <c r="H1087" i="1"/>
  <c r="G1087" i="1"/>
  <c r="R1086" i="1"/>
  <c r="J1086" i="1"/>
  <c r="I1086" i="1"/>
  <c r="H1086" i="1"/>
  <c r="G1086" i="1"/>
  <c r="R1085" i="1"/>
  <c r="J1085" i="1"/>
  <c r="I1085" i="1"/>
  <c r="H1085" i="1"/>
  <c r="G1085" i="1"/>
  <c r="R1084" i="1"/>
  <c r="J1084" i="1"/>
  <c r="O1084" i="1" s="1"/>
  <c r="I1084" i="1"/>
  <c r="H1084" i="1"/>
  <c r="G1084" i="1"/>
  <c r="R1083" i="1"/>
  <c r="J1083" i="1"/>
  <c r="I1083" i="1"/>
  <c r="H1083" i="1"/>
  <c r="G1083" i="1"/>
  <c r="R1082" i="1"/>
  <c r="J1082" i="1"/>
  <c r="I1082" i="1"/>
  <c r="H1082" i="1"/>
  <c r="G1082" i="1"/>
  <c r="R1081" i="1"/>
  <c r="J1081" i="1"/>
  <c r="I1081" i="1"/>
  <c r="H1081" i="1"/>
  <c r="G1081" i="1"/>
  <c r="R1080" i="1"/>
  <c r="J1080" i="1"/>
  <c r="O1080" i="1" s="1"/>
  <c r="I1080" i="1"/>
  <c r="H1080" i="1"/>
  <c r="G1080" i="1"/>
  <c r="R1079" i="1"/>
  <c r="J1079" i="1"/>
  <c r="I1079" i="1"/>
  <c r="H1079" i="1"/>
  <c r="G1079" i="1"/>
  <c r="R1078" i="1"/>
  <c r="J1078" i="1"/>
  <c r="I1078" i="1"/>
  <c r="H1078" i="1"/>
  <c r="G1078" i="1"/>
  <c r="R1077" i="1"/>
  <c r="J1077" i="1"/>
  <c r="I1077" i="1"/>
  <c r="O1077" i="1" s="1"/>
  <c r="H1077" i="1"/>
  <c r="G1077" i="1"/>
  <c r="R1076" i="1"/>
  <c r="J1076" i="1"/>
  <c r="O1076" i="1" s="1"/>
  <c r="I1076" i="1"/>
  <c r="H1076" i="1"/>
  <c r="G1076" i="1"/>
  <c r="R1075" i="1"/>
  <c r="J1075" i="1"/>
  <c r="I1075" i="1"/>
  <c r="H1075" i="1"/>
  <c r="G1075" i="1"/>
  <c r="R1074" i="1"/>
  <c r="J1074" i="1"/>
  <c r="I1074" i="1"/>
  <c r="H1074" i="1"/>
  <c r="G1074" i="1"/>
  <c r="R1073" i="1"/>
  <c r="J1073" i="1"/>
  <c r="I1073" i="1"/>
  <c r="H1073" i="1"/>
  <c r="G1073" i="1"/>
  <c r="R1072" i="1"/>
  <c r="J1072" i="1"/>
  <c r="O1072" i="1" s="1"/>
  <c r="I1072" i="1"/>
  <c r="H1072" i="1"/>
  <c r="G1072" i="1"/>
  <c r="R1071" i="1"/>
  <c r="J1071" i="1"/>
  <c r="I1071" i="1"/>
  <c r="H1071" i="1"/>
  <c r="G1071" i="1"/>
  <c r="R1070" i="1"/>
  <c r="J1070" i="1"/>
  <c r="I1070" i="1"/>
  <c r="H1070" i="1"/>
  <c r="G1070" i="1"/>
  <c r="R1069" i="1"/>
  <c r="J1069" i="1"/>
  <c r="I1069" i="1"/>
  <c r="H1069" i="1"/>
  <c r="G1069" i="1"/>
  <c r="R1068" i="1"/>
  <c r="J1068" i="1"/>
  <c r="O1068" i="1" s="1"/>
  <c r="I1068" i="1"/>
  <c r="H1068" i="1"/>
  <c r="G1068" i="1"/>
  <c r="R1067" i="1"/>
  <c r="J1067" i="1"/>
  <c r="I1067" i="1"/>
  <c r="H1067" i="1"/>
  <c r="G1067" i="1"/>
  <c r="R1066" i="1"/>
  <c r="J1066" i="1"/>
  <c r="I1066" i="1"/>
  <c r="H1066" i="1"/>
  <c r="G1066" i="1"/>
  <c r="R1065" i="1"/>
  <c r="J1065" i="1"/>
  <c r="I1065" i="1"/>
  <c r="H1065" i="1"/>
  <c r="G1065" i="1"/>
  <c r="R1064" i="1"/>
  <c r="J1064" i="1"/>
  <c r="O1064" i="1" s="1"/>
  <c r="I1064" i="1"/>
  <c r="H1064" i="1"/>
  <c r="G1064" i="1"/>
  <c r="R1063" i="1"/>
  <c r="J1063" i="1"/>
  <c r="I1063" i="1"/>
  <c r="H1063" i="1"/>
  <c r="G1063" i="1"/>
  <c r="R1062" i="1"/>
  <c r="J1062" i="1"/>
  <c r="I1062" i="1"/>
  <c r="H1062" i="1"/>
  <c r="G1062" i="1"/>
  <c r="R1061" i="1"/>
  <c r="J1061" i="1"/>
  <c r="I1061" i="1"/>
  <c r="H1061" i="1"/>
  <c r="G1061" i="1"/>
  <c r="R1060" i="1"/>
  <c r="J1060" i="1"/>
  <c r="O1060" i="1" s="1"/>
  <c r="I1060" i="1"/>
  <c r="H1060" i="1"/>
  <c r="G1060" i="1"/>
  <c r="R1059" i="1"/>
  <c r="J1059" i="1"/>
  <c r="I1059" i="1"/>
  <c r="H1059" i="1"/>
  <c r="G1059" i="1"/>
  <c r="R1058" i="1"/>
  <c r="J1058" i="1"/>
  <c r="I1058" i="1"/>
  <c r="H1058" i="1"/>
  <c r="G1058" i="1"/>
  <c r="R1057" i="1"/>
  <c r="J1057" i="1"/>
  <c r="I1057" i="1"/>
  <c r="O1057" i="1" s="1"/>
  <c r="H1057" i="1"/>
  <c r="G1057" i="1"/>
  <c r="R1056" i="1"/>
  <c r="J1056" i="1"/>
  <c r="O1056" i="1" s="1"/>
  <c r="I1056" i="1"/>
  <c r="H1056" i="1"/>
  <c r="G1056" i="1"/>
  <c r="R1055" i="1"/>
  <c r="J1055" i="1"/>
  <c r="I1055" i="1"/>
  <c r="H1055" i="1"/>
  <c r="G1055" i="1"/>
  <c r="R1054" i="1"/>
  <c r="J1054" i="1"/>
  <c r="I1054" i="1"/>
  <c r="H1054" i="1"/>
  <c r="G1054" i="1"/>
  <c r="R1053" i="1"/>
  <c r="J1053" i="1"/>
  <c r="I1053" i="1"/>
  <c r="H1053" i="1"/>
  <c r="G1053" i="1"/>
  <c r="R1052" i="1"/>
  <c r="J1052" i="1"/>
  <c r="O1052" i="1" s="1"/>
  <c r="I1052" i="1"/>
  <c r="H1052" i="1"/>
  <c r="G1052" i="1"/>
  <c r="R1051" i="1"/>
  <c r="J1051" i="1"/>
  <c r="I1051" i="1"/>
  <c r="H1051" i="1"/>
  <c r="G1051" i="1"/>
  <c r="R1050" i="1"/>
  <c r="J1050" i="1"/>
  <c r="I1050" i="1"/>
  <c r="H1050" i="1"/>
  <c r="G1050" i="1"/>
  <c r="R1049" i="1"/>
  <c r="J1049" i="1"/>
  <c r="I1049" i="1"/>
  <c r="H1049" i="1"/>
  <c r="G1049" i="1"/>
  <c r="R1048" i="1"/>
  <c r="J1048" i="1"/>
  <c r="O1048" i="1" s="1"/>
  <c r="I1048" i="1"/>
  <c r="H1048" i="1"/>
  <c r="G1048" i="1"/>
  <c r="R1047" i="1"/>
  <c r="J1047" i="1"/>
  <c r="I1047" i="1"/>
  <c r="H1047" i="1"/>
  <c r="G1047" i="1"/>
  <c r="R1046" i="1"/>
  <c r="J1046" i="1"/>
  <c r="I1046" i="1"/>
  <c r="H1046" i="1"/>
  <c r="G1046" i="1"/>
  <c r="R1045" i="1"/>
  <c r="J1045" i="1"/>
  <c r="I1045" i="1"/>
  <c r="H1045" i="1"/>
  <c r="G1045" i="1"/>
  <c r="R1044" i="1"/>
  <c r="J1044" i="1"/>
  <c r="O1044" i="1" s="1"/>
  <c r="I1044" i="1"/>
  <c r="H1044" i="1"/>
  <c r="G1044" i="1"/>
  <c r="R1043" i="1"/>
  <c r="J1043" i="1"/>
  <c r="I1043" i="1"/>
  <c r="H1043" i="1"/>
  <c r="G1043" i="1"/>
  <c r="R1042" i="1"/>
  <c r="J1042" i="1"/>
  <c r="I1042" i="1"/>
  <c r="H1042" i="1"/>
  <c r="G1042" i="1"/>
  <c r="R1041" i="1"/>
  <c r="J1041" i="1"/>
  <c r="I1041" i="1"/>
  <c r="H1041" i="1"/>
  <c r="G1041" i="1"/>
  <c r="R1040" i="1"/>
  <c r="J1040" i="1"/>
  <c r="O1040" i="1" s="1"/>
  <c r="I1040" i="1"/>
  <c r="H1040" i="1"/>
  <c r="G1040" i="1"/>
  <c r="R1039" i="1"/>
  <c r="J1039" i="1"/>
  <c r="I1039" i="1"/>
  <c r="H1039" i="1"/>
  <c r="G1039" i="1"/>
  <c r="R1038" i="1"/>
  <c r="J1038" i="1"/>
  <c r="I1038" i="1"/>
  <c r="H1038" i="1"/>
  <c r="G1038" i="1"/>
  <c r="R1037" i="1"/>
  <c r="J1037" i="1"/>
  <c r="I1037" i="1"/>
  <c r="O1037" i="1" s="1"/>
  <c r="H1037" i="1"/>
  <c r="G1037" i="1"/>
  <c r="R1036" i="1"/>
  <c r="J1036" i="1"/>
  <c r="O1036" i="1" s="1"/>
  <c r="I1036" i="1"/>
  <c r="H1036" i="1"/>
  <c r="G1036" i="1"/>
  <c r="R1035" i="1"/>
  <c r="J1035" i="1"/>
  <c r="I1035" i="1"/>
  <c r="H1035" i="1"/>
  <c r="G1035" i="1"/>
  <c r="R1034" i="1"/>
  <c r="J1034" i="1"/>
  <c r="I1034" i="1"/>
  <c r="H1034" i="1"/>
  <c r="G1034" i="1"/>
  <c r="R1033" i="1"/>
  <c r="J1033" i="1"/>
  <c r="I1033" i="1"/>
  <c r="H1033" i="1"/>
  <c r="G1033" i="1"/>
  <c r="R1032" i="1"/>
  <c r="J1032" i="1"/>
  <c r="I1032" i="1"/>
  <c r="H1032" i="1"/>
  <c r="G1032" i="1"/>
  <c r="R1031" i="1"/>
  <c r="J1031" i="1"/>
  <c r="I1031" i="1"/>
  <c r="H1031" i="1"/>
  <c r="G1031" i="1"/>
  <c r="R1030" i="1"/>
  <c r="J1030" i="1"/>
  <c r="I1030" i="1"/>
  <c r="H1030" i="1"/>
  <c r="G1030" i="1"/>
  <c r="R1029" i="1"/>
  <c r="J1029" i="1"/>
  <c r="I1029" i="1"/>
  <c r="H1029" i="1"/>
  <c r="G1029" i="1"/>
  <c r="R1028" i="1"/>
  <c r="J1028" i="1"/>
  <c r="O1028" i="1" s="1"/>
  <c r="I1028" i="1"/>
  <c r="H1028" i="1"/>
  <c r="G1028" i="1"/>
  <c r="R1027" i="1"/>
  <c r="J1027" i="1"/>
  <c r="I1027" i="1"/>
  <c r="H1027" i="1"/>
  <c r="G1027" i="1"/>
  <c r="R1026" i="1"/>
  <c r="J1026" i="1"/>
  <c r="I1026" i="1"/>
  <c r="H1026" i="1"/>
  <c r="G1026" i="1"/>
  <c r="R1025" i="1"/>
  <c r="J1025" i="1"/>
  <c r="I1025" i="1"/>
  <c r="H1025" i="1"/>
  <c r="G1025" i="1"/>
  <c r="R1021" i="1"/>
  <c r="J1021" i="1"/>
  <c r="O1021" i="1" s="1"/>
  <c r="I1021" i="1"/>
  <c r="H1021" i="1"/>
  <c r="G1021" i="1"/>
  <c r="R1020" i="1"/>
  <c r="J1020" i="1"/>
  <c r="I1020" i="1"/>
  <c r="H1020" i="1"/>
  <c r="G1020" i="1"/>
  <c r="R1019" i="1"/>
  <c r="J1019" i="1"/>
  <c r="I1019" i="1"/>
  <c r="H1019" i="1"/>
  <c r="G1019" i="1"/>
  <c r="R1018" i="1"/>
  <c r="J1018" i="1"/>
  <c r="I1018" i="1"/>
  <c r="H1018" i="1"/>
  <c r="G1018" i="1"/>
  <c r="R1017" i="1"/>
  <c r="J1017" i="1"/>
  <c r="O1017" i="1" s="1"/>
  <c r="I1017" i="1"/>
  <c r="H1017" i="1"/>
  <c r="G1017" i="1"/>
  <c r="R1012" i="1"/>
  <c r="J1012" i="1"/>
  <c r="I1012" i="1"/>
  <c r="H1012" i="1"/>
  <c r="G1012" i="1"/>
  <c r="R1011" i="1"/>
  <c r="J1011" i="1"/>
  <c r="I1011" i="1"/>
  <c r="H1011" i="1"/>
  <c r="G1011" i="1"/>
  <c r="R1010" i="1"/>
  <c r="J1010" i="1"/>
  <c r="I1010" i="1"/>
  <c r="O1010" i="1" s="1"/>
  <c r="H1010" i="1"/>
  <c r="G1010" i="1"/>
  <c r="R1009" i="1"/>
  <c r="J1009" i="1"/>
  <c r="O1009" i="1" s="1"/>
  <c r="I1009" i="1"/>
  <c r="H1009" i="1"/>
  <c r="G1009" i="1"/>
  <c r="R1008" i="1"/>
  <c r="J1008" i="1"/>
  <c r="I1008" i="1"/>
  <c r="H1008" i="1"/>
  <c r="G1008" i="1"/>
  <c r="R1007" i="1"/>
  <c r="J1007" i="1"/>
  <c r="I1007" i="1"/>
  <c r="H1007" i="1"/>
  <c r="G1007" i="1"/>
  <c r="R1006" i="1"/>
  <c r="J1006" i="1"/>
  <c r="I1006" i="1"/>
  <c r="H1006" i="1"/>
  <c r="G1006" i="1"/>
  <c r="R1005" i="1"/>
  <c r="J1005" i="1"/>
  <c r="O1005" i="1" s="1"/>
  <c r="I1005" i="1"/>
  <c r="H1005" i="1"/>
  <c r="G1005" i="1"/>
  <c r="R1004" i="1"/>
  <c r="J1004" i="1"/>
  <c r="I1004" i="1"/>
  <c r="H1004" i="1"/>
  <c r="G1004" i="1"/>
  <c r="R1003" i="1"/>
  <c r="J1003" i="1"/>
  <c r="I1003" i="1"/>
  <c r="H1003" i="1"/>
  <c r="G1003" i="1"/>
  <c r="R1002" i="1"/>
  <c r="J1002" i="1"/>
  <c r="I1002" i="1"/>
  <c r="O1002" i="1" s="1"/>
  <c r="H1002" i="1"/>
  <c r="G1002" i="1"/>
  <c r="R1001" i="1"/>
  <c r="J1001" i="1"/>
  <c r="P1001" i="1" s="1"/>
  <c r="I1001" i="1"/>
  <c r="H1001" i="1"/>
  <c r="G1001" i="1"/>
  <c r="R1000" i="1"/>
  <c r="J1000" i="1"/>
  <c r="I1000" i="1"/>
  <c r="H1000" i="1"/>
  <c r="G1000" i="1"/>
  <c r="R999" i="1"/>
  <c r="J999" i="1"/>
  <c r="I999" i="1"/>
  <c r="H999" i="1"/>
  <c r="G999" i="1"/>
  <c r="R997" i="1"/>
  <c r="J997" i="1"/>
  <c r="I997" i="1"/>
  <c r="O997" i="1" s="1"/>
  <c r="H997" i="1"/>
  <c r="G997" i="1"/>
  <c r="R993" i="1"/>
  <c r="J993" i="1"/>
  <c r="I993" i="1"/>
  <c r="H993" i="1"/>
  <c r="G993" i="1"/>
  <c r="R992" i="1"/>
  <c r="J992" i="1"/>
  <c r="I992" i="1"/>
  <c r="H992" i="1"/>
  <c r="G992" i="1"/>
  <c r="R991" i="1"/>
  <c r="J991" i="1"/>
  <c r="I991" i="1"/>
  <c r="H991" i="1"/>
  <c r="G991" i="1"/>
  <c r="R990" i="1"/>
  <c r="J990" i="1"/>
  <c r="I990" i="1"/>
  <c r="P990" i="1" s="1"/>
  <c r="H990" i="1"/>
  <c r="G990" i="1"/>
  <c r="R989" i="1"/>
  <c r="J989" i="1"/>
  <c r="I989" i="1"/>
  <c r="H989" i="1"/>
  <c r="G989" i="1"/>
  <c r="R988" i="1"/>
  <c r="J988" i="1"/>
  <c r="I988" i="1"/>
  <c r="H988" i="1"/>
  <c r="G988" i="1"/>
  <c r="R987" i="1"/>
  <c r="J987" i="1"/>
  <c r="I987" i="1"/>
  <c r="H987" i="1"/>
  <c r="G987" i="1"/>
  <c r="R986" i="1"/>
  <c r="J986" i="1"/>
  <c r="I986" i="1"/>
  <c r="P986" i="1" s="1"/>
  <c r="H986" i="1"/>
  <c r="G986" i="1"/>
  <c r="R985" i="1"/>
  <c r="J985" i="1"/>
  <c r="P985" i="1" s="1"/>
  <c r="I985" i="1"/>
  <c r="H985" i="1"/>
  <c r="G985" i="1"/>
  <c r="R984" i="1"/>
  <c r="J984" i="1"/>
  <c r="I984" i="1"/>
  <c r="H984" i="1"/>
  <c r="G984" i="1"/>
  <c r="R983" i="1"/>
  <c r="J983" i="1"/>
  <c r="I983" i="1"/>
  <c r="H983" i="1"/>
  <c r="G983" i="1"/>
  <c r="R982" i="1"/>
  <c r="J982" i="1"/>
  <c r="I982" i="1"/>
  <c r="P982" i="1" s="1"/>
  <c r="H982" i="1"/>
  <c r="G982" i="1"/>
  <c r="R981" i="1"/>
  <c r="J981" i="1"/>
  <c r="O981" i="1" s="1"/>
  <c r="I981" i="1"/>
  <c r="H981" i="1"/>
  <c r="G981" i="1"/>
  <c r="R980" i="1"/>
  <c r="J980" i="1"/>
  <c r="I980" i="1"/>
  <c r="H980" i="1"/>
  <c r="G980" i="1"/>
  <c r="R979" i="1"/>
  <c r="J979" i="1"/>
  <c r="I979" i="1"/>
  <c r="H979" i="1"/>
  <c r="G979" i="1"/>
  <c r="R978" i="1"/>
  <c r="J978" i="1"/>
  <c r="I978" i="1"/>
  <c r="O978" i="1" s="1"/>
  <c r="H978" i="1"/>
  <c r="G978" i="1"/>
  <c r="R977" i="1"/>
  <c r="J977" i="1"/>
  <c r="I977" i="1"/>
  <c r="H977" i="1"/>
  <c r="G977" i="1"/>
  <c r="R976" i="1"/>
  <c r="J976" i="1"/>
  <c r="I976" i="1"/>
  <c r="H976" i="1"/>
  <c r="G976" i="1"/>
  <c r="R975" i="1"/>
  <c r="J975" i="1"/>
  <c r="I975" i="1"/>
  <c r="H975" i="1"/>
  <c r="G975" i="1"/>
  <c r="R974" i="1"/>
  <c r="J974" i="1"/>
  <c r="I974" i="1"/>
  <c r="P974" i="1" s="1"/>
  <c r="H974" i="1"/>
  <c r="G974" i="1"/>
  <c r="R973" i="1"/>
  <c r="J973" i="1"/>
  <c r="I973" i="1"/>
  <c r="H973" i="1"/>
  <c r="G973" i="1"/>
  <c r="R972" i="1"/>
  <c r="J972" i="1"/>
  <c r="I972" i="1"/>
  <c r="H972" i="1"/>
  <c r="G972" i="1"/>
  <c r="R971" i="1"/>
  <c r="J971" i="1"/>
  <c r="I971" i="1"/>
  <c r="H971" i="1"/>
  <c r="G971" i="1"/>
  <c r="R970" i="1"/>
  <c r="J970" i="1"/>
  <c r="I970" i="1"/>
  <c r="O970" i="1" s="1"/>
  <c r="H970" i="1"/>
  <c r="G970" i="1"/>
  <c r="R969" i="1"/>
  <c r="J969" i="1"/>
  <c r="O969" i="1" s="1"/>
  <c r="I969" i="1"/>
  <c r="H969" i="1"/>
  <c r="G969" i="1"/>
  <c r="R968" i="1"/>
  <c r="J968" i="1"/>
  <c r="I968" i="1"/>
  <c r="H968" i="1"/>
  <c r="G968" i="1"/>
  <c r="R967" i="1"/>
  <c r="J967" i="1"/>
  <c r="I967" i="1"/>
  <c r="H967" i="1"/>
  <c r="G967" i="1"/>
  <c r="R966" i="1"/>
  <c r="J966" i="1"/>
  <c r="I966" i="1"/>
  <c r="P966" i="1" s="1"/>
  <c r="H966" i="1"/>
  <c r="G966" i="1"/>
  <c r="R965" i="1"/>
  <c r="J965" i="1"/>
  <c r="O965" i="1" s="1"/>
  <c r="I965" i="1"/>
  <c r="H965" i="1"/>
  <c r="G965" i="1"/>
  <c r="R964" i="1"/>
  <c r="J964" i="1"/>
  <c r="I964" i="1"/>
  <c r="H964" i="1"/>
  <c r="G964" i="1"/>
  <c r="R963" i="1"/>
  <c r="J963" i="1"/>
  <c r="I963" i="1"/>
  <c r="H963" i="1"/>
  <c r="G963" i="1"/>
  <c r="R962" i="1"/>
  <c r="J962" i="1"/>
  <c r="I962" i="1"/>
  <c r="O962" i="1" s="1"/>
  <c r="H962" i="1"/>
  <c r="G962" i="1"/>
  <c r="R961" i="1"/>
  <c r="J961" i="1"/>
  <c r="I961" i="1"/>
  <c r="H961" i="1"/>
  <c r="G961" i="1"/>
  <c r="R960" i="1"/>
  <c r="J960" i="1"/>
  <c r="I960" i="1"/>
  <c r="H960" i="1"/>
  <c r="G960" i="1"/>
  <c r="R959" i="1"/>
  <c r="J959" i="1"/>
  <c r="I959" i="1"/>
  <c r="H959" i="1"/>
  <c r="G959" i="1"/>
  <c r="R958" i="1"/>
  <c r="J958" i="1"/>
  <c r="I958" i="1"/>
  <c r="P958" i="1" s="1"/>
  <c r="H958" i="1"/>
  <c r="G958" i="1"/>
  <c r="R957" i="1"/>
  <c r="J957" i="1"/>
  <c r="I957" i="1"/>
  <c r="H957" i="1"/>
  <c r="G957" i="1"/>
  <c r="R956" i="1"/>
  <c r="J956" i="1"/>
  <c r="I956" i="1"/>
  <c r="H956" i="1"/>
  <c r="G956" i="1"/>
  <c r="R955" i="1"/>
  <c r="J955" i="1"/>
  <c r="I955" i="1"/>
  <c r="H955" i="1"/>
  <c r="G955" i="1"/>
  <c r="R954" i="1"/>
  <c r="J954" i="1"/>
  <c r="I954" i="1"/>
  <c r="P954" i="1" s="1"/>
  <c r="H954" i="1"/>
  <c r="G954" i="1"/>
  <c r="R953" i="1"/>
  <c r="J953" i="1"/>
  <c r="I953" i="1"/>
  <c r="H953" i="1"/>
  <c r="G953" i="1"/>
  <c r="R952" i="1"/>
  <c r="J952" i="1"/>
  <c r="I952" i="1"/>
  <c r="H952" i="1"/>
  <c r="G952" i="1"/>
  <c r="R951" i="1"/>
  <c r="J951" i="1"/>
  <c r="I951" i="1"/>
  <c r="H951" i="1"/>
  <c r="G951" i="1"/>
  <c r="R950" i="1"/>
  <c r="J950" i="1"/>
  <c r="I950" i="1"/>
  <c r="P950" i="1" s="1"/>
  <c r="H950" i="1"/>
  <c r="G950" i="1"/>
  <c r="R949" i="1"/>
  <c r="J949" i="1"/>
  <c r="O949" i="1" s="1"/>
  <c r="I949" i="1"/>
  <c r="H949" i="1"/>
  <c r="G949" i="1"/>
  <c r="R948" i="1"/>
  <c r="J948" i="1"/>
  <c r="I948" i="1"/>
  <c r="H948" i="1"/>
  <c r="G948" i="1"/>
  <c r="R947" i="1"/>
  <c r="J947" i="1"/>
  <c r="I947" i="1"/>
  <c r="H947" i="1"/>
  <c r="G947" i="1"/>
  <c r="R946" i="1"/>
  <c r="J946" i="1"/>
  <c r="I946" i="1"/>
  <c r="O946" i="1" s="1"/>
  <c r="H946" i="1"/>
  <c r="G946" i="1"/>
  <c r="R945" i="1"/>
  <c r="J945" i="1"/>
  <c r="I945" i="1"/>
  <c r="H945" i="1"/>
  <c r="G945" i="1"/>
  <c r="R944" i="1"/>
  <c r="J944" i="1"/>
  <c r="I944" i="1"/>
  <c r="H944" i="1"/>
  <c r="G944" i="1"/>
  <c r="R943" i="1"/>
  <c r="J943" i="1"/>
  <c r="I943" i="1"/>
  <c r="H943" i="1"/>
  <c r="G943" i="1"/>
  <c r="R942" i="1"/>
  <c r="J942" i="1"/>
  <c r="I942" i="1"/>
  <c r="P942" i="1" s="1"/>
  <c r="H942" i="1"/>
  <c r="G942" i="1"/>
  <c r="R941" i="1"/>
  <c r="J941" i="1"/>
  <c r="I941" i="1"/>
  <c r="H941" i="1"/>
  <c r="G941" i="1"/>
  <c r="R940" i="1"/>
  <c r="J940" i="1"/>
  <c r="I940" i="1"/>
  <c r="H940" i="1"/>
  <c r="G940" i="1"/>
  <c r="R939" i="1"/>
  <c r="J939" i="1"/>
  <c r="I939" i="1"/>
  <c r="H939" i="1"/>
  <c r="G939" i="1"/>
  <c r="R938" i="1"/>
  <c r="J938" i="1"/>
  <c r="I938" i="1"/>
  <c r="P938" i="1" s="1"/>
  <c r="H938" i="1"/>
  <c r="G938" i="1"/>
  <c r="R937" i="1"/>
  <c r="J937" i="1"/>
  <c r="I937" i="1"/>
  <c r="H937" i="1"/>
  <c r="G937" i="1"/>
  <c r="R936" i="1"/>
  <c r="J936" i="1"/>
  <c r="I936" i="1"/>
  <c r="H936" i="1"/>
  <c r="G936" i="1"/>
  <c r="R935" i="1"/>
  <c r="J935" i="1"/>
  <c r="I935" i="1"/>
  <c r="H935" i="1"/>
  <c r="G935" i="1"/>
  <c r="R934" i="1"/>
  <c r="J934" i="1"/>
  <c r="I934" i="1"/>
  <c r="P934" i="1" s="1"/>
  <c r="H934" i="1"/>
  <c r="G934" i="1"/>
  <c r="R933" i="1"/>
  <c r="J933" i="1"/>
  <c r="O933" i="1" s="1"/>
  <c r="I933" i="1"/>
  <c r="H933" i="1"/>
  <c r="G933" i="1"/>
  <c r="R932" i="1"/>
  <c r="J932" i="1"/>
  <c r="I932" i="1"/>
  <c r="H932" i="1"/>
  <c r="G932" i="1"/>
  <c r="R931" i="1"/>
  <c r="J931" i="1"/>
  <c r="I931" i="1"/>
  <c r="H931" i="1"/>
  <c r="G931" i="1"/>
  <c r="R930" i="1"/>
  <c r="J930" i="1"/>
  <c r="I930" i="1"/>
  <c r="O930" i="1" s="1"/>
  <c r="H930" i="1"/>
  <c r="G930" i="1"/>
  <c r="R929" i="1"/>
  <c r="J929" i="1"/>
  <c r="I929" i="1"/>
  <c r="H929" i="1"/>
  <c r="G929" i="1"/>
  <c r="R928" i="1"/>
  <c r="J928" i="1"/>
  <c r="I928" i="1"/>
  <c r="H928" i="1"/>
  <c r="G928" i="1"/>
  <c r="R927" i="1"/>
  <c r="J927" i="1"/>
  <c r="I927" i="1"/>
  <c r="H927" i="1"/>
  <c r="G927" i="1"/>
  <c r="R926" i="1"/>
  <c r="J926" i="1"/>
  <c r="I926" i="1"/>
  <c r="P926" i="1" s="1"/>
  <c r="H926" i="1"/>
  <c r="G926" i="1"/>
  <c r="R925" i="1"/>
  <c r="J925" i="1"/>
  <c r="I925" i="1"/>
  <c r="H925" i="1"/>
  <c r="G925" i="1"/>
  <c r="R924" i="1"/>
  <c r="J924" i="1"/>
  <c r="I924" i="1"/>
  <c r="H924" i="1"/>
  <c r="G924" i="1"/>
  <c r="R923" i="1"/>
  <c r="J923" i="1"/>
  <c r="I923" i="1"/>
  <c r="H923" i="1"/>
  <c r="G923" i="1"/>
  <c r="R922" i="1"/>
  <c r="J922" i="1"/>
  <c r="I922" i="1"/>
  <c r="P922" i="1" s="1"/>
  <c r="H922" i="1"/>
  <c r="G922" i="1"/>
  <c r="R921" i="1"/>
  <c r="J921" i="1"/>
  <c r="I921" i="1"/>
  <c r="H921" i="1"/>
  <c r="G921" i="1"/>
  <c r="R920" i="1"/>
  <c r="J920" i="1"/>
  <c r="I920" i="1"/>
  <c r="H920" i="1"/>
  <c r="G920" i="1"/>
  <c r="R919" i="1"/>
  <c r="J919" i="1"/>
  <c r="I919" i="1"/>
  <c r="H919" i="1"/>
  <c r="G919" i="1"/>
  <c r="R918" i="1"/>
  <c r="J918" i="1"/>
  <c r="I918" i="1"/>
  <c r="P918" i="1" s="1"/>
  <c r="H918" i="1"/>
  <c r="G918" i="1"/>
  <c r="R917" i="1"/>
  <c r="J917" i="1"/>
  <c r="O917" i="1" s="1"/>
  <c r="I917" i="1"/>
  <c r="H917" i="1"/>
  <c r="G917" i="1"/>
  <c r="R916" i="1"/>
  <c r="J916" i="1"/>
  <c r="I916" i="1"/>
  <c r="H916" i="1"/>
  <c r="G916" i="1"/>
  <c r="R915" i="1"/>
  <c r="J915" i="1"/>
  <c r="I915" i="1"/>
  <c r="H915" i="1"/>
  <c r="G915" i="1"/>
  <c r="R914" i="1"/>
  <c r="J914" i="1"/>
  <c r="I914" i="1"/>
  <c r="O914" i="1" s="1"/>
  <c r="H914" i="1"/>
  <c r="G914" i="1"/>
  <c r="R913" i="1"/>
  <c r="J913" i="1"/>
  <c r="I913" i="1"/>
  <c r="H913" i="1"/>
  <c r="G913" i="1"/>
  <c r="R912" i="1"/>
  <c r="J912" i="1"/>
  <c r="I912" i="1"/>
  <c r="H912" i="1"/>
  <c r="G912" i="1"/>
  <c r="R911" i="1"/>
  <c r="J911" i="1"/>
  <c r="I911" i="1"/>
  <c r="H911" i="1"/>
  <c r="G911" i="1"/>
  <c r="R910" i="1"/>
  <c r="J910" i="1"/>
  <c r="I910" i="1"/>
  <c r="P910" i="1" s="1"/>
  <c r="H910" i="1"/>
  <c r="G910" i="1"/>
  <c r="R909" i="1"/>
  <c r="J909" i="1"/>
  <c r="I909" i="1"/>
  <c r="H909" i="1"/>
  <c r="G909" i="1"/>
  <c r="R908" i="1"/>
  <c r="J908" i="1"/>
  <c r="I908" i="1"/>
  <c r="H908" i="1"/>
  <c r="G908" i="1"/>
  <c r="R907" i="1"/>
  <c r="J907" i="1"/>
  <c r="I907" i="1"/>
  <c r="H907" i="1"/>
  <c r="G907" i="1"/>
  <c r="R906" i="1"/>
  <c r="J906" i="1"/>
  <c r="I906" i="1"/>
  <c r="O906" i="1" s="1"/>
  <c r="H906" i="1"/>
  <c r="G906" i="1"/>
  <c r="R905" i="1"/>
  <c r="J905" i="1"/>
  <c r="O905" i="1" s="1"/>
  <c r="I905" i="1"/>
  <c r="H905" i="1"/>
  <c r="G905" i="1"/>
  <c r="R904" i="1"/>
  <c r="J904" i="1"/>
  <c r="I904" i="1"/>
  <c r="H904" i="1"/>
  <c r="G904" i="1"/>
  <c r="R903" i="1"/>
  <c r="J903" i="1"/>
  <c r="I903" i="1"/>
  <c r="H903" i="1"/>
  <c r="G903" i="1"/>
  <c r="R902" i="1"/>
  <c r="J902" i="1"/>
  <c r="I902" i="1"/>
  <c r="P902" i="1" s="1"/>
  <c r="H902" i="1"/>
  <c r="G902" i="1"/>
  <c r="R901" i="1"/>
  <c r="J901" i="1"/>
  <c r="O901" i="1" s="1"/>
  <c r="I901" i="1"/>
  <c r="H901" i="1"/>
  <c r="G901" i="1"/>
  <c r="R900" i="1"/>
  <c r="J900" i="1"/>
  <c r="I900" i="1"/>
  <c r="H900" i="1"/>
  <c r="G900" i="1"/>
  <c r="R899" i="1"/>
  <c r="J899" i="1"/>
  <c r="I899" i="1"/>
  <c r="H899" i="1"/>
  <c r="G899" i="1"/>
  <c r="R898" i="1"/>
  <c r="J898" i="1"/>
  <c r="I898" i="1"/>
  <c r="O898" i="1" s="1"/>
  <c r="H898" i="1"/>
  <c r="G898" i="1"/>
  <c r="R897" i="1"/>
  <c r="J897" i="1"/>
  <c r="I897" i="1"/>
  <c r="H897" i="1"/>
  <c r="G897" i="1"/>
  <c r="R896" i="1"/>
  <c r="J896" i="1"/>
  <c r="I896" i="1"/>
  <c r="H896" i="1"/>
  <c r="G896" i="1"/>
  <c r="R895" i="1"/>
  <c r="J895" i="1"/>
  <c r="I895" i="1"/>
  <c r="H895" i="1"/>
  <c r="G895" i="1"/>
  <c r="R894" i="1"/>
  <c r="J894" i="1"/>
  <c r="I894" i="1"/>
  <c r="P894" i="1" s="1"/>
  <c r="H894" i="1"/>
  <c r="G894" i="1"/>
  <c r="R893" i="1"/>
  <c r="J893" i="1"/>
  <c r="I893" i="1"/>
  <c r="H893" i="1"/>
  <c r="G893" i="1"/>
  <c r="R892" i="1"/>
  <c r="J892" i="1"/>
  <c r="I892" i="1"/>
  <c r="H892" i="1"/>
  <c r="G892" i="1"/>
  <c r="R891" i="1"/>
  <c r="J891" i="1"/>
  <c r="I891" i="1"/>
  <c r="H891" i="1"/>
  <c r="G891" i="1"/>
  <c r="R890" i="1"/>
  <c r="J890" i="1"/>
  <c r="I890" i="1"/>
  <c r="P890" i="1" s="1"/>
  <c r="H890" i="1"/>
  <c r="G890" i="1"/>
  <c r="R889" i="1"/>
  <c r="J889" i="1"/>
  <c r="I889" i="1"/>
  <c r="H889" i="1"/>
  <c r="G889" i="1"/>
  <c r="R888" i="1"/>
  <c r="J888" i="1"/>
  <c r="I888" i="1"/>
  <c r="H888" i="1"/>
  <c r="G888" i="1"/>
  <c r="R887" i="1"/>
  <c r="J887" i="1"/>
  <c r="I887" i="1"/>
  <c r="H887" i="1"/>
  <c r="G887" i="1"/>
  <c r="R886" i="1"/>
  <c r="J886" i="1"/>
  <c r="I886" i="1"/>
  <c r="P886" i="1" s="1"/>
  <c r="H886" i="1"/>
  <c r="G886" i="1"/>
  <c r="R885" i="1"/>
  <c r="J885" i="1"/>
  <c r="O885" i="1" s="1"/>
  <c r="I885" i="1"/>
  <c r="H885" i="1"/>
  <c r="G885" i="1"/>
  <c r="R884" i="1"/>
  <c r="J884" i="1"/>
  <c r="I884" i="1"/>
  <c r="H884" i="1"/>
  <c r="G884" i="1"/>
  <c r="R883" i="1"/>
  <c r="J883" i="1"/>
  <c r="I883" i="1"/>
  <c r="H883" i="1"/>
  <c r="G883" i="1"/>
  <c r="R882" i="1"/>
  <c r="J882" i="1"/>
  <c r="I882" i="1"/>
  <c r="O882" i="1" s="1"/>
  <c r="H882" i="1"/>
  <c r="G882" i="1"/>
  <c r="R881" i="1"/>
  <c r="J881" i="1"/>
  <c r="I881" i="1"/>
  <c r="H881" i="1"/>
  <c r="G881" i="1"/>
  <c r="R880" i="1"/>
  <c r="J880" i="1"/>
  <c r="I880" i="1"/>
  <c r="H880" i="1"/>
  <c r="G880" i="1"/>
  <c r="R879" i="1"/>
  <c r="J879" i="1"/>
  <c r="I879" i="1"/>
  <c r="H879" i="1"/>
  <c r="G879" i="1"/>
  <c r="R878" i="1"/>
  <c r="J878" i="1"/>
  <c r="I878" i="1"/>
  <c r="P878" i="1" s="1"/>
  <c r="H878" i="1"/>
  <c r="G878" i="1"/>
  <c r="R877" i="1"/>
  <c r="J877" i="1"/>
  <c r="I877" i="1"/>
  <c r="H877" i="1"/>
  <c r="G877" i="1"/>
  <c r="R876" i="1"/>
  <c r="J876" i="1"/>
  <c r="I876" i="1"/>
  <c r="H876" i="1"/>
  <c r="G876" i="1"/>
  <c r="R875" i="1"/>
  <c r="J875" i="1"/>
  <c r="I875" i="1"/>
  <c r="H875" i="1"/>
  <c r="G875" i="1"/>
  <c r="R874" i="1"/>
  <c r="J874" i="1"/>
  <c r="I874" i="1"/>
  <c r="P874" i="1" s="1"/>
  <c r="H874" i="1"/>
  <c r="G874" i="1"/>
  <c r="R873" i="1"/>
  <c r="J873" i="1"/>
  <c r="I873" i="1"/>
  <c r="H873" i="1"/>
  <c r="G873" i="1"/>
  <c r="R872" i="1"/>
  <c r="J872" i="1"/>
  <c r="I872" i="1"/>
  <c r="H872" i="1"/>
  <c r="G872" i="1"/>
  <c r="R871" i="1"/>
  <c r="J871" i="1"/>
  <c r="I871" i="1"/>
  <c r="H871" i="1"/>
  <c r="G871" i="1"/>
  <c r="R870" i="1"/>
  <c r="J870" i="1"/>
  <c r="I870" i="1"/>
  <c r="P870" i="1" s="1"/>
  <c r="H870" i="1"/>
  <c r="G870" i="1"/>
  <c r="R869" i="1"/>
  <c r="J869" i="1"/>
  <c r="O869" i="1" s="1"/>
  <c r="I869" i="1"/>
  <c r="H869" i="1"/>
  <c r="G869" i="1"/>
  <c r="R868" i="1"/>
  <c r="J868" i="1"/>
  <c r="I868" i="1"/>
  <c r="H868" i="1"/>
  <c r="G868" i="1"/>
  <c r="R867" i="1"/>
  <c r="J867" i="1"/>
  <c r="I867" i="1"/>
  <c r="H867" i="1"/>
  <c r="G867" i="1"/>
  <c r="R866" i="1"/>
  <c r="J866" i="1"/>
  <c r="I866" i="1"/>
  <c r="O866" i="1" s="1"/>
  <c r="H866" i="1"/>
  <c r="G866" i="1"/>
  <c r="R865" i="1"/>
  <c r="J865" i="1"/>
  <c r="I865" i="1"/>
  <c r="H865" i="1"/>
  <c r="G865" i="1"/>
  <c r="R864" i="1"/>
  <c r="J864" i="1"/>
  <c r="I864" i="1"/>
  <c r="H864" i="1"/>
  <c r="G864" i="1"/>
  <c r="R863" i="1"/>
  <c r="J863" i="1"/>
  <c r="I863" i="1"/>
  <c r="H863" i="1"/>
  <c r="G863" i="1"/>
  <c r="R862" i="1"/>
  <c r="J862" i="1"/>
  <c r="I862" i="1"/>
  <c r="P862" i="1" s="1"/>
  <c r="H862" i="1"/>
  <c r="G862" i="1"/>
  <c r="R861" i="1"/>
  <c r="J861" i="1"/>
  <c r="I861" i="1"/>
  <c r="H861" i="1"/>
  <c r="G861" i="1"/>
  <c r="R860" i="1"/>
  <c r="J860" i="1"/>
  <c r="I860" i="1"/>
  <c r="H860" i="1"/>
  <c r="G860" i="1"/>
  <c r="R859" i="1"/>
  <c r="J859" i="1"/>
  <c r="I859" i="1"/>
  <c r="H859" i="1"/>
  <c r="G859" i="1"/>
  <c r="R858" i="1"/>
  <c r="J858" i="1"/>
  <c r="I858" i="1"/>
  <c r="P858" i="1" s="1"/>
  <c r="H858" i="1"/>
  <c r="G858" i="1"/>
  <c r="R857" i="1"/>
  <c r="J857" i="1"/>
  <c r="P857" i="1" s="1"/>
  <c r="I857" i="1"/>
  <c r="H857" i="1"/>
  <c r="G857" i="1"/>
  <c r="R856" i="1"/>
  <c r="J856" i="1"/>
  <c r="I856" i="1"/>
  <c r="H856" i="1"/>
  <c r="G856" i="1"/>
  <c r="R855" i="1"/>
  <c r="J855" i="1"/>
  <c r="I855" i="1"/>
  <c r="H855" i="1"/>
  <c r="G855" i="1"/>
  <c r="R853" i="1"/>
  <c r="H853" i="1"/>
  <c r="G853" i="1"/>
  <c r="R852" i="1"/>
  <c r="H852" i="1"/>
  <c r="G852" i="1"/>
  <c r="R851" i="1"/>
  <c r="H851" i="1"/>
  <c r="G851" i="1"/>
  <c r="R850" i="1"/>
  <c r="H850" i="1"/>
  <c r="G850" i="1"/>
  <c r="R849" i="1"/>
  <c r="H849" i="1"/>
  <c r="G849" i="1"/>
  <c r="R848" i="1"/>
  <c r="H848" i="1"/>
  <c r="G848" i="1"/>
  <c r="R847" i="1"/>
  <c r="H847" i="1"/>
  <c r="G847" i="1"/>
  <c r="R846" i="1"/>
  <c r="H846" i="1"/>
  <c r="I846" i="1" s="1"/>
  <c r="G846" i="1"/>
  <c r="R845" i="1"/>
  <c r="H845" i="1"/>
  <c r="G845" i="1"/>
  <c r="R844" i="1"/>
  <c r="H844" i="1"/>
  <c r="G844" i="1"/>
  <c r="R843" i="1"/>
  <c r="H843" i="1"/>
  <c r="G843" i="1"/>
  <c r="R842" i="1"/>
  <c r="H842" i="1"/>
  <c r="G842" i="1"/>
  <c r="R841" i="1"/>
  <c r="H841" i="1"/>
  <c r="G841" i="1"/>
  <c r="I841" i="1" s="1"/>
  <c r="R840" i="1"/>
  <c r="H840" i="1"/>
  <c r="G840" i="1"/>
  <c r="R839" i="1"/>
  <c r="H839" i="1"/>
  <c r="G839" i="1"/>
  <c r="R838" i="1"/>
  <c r="H838" i="1"/>
  <c r="J838" i="1" s="1"/>
  <c r="G838" i="1"/>
  <c r="R837" i="1"/>
  <c r="H837" i="1"/>
  <c r="G837" i="1"/>
  <c r="I837" i="1" s="1"/>
  <c r="R836" i="1"/>
  <c r="H836" i="1"/>
  <c r="G836" i="1"/>
  <c r="R835" i="1"/>
  <c r="H835" i="1"/>
  <c r="G835" i="1"/>
  <c r="R834" i="1"/>
  <c r="H834" i="1"/>
  <c r="G834" i="1"/>
  <c r="R833" i="1"/>
  <c r="H833" i="1"/>
  <c r="G833" i="1"/>
  <c r="I833" i="1" s="1"/>
  <c r="R832" i="1"/>
  <c r="H832" i="1"/>
  <c r="G832" i="1"/>
  <c r="R831" i="1"/>
  <c r="H831" i="1"/>
  <c r="G831" i="1"/>
  <c r="R830" i="1"/>
  <c r="H830" i="1"/>
  <c r="G830" i="1"/>
  <c r="R829" i="1"/>
  <c r="H829" i="1"/>
  <c r="G829" i="1"/>
  <c r="I829" i="1" s="1"/>
  <c r="R828" i="1"/>
  <c r="H828" i="1"/>
  <c r="G828" i="1"/>
  <c r="R827" i="1"/>
  <c r="H827" i="1"/>
  <c r="G827" i="1"/>
  <c r="R826" i="1"/>
  <c r="H826" i="1"/>
  <c r="G826" i="1"/>
  <c r="R825" i="1"/>
  <c r="H825" i="1"/>
  <c r="G825" i="1"/>
  <c r="I825" i="1" s="1"/>
  <c r="R824" i="1"/>
  <c r="H824" i="1"/>
  <c r="G824" i="1"/>
  <c r="R823" i="1"/>
  <c r="H823" i="1"/>
  <c r="G823" i="1"/>
  <c r="R822" i="1"/>
  <c r="H822" i="1"/>
  <c r="G822" i="1"/>
  <c r="R821" i="1"/>
  <c r="H821" i="1"/>
  <c r="G821" i="1"/>
  <c r="I821" i="1" s="1"/>
  <c r="R820" i="1"/>
  <c r="H820" i="1"/>
  <c r="G820" i="1"/>
  <c r="R819" i="1"/>
  <c r="H819" i="1"/>
  <c r="G819" i="1"/>
  <c r="R818" i="1"/>
  <c r="H818" i="1"/>
  <c r="G818" i="1"/>
  <c r="R817" i="1"/>
  <c r="H817" i="1"/>
  <c r="G817" i="1"/>
  <c r="I817" i="1" s="1"/>
  <c r="R816" i="1"/>
  <c r="H816" i="1"/>
  <c r="G816" i="1"/>
  <c r="R815" i="1"/>
  <c r="H815" i="1"/>
  <c r="G815" i="1"/>
  <c r="R814" i="1"/>
  <c r="H814" i="1"/>
  <c r="G814" i="1"/>
  <c r="R813" i="1"/>
  <c r="H813" i="1"/>
  <c r="G813" i="1"/>
  <c r="I813" i="1" s="1"/>
  <c r="R812" i="1"/>
  <c r="H812" i="1"/>
  <c r="G812" i="1"/>
  <c r="R811" i="1"/>
  <c r="H811" i="1"/>
  <c r="G811" i="1"/>
  <c r="R810" i="1"/>
  <c r="H810" i="1"/>
  <c r="G810" i="1"/>
  <c r="R809" i="1"/>
  <c r="H809" i="1"/>
  <c r="G809" i="1"/>
  <c r="I809" i="1" s="1"/>
  <c r="R808" i="1"/>
  <c r="H808" i="1"/>
  <c r="G808" i="1"/>
  <c r="R807" i="1"/>
  <c r="H807" i="1"/>
  <c r="G807" i="1"/>
  <c r="R806" i="1"/>
  <c r="H806" i="1"/>
  <c r="J806" i="1" s="1"/>
  <c r="G806" i="1"/>
  <c r="R805" i="1"/>
  <c r="H805" i="1"/>
  <c r="G805" i="1"/>
  <c r="I805" i="1" s="1"/>
  <c r="R804" i="1"/>
  <c r="H804" i="1"/>
  <c r="G804" i="1"/>
  <c r="R803" i="1"/>
  <c r="H803" i="1"/>
  <c r="G803" i="1"/>
  <c r="R802" i="1"/>
  <c r="H802" i="1"/>
  <c r="G802" i="1"/>
  <c r="R801" i="1"/>
  <c r="H801" i="1"/>
  <c r="G801" i="1"/>
  <c r="I801" i="1" s="1"/>
  <c r="R800" i="1"/>
  <c r="H800" i="1"/>
  <c r="G800" i="1"/>
  <c r="R799" i="1"/>
  <c r="H799" i="1"/>
  <c r="G799" i="1"/>
  <c r="R798" i="1"/>
  <c r="H798" i="1"/>
  <c r="G798" i="1"/>
  <c r="R797" i="1"/>
  <c r="H797" i="1"/>
  <c r="G797" i="1"/>
  <c r="I797" i="1" s="1"/>
  <c r="R796" i="1"/>
  <c r="H796" i="1"/>
  <c r="G796" i="1"/>
  <c r="R795" i="1"/>
  <c r="H795" i="1"/>
  <c r="G795" i="1"/>
  <c r="R794" i="1"/>
  <c r="H794" i="1"/>
  <c r="G794" i="1"/>
  <c r="R793" i="1"/>
  <c r="H793" i="1"/>
  <c r="G793" i="1"/>
  <c r="I793" i="1" s="1"/>
  <c r="R792" i="1"/>
  <c r="H792" i="1"/>
  <c r="G792" i="1"/>
  <c r="R791" i="1"/>
  <c r="H791" i="1"/>
  <c r="G791" i="1"/>
  <c r="R790" i="1"/>
  <c r="H790" i="1"/>
  <c r="G790" i="1"/>
  <c r="R789" i="1"/>
  <c r="H789" i="1"/>
  <c r="G789" i="1"/>
  <c r="I789" i="1" s="1"/>
  <c r="R788" i="1"/>
  <c r="H788" i="1"/>
  <c r="G788" i="1"/>
  <c r="R787" i="1"/>
  <c r="H787" i="1"/>
  <c r="G787" i="1"/>
  <c r="R786" i="1"/>
  <c r="H786" i="1"/>
  <c r="G786" i="1"/>
  <c r="R785" i="1"/>
  <c r="H785" i="1"/>
  <c r="G785" i="1"/>
  <c r="I785" i="1" s="1"/>
  <c r="R784" i="1"/>
  <c r="H784" i="1"/>
  <c r="G784" i="1"/>
  <c r="R783" i="1"/>
  <c r="H783" i="1"/>
  <c r="G783" i="1"/>
  <c r="R782" i="1"/>
  <c r="H782" i="1"/>
  <c r="G782" i="1"/>
  <c r="R781" i="1"/>
  <c r="H781" i="1"/>
  <c r="G781" i="1"/>
  <c r="I781" i="1" s="1"/>
  <c r="R780" i="1"/>
  <c r="H780" i="1"/>
  <c r="G780" i="1"/>
  <c r="R779" i="1"/>
  <c r="H779" i="1"/>
  <c r="G779" i="1"/>
  <c r="R778" i="1"/>
  <c r="H778" i="1"/>
  <c r="G778" i="1"/>
  <c r="R777" i="1"/>
  <c r="H777" i="1"/>
  <c r="G777" i="1"/>
  <c r="I777" i="1" s="1"/>
  <c r="R776" i="1"/>
  <c r="H776" i="1"/>
  <c r="G776" i="1"/>
  <c r="R775" i="1"/>
  <c r="H775" i="1"/>
  <c r="G775" i="1"/>
  <c r="R774" i="1"/>
  <c r="H774" i="1"/>
  <c r="J774" i="1" s="1"/>
  <c r="G774" i="1"/>
  <c r="R773" i="1"/>
  <c r="H773" i="1"/>
  <c r="G773" i="1"/>
  <c r="I773" i="1" s="1"/>
  <c r="R772" i="1"/>
  <c r="H772" i="1"/>
  <c r="G772" i="1"/>
  <c r="R771" i="1"/>
  <c r="H771" i="1"/>
  <c r="G771" i="1"/>
  <c r="R770" i="1"/>
  <c r="H770" i="1"/>
  <c r="G770" i="1"/>
  <c r="R769" i="1"/>
  <c r="H769" i="1"/>
  <c r="G769" i="1"/>
  <c r="I769" i="1" s="1"/>
  <c r="R768" i="1"/>
  <c r="H768" i="1"/>
  <c r="G768" i="1"/>
  <c r="R767" i="1"/>
  <c r="H767" i="1"/>
  <c r="G767" i="1"/>
  <c r="R766" i="1"/>
  <c r="H766" i="1"/>
  <c r="G766" i="1"/>
  <c r="R765" i="1"/>
  <c r="H765" i="1"/>
  <c r="G765" i="1"/>
  <c r="I765" i="1" s="1"/>
  <c r="R764" i="1"/>
  <c r="H764" i="1"/>
  <c r="G764" i="1"/>
  <c r="R763" i="1"/>
  <c r="H763" i="1"/>
  <c r="G763" i="1"/>
  <c r="R762" i="1"/>
  <c r="H762" i="1"/>
  <c r="G762" i="1"/>
  <c r="R761" i="1"/>
  <c r="H761" i="1"/>
  <c r="G761" i="1"/>
  <c r="I761" i="1" s="1"/>
  <c r="R760" i="1"/>
  <c r="H760" i="1"/>
  <c r="G760" i="1"/>
  <c r="R759" i="1"/>
  <c r="H759" i="1"/>
  <c r="G759" i="1"/>
  <c r="R758" i="1"/>
  <c r="H758" i="1"/>
  <c r="G758" i="1"/>
  <c r="R757" i="1"/>
  <c r="H757" i="1"/>
  <c r="G757" i="1"/>
  <c r="I757" i="1" s="1"/>
  <c r="R756" i="1"/>
  <c r="H756" i="1"/>
  <c r="G756" i="1"/>
  <c r="R755" i="1"/>
  <c r="H755" i="1"/>
  <c r="G755" i="1"/>
  <c r="R754" i="1"/>
  <c r="H754" i="1"/>
  <c r="G754" i="1"/>
  <c r="R753" i="1"/>
  <c r="H753" i="1"/>
  <c r="G753" i="1"/>
  <c r="I753" i="1" s="1"/>
  <c r="R752" i="1"/>
  <c r="H752" i="1"/>
  <c r="G752" i="1"/>
  <c r="R751" i="1"/>
  <c r="H751" i="1"/>
  <c r="G751" i="1"/>
  <c r="R750" i="1"/>
  <c r="H750" i="1"/>
  <c r="G750" i="1"/>
  <c r="R749" i="1"/>
  <c r="H749" i="1"/>
  <c r="G749" i="1"/>
  <c r="I749" i="1" s="1"/>
  <c r="R748" i="1"/>
  <c r="H748" i="1"/>
  <c r="G748" i="1"/>
  <c r="R747" i="1"/>
  <c r="H747" i="1"/>
  <c r="G747" i="1"/>
  <c r="R746" i="1"/>
  <c r="H746" i="1"/>
  <c r="G746" i="1"/>
  <c r="R745" i="1"/>
  <c r="H745" i="1"/>
  <c r="G745" i="1"/>
  <c r="I745" i="1" s="1"/>
  <c r="R744" i="1"/>
  <c r="H744" i="1"/>
  <c r="G744" i="1"/>
  <c r="R743" i="1"/>
  <c r="H743" i="1"/>
  <c r="G743" i="1"/>
  <c r="R742" i="1"/>
  <c r="H742" i="1"/>
  <c r="J742" i="1" s="1"/>
  <c r="G742" i="1"/>
  <c r="R741" i="1"/>
  <c r="H741" i="1"/>
  <c r="G741" i="1"/>
  <c r="I741" i="1" s="1"/>
  <c r="R740" i="1"/>
  <c r="H740" i="1"/>
  <c r="G740" i="1"/>
  <c r="R739" i="1"/>
  <c r="H739" i="1"/>
  <c r="G739" i="1"/>
  <c r="R738" i="1"/>
  <c r="H738" i="1"/>
  <c r="G738" i="1"/>
  <c r="R737" i="1"/>
  <c r="H737" i="1"/>
  <c r="G737" i="1"/>
  <c r="I737" i="1" s="1"/>
  <c r="R736" i="1"/>
  <c r="H736" i="1"/>
  <c r="G736" i="1"/>
  <c r="R735" i="1"/>
  <c r="H735" i="1"/>
  <c r="G735" i="1"/>
  <c r="R734" i="1"/>
  <c r="H734" i="1"/>
  <c r="G734" i="1"/>
  <c r="R733" i="1"/>
  <c r="H733" i="1"/>
  <c r="G733" i="1"/>
  <c r="I733" i="1" s="1"/>
  <c r="R732" i="1"/>
  <c r="H732" i="1"/>
  <c r="G732" i="1"/>
  <c r="R731" i="1"/>
  <c r="H731" i="1"/>
  <c r="G731" i="1"/>
  <c r="R730" i="1"/>
  <c r="H730" i="1"/>
  <c r="G730" i="1"/>
  <c r="R729" i="1"/>
  <c r="H729" i="1"/>
  <c r="G729" i="1"/>
  <c r="I729" i="1" s="1"/>
  <c r="R728" i="1"/>
  <c r="H728" i="1"/>
  <c r="G728" i="1"/>
  <c r="R727" i="1"/>
  <c r="H727" i="1"/>
  <c r="G727" i="1"/>
  <c r="R726" i="1"/>
  <c r="H726" i="1"/>
  <c r="G726" i="1"/>
  <c r="R725" i="1"/>
  <c r="H725" i="1"/>
  <c r="G725" i="1"/>
  <c r="R724" i="1"/>
  <c r="H724" i="1"/>
  <c r="G724" i="1"/>
  <c r="R723" i="1"/>
  <c r="H723" i="1"/>
  <c r="G723" i="1"/>
  <c r="R722" i="1"/>
  <c r="H722" i="1"/>
  <c r="G722" i="1"/>
  <c r="R721" i="1"/>
  <c r="H721" i="1"/>
  <c r="G721" i="1"/>
  <c r="R720" i="1"/>
  <c r="H720" i="1"/>
  <c r="G720" i="1"/>
  <c r="R719" i="1"/>
  <c r="H719" i="1"/>
  <c r="G719" i="1"/>
  <c r="R718" i="1"/>
  <c r="H718" i="1"/>
  <c r="I718" i="1" s="1"/>
  <c r="G718" i="1"/>
  <c r="R717" i="1"/>
  <c r="H717" i="1"/>
  <c r="G717" i="1"/>
  <c r="R716" i="1"/>
  <c r="H716" i="1"/>
  <c r="G716" i="1"/>
  <c r="R715" i="1"/>
  <c r="H715" i="1"/>
  <c r="G715" i="1"/>
  <c r="R714" i="1"/>
  <c r="H714" i="1"/>
  <c r="I714" i="1" s="1"/>
  <c r="G714" i="1"/>
  <c r="R713" i="1"/>
  <c r="H713" i="1"/>
  <c r="G713" i="1"/>
  <c r="R712" i="1"/>
  <c r="H712" i="1"/>
  <c r="G712" i="1"/>
  <c r="R711" i="1"/>
  <c r="H711" i="1"/>
  <c r="G711" i="1"/>
  <c r="R710" i="1"/>
  <c r="H710" i="1"/>
  <c r="I710" i="1" s="1"/>
  <c r="G710" i="1"/>
  <c r="R709" i="1"/>
  <c r="H709" i="1"/>
  <c r="G709" i="1"/>
  <c r="R708" i="1"/>
  <c r="H708" i="1"/>
  <c r="G708" i="1"/>
  <c r="R707" i="1"/>
  <c r="H707" i="1"/>
  <c r="G707" i="1"/>
  <c r="R706" i="1"/>
  <c r="H706" i="1"/>
  <c r="I706" i="1" s="1"/>
  <c r="G706" i="1"/>
  <c r="R705" i="1"/>
  <c r="H705" i="1"/>
  <c r="G705" i="1"/>
  <c r="R704" i="1"/>
  <c r="H704" i="1"/>
  <c r="G704" i="1"/>
  <c r="R703" i="1"/>
  <c r="H703" i="1"/>
  <c r="I703" i="1" s="1"/>
  <c r="G703" i="1"/>
  <c r="R702" i="1"/>
  <c r="H702" i="1"/>
  <c r="G702" i="1"/>
  <c r="R701" i="1"/>
  <c r="H701" i="1"/>
  <c r="G701" i="1"/>
  <c r="R700" i="1"/>
  <c r="H700" i="1"/>
  <c r="G700" i="1"/>
  <c r="R699" i="1"/>
  <c r="H699" i="1"/>
  <c r="G699" i="1"/>
  <c r="R698" i="1"/>
  <c r="H698" i="1"/>
  <c r="G698" i="1"/>
  <c r="R697" i="1"/>
  <c r="H697" i="1"/>
  <c r="G697" i="1"/>
  <c r="R696" i="1"/>
  <c r="H696" i="1"/>
  <c r="G696" i="1"/>
  <c r="R695" i="1"/>
  <c r="H695" i="1"/>
  <c r="G695" i="1"/>
  <c r="R694" i="1"/>
  <c r="H694" i="1"/>
  <c r="I694" i="1" s="1"/>
  <c r="G694" i="1"/>
  <c r="R693" i="1"/>
  <c r="H693" i="1"/>
  <c r="G693" i="1"/>
  <c r="R692" i="1"/>
  <c r="H692" i="1"/>
  <c r="G692" i="1"/>
  <c r="R691" i="1"/>
  <c r="H691" i="1"/>
  <c r="G691" i="1"/>
  <c r="R690" i="1"/>
  <c r="H690" i="1"/>
  <c r="I690" i="1" s="1"/>
  <c r="G690" i="1"/>
  <c r="R689" i="1"/>
  <c r="H689" i="1"/>
  <c r="G689" i="1"/>
  <c r="R688" i="1"/>
  <c r="H688" i="1"/>
  <c r="G688" i="1"/>
  <c r="R687" i="1"/>
  <c r="H687" i="1"/>
  <c r="G687" i="1"/>
  <c r="R686" i="1"/>
  <c r="H686" i="1"/>
  <c r="G686" i="1"/>
  <c r="R685" i="1"/>
  <c r="H685" i="1"/>
  <c r="G685" i="1"/>
  <c r="R684" i="1"/>
  <c r="H684" i="1"/>
  <c r="G684" i="1"/>
  <c r="R683" i="1"/>
  <c r="H683" i="1"/>
  <c r="G683" i="1"/>
  <c r="R682" i="1"/>
  <c r="H682" i="1"/>
  <c r="G682" i="1"/>
  <c r="R681" i="1"/>
  <c r="H681" i="1"/>
  <c r="G681" i="1"/>
  <c r="R680" i="1"/>
  <c r="H680" i="1"/>
  <c r="G680" i="1"/>
  <c r="R679" i="1"/>
  <c r="H679" i="1"/>
  <c r="G679" i="1"/>
  <c r="R678" i="1"/>
  <c r="H678" i="1"/>
  <c r="I678" i="1" s="1"/>
  <c r="G678" i="1"/>
  <c r="R48" i="1"/>
  <c r="H48" i="1"/>
  <c r="G48" i="1"/>
  <c r="I48" i="1" s="1"/>
  <c r="R47" i="1"/>
  <c r="H47" i="1"/>
  <c r="G47" i="1"/>
  <c r="R46" i="1"/>
  <c r="H46" i="1"/>
  <c r="G46" i="1"/>
  <c r="R45" i="1"/>
  <c r="H45" i="1"/>
  <c r="I45" i="1" s="1"/>
  <c r="G45" i="1"/>
  <c r="R44" i="1"/>
  <c r="H44" i="1"/>
  <c r="G44" i="1"/>
  <c r="R43" i="1"/>
  <c r="H43" i="1"/>
  <c r="G43" i="1"/>
  <c r="R42" i="1"/>
  <c r="H42" i="1"/>
  <c r="G42" i="1"/>
  <c r="R41" i="1"/>
  <c r="H41" i="1"/>
  <c r="G41" i="1"/>
  <c r="G5" i="1"/>
  <c r="H5" i="1"/>
  <c r="R5" i="1"/>
  <c r="G6" i="1"/>
  <c r="H6" i="1"/>
  <c r="R6" i="1"/>
  <c r="G7" i="1"/>
  <c r="H7" i="1"/>
  <c r="R7" i="1"/>
  <c r="G8" i="1"/>
  <c r="H8" i="1"/>
  <c r="R8" i="1"/>
  <c r="G9" i="1"/>
  <c r="H9" i="1"/>
  <c r="R9" i="1"/>
  <c r="G10" i="1"/>
  <c r="H10" i="1"/>
  <c r="R10" i="1"/>
  <c r="G11" i="1"/>
  <c r="I11" i="1" s="1"/>
  <c r="H11" i="1"/>
  <c r="R11" i="1"/>
  <c r="G12" i="1"/>
  <c r="H12" i="1"/>
  <c r="J12" i="1" s="1"/>
  <c r="R12" i="1"/>
  <c r="G13" i="1"/>
  <c r="H13" i="1"/>
  <c r="R13" i="1"/>
  <c r="G14" i="1"/>
  <c r="H14" i="1"/>
  <c r="R14" i="1"/>
  <c r="G15" i="1"/>
  <c r="H15" i="1"/>
  <c r="R15" i="1"/>
  <c r="G16" i="1"/>
  <c r="H16" i="1"/>
  <c r="R16" i="1"/>
  <c r="G17" i="1"/>
  <c r="H17" i="1"/>
  <c r="R17" i="1"/>
  <c r="H18" i="1"/>
  <c r="R18" i="1"/>
  <c r="G19" i="1"/>
  <c r="H19" i="1"/>
  <c r="I19" i="1" s="1"/>
  <c r="R19" i="1"/>
  <c r="G20" i="1"/>
  <c r="H20" i="1"/>
  <c r="R20" i="1"/>
  <c r="G21" i="1"/>
  <c r="H21" i="1"/>
  <c r="R21" i="1"/>
  <c r="G22" i="1"/>
  <c r="H22" i="1"/>
  <c r="R22" i="1"/>
  <c r="G23" i="1"/>
  <c r="H23" i="1"/>
  <c r="I23" i="1" s="1"/>
  <c r="R23" i="1"/>
  <c r="G24" i="1"/>
  <c r="H24" i="1"/>
  <c r="R24" i="1"/>
  <c r="G25" i="1"/>
  <c r="H25" i="1"/>
  <c r="R25" i="1"/>
  <c r="G26" i="1"/>
  <c r="J26" i="1" s="1"/>
  <c r="H26" i="1"/>
  <c r="R26" i="1"/>
  <c r="G27" i="1"/>
  <c r="H27" i="1"/>
  <c r="R27" i="1"/>
  <c r="G28" i="1"/>
  <c r="H28" i="1"/>
  <c r="R28" i="1"/>
  <c r="G29" i="1"/>
  <c r="H29" i="1"/>
  <c r="R29" i="1"/>
  <c r="G30" i="1"/>
  <c r="I30" i="1" s="1"/>
  <c r="H30" i="1"/>
  <c r="R30" i="1"/>
  <c r="G31" i="1"/>
  <c r="H31" i="1"/>
  <c r="R31" i="1"/>
  <c r="G32" i="1"/>
  <c r="H32" i="1"/>
  <c r="R32" i="1"/>
  <c r="G33" i="1"/>
  <c r="H33" i="1"/>
  <c r="R33" i="1"/>
  <c r="G34" i="1"/>
  <c r="J34" i="1" s="1"/>
  <c r="H34" i="1"/>
  <c r="R34" i="1"/>
  <c r="G35" i="1"/>
  <c r="H35" i="1"/>
  <c r="R35" i="1"/>
  <c r="G36" i="1"/>
  <c r="H36" i="1"/>
  <c r="R36" i="1"/>
  <c r="G37" i="1"/>
  <c r="H37" i="1"/>
  <c r="R37" i="1"/>
  <c r="G38" i="1"/>
  <c r="J38" i="1" s="1"/>
  <c r="H38" i="1"/>
  <c r="R38" i="1"/>
  <c r="G39" i="1"/>
  <c r="H39" i="1"/>
  <c r="R39" i="1"/>
  <c r="G40" i="1"/>
  <c r="H40" i="1"/>
  <c r="R40" i="1"/>
  <c r="G49" i="1"/>
  <c r="H49" i="1"/>
  <c r="R49" i="1"/>
  <c r="G50" i="1"/>
  <c r="H50" i="1"/>
  <c r="R50" i="1"/>
  <c r="G51" i="1"/>
  <c r="H51" i="1"/>
  <c r="R51" i="1"/>
  <c r="G52" i="1"/>
  <c r="H52" i="1"/>
  <c r="R52" i="1"/>
  <c r="G53" i="1"/>
  <c r="H53" i="1"/>
  <c r="R53" i="1"/>
  <c r="G54" i="1"/>
  <c r="H54" i="1"/>
  <c r="R54" i="1"/>
  <c r="G55" i="1"/>
  <c r="H55" i="1"/>
  <c r="R55" i="1"/>
  <c r="G56" i="1"/>
  <c r="H56" i="1"/>
  <c r="R56" i="1"/>
  <c r="G57" i="1"/>
  <c r="H57" i="1"/>
  <c r="R57" i="1"/>
  <c r="G58" i="1"/>
  <c r="J58" i="1" s="1"/>
  <c r="H58" i="1"/>
  <c r="R58" i="1"/>
  <c r="G59" i="1"/>
  <c r="H59" i="1"/>
  <c r="R59" i="1"/>
  <c r="G60" i="1"/>
  <c r="H60" i="1"/>
  <c r="R60" i="1"/>
  <c r="G61" i="1"/>
  <c r="H61" i="1"/>
  <c r="R61" i="1"/>
  <c r="G62" i="1"/>
  <c r="H62" i="1"/>
  <c r="R62" i="1"/>
  <c r="G63" i="1"/>
  <c r="H63" i="1"/>
  <c r="R63" i="1"/>
  <c r="G64" i="1"/>
  <c r="H64" i="1"/>
  <c r="R64" i="1"/>
  <c r="G65" i="1"/>
  <c r="H65" i="1"/>
  <c r="R65" i="1"/>
  <c r="G66" i="1"/>
  <c r="H66" i="1"/>
  <c r="R66" i="1"/>
  <c r="G67" i="1"/>
  <c r="H67" i="1"/>
  <c r="R67" i="1"/>
  <c r="G68" i="1"/>
  <c r="H68" i="1"/>
  <c r="R68" i="1"/>
  <c r="G69" i="1"/>
  <c r="H69" i="1"/>
  <c r="R69" i="1"/>
  <c r="G70" i="1"/>
  <c r="I70" i="1" s="1"/>
  <c r="H70" i="1"/>
  <c r="R70" i="1"/>
  <c r="G71" i="1"/>
  <c r="H71" i="1"/>
  <c r="I71" i="1" s="1"/>
  <c r="R71" i="1"/>
  <c r="G72" i="1"/>
  <c r="H72" i="1"/>
  <c r="R72" i="1"/>
  <c r="G73" i="1"/>
  <c r="H73" i="1"/>
  <c r="R73" i="1"/>
  <c r="G74" i="1"/>
  <c r="J74" i="1" s="1"/>
  <c r="H74" i="1"/>
  <c r="R74" i="1"/>
  <c r="G75" i="1"/>
  <c r="H75" i="1"/>
  <c r="R75" i="1"/>
  <c r="G76" i="1"/>
  <c r="H76" i="1"/>
  <c r="R76" i="1"/>
  <c r="G77" i="1"/>
  <c r="H77" i="1"/>
  <c r="R77" i="1"/>
  <c r="G78" i="1"/>
  <c r="H78" i="1"/>
  <c r="R78" i="1"/>
  <c r="G79" i="1"/>
  <c r="H79" i="1"/>
  <c r="I79" i="1" s="1"/>
  <c r="R79" i="1"/>
  <c r="G80" i="1"/>
  <c r="H80" i="1"/>
  <c r="R80" i="1"/>
  <c r="G81" i="1"/>
  <c r="H81" i="1"/>
  <c r="R81" i="1"/>
  <c r="G82" i="1"/>
  <c r="J82" i="1" s="1"/>
  <c r="H82" i="1"/>
  <c r="R82" i="1"/>
  <c r="G83" i="1"/>
  <c r="H83" i="1"/>
  <c r="R83" i="1"/>
  <c r="G84" i="1"/>
  <c r="H84" i="1"/>
  <c r="R84" i="1"/>
  <c r="G85" i="1"/>
  <c r="H85" i="1"/>
  <c r="R85" i="1"/>
  <c r="G86" i="1"/>
  <c r="H86" i="1"/>
  <c r="R86" i="1"/>
  <c r="G87" i="1"/>
  <c r="H87" i="1"/>
  <c r="R87" i="1"/>
  <c r="G88" i="1"/>
  <c r="H88" i="1"/>
  <c r="R88" i="1"/>
  <c r="G89" i="1"/>
  <c r="H89" i="1"/>
  <c r="R89" i="1"/>
  <c r="G90" i="1"/>
  <c r="J90" i="1" s="1"/>
  <c r="H90" i="1"/>
  <c r="R90" i="1"/>
  <c r="G91" i="1"/>
  <c r="H91" i="1"/>
  <c r="I91" i="1" s="1"/>
  <c r="R91" i="1"/>
  <c r="G92" i="1"/>
  <c r="H92" i="1"/>
  <c r="R92" i="1"/>
  <c r="G93" i="1"/>
  <c r="H93" i="1"/>
  <c r="R93" i="1"/>
  <c r="G94" i="1"/>
  <c r="I94" i="1" s="1"/>
  <c r="H94" i="1"/>
  <c r="R94" i="1"/>
  <c r="G95" i="1"/>
  <c r="H95" i="1"/>
  <c r="J95" i="1" s="1"/>
  <c r="R95" i="1"/>
  <c r="G96" i="1"/>
  <c r="H96" i="1"/>
  <c r="R96" i="1"/>
  <c r="G97" i="1"/>
  <c r="H97" i="1"/>
  <c r="R97" i="1"/>
  <c r="G98" i="1"/>
  <c r="I98" i="1" s="1"/>
  <c r="H98" i="1"/>
  <c r="R98" i="1"/>
  <c r="G99" i="1"/>
  <c r="H99" i="1"/>
  <c r="J99" i="1" s="1"/>
  <c r="R99" i="1"/>
  <c r="G100" i="1"/>
  <c r="H100" i="1"/>
  <c r="R100" i="1"/>
  <c r="G101" i="1"/>
  <c r="H101" i="1"/>
  <c r="R101" i="1"/>
  <c r="G102" i="1"/>
  <c r="H102" i="1"/>
  <c r="R102" i="1"/>
  <c r="G103" i="1"/>
  <c r="H103" i="1"/>
  <c r="J103" i="1" s="1"/>
  <c r="R103" i="1"/>
  <c r="G104" i="1"/>
  <c r="H104" i="1"/>
  <c r="R104" i="1"/>
  <c r="G105" i="1"/>
  <c r="H105" i="1"/>
  <c r="R105" i="1"/>
  <c r="G106" i="1"/>
  <c r="H106" i="1"/>
  <c r="R106" i="1"/>
  <c r="G107" i="1"/>
  <c r="H107" i="1"/>
  <c r="J107" i="1" s="1"/>
  <c r="R107" i="1"/>
  <c r="G108" i="1"/>
  <c r="H108" i="1"/>
  <c r="R108" i="1"/>
  <c r="G109" i="1"/>
  <c r="H109" i="1"/>
  <c r="R109" i="1"/>
  <c r="G110" i="1"/>
  <c r="H110" i="1"/>
  <c r="R110" i="1"/>
  <c r="G111" i="1"/>
  <c r="H111" i="1"/>
  <c r="J111" i="1" s="1"/>
  <c r="R111" i="1"/>
  <c r="G112" i="1"/>
  <c r="H112" i="1"/>
  <c r="R112" i="1"/>
  <c r="G113" i="1"/>
  <c r="H113" i="1"/>
  <c r="R113" i="1"/>
  <c r="G114" i="1"/>
  <c r="I114" i="1" s="1"/>
  <c r="H114" i="1"/>
  <c r="R114" i="1"/>
  <c r="G115" i="1"/>
  <c r="H115" i="1"/>
  <c r="J115" i="1" s="1"/>
  <c r="R115" i="1"/>
  <c r="G116" i="1"/>
  <c r="H116" i="1"/>
  <c r="R116" i="1"/>
  <c r="G117" i="1"/>
  <c r="H117" i="1"/>
  <c r="R117" i="1"/>
  <c r="G118" i="1"/>
  <c r="H118" i="1"/>
  <c r="R118" i="1"/>
  <c r="G119" i="1"/>
  <c r="H119" i="1"/>
  <c r="J119" i="1" s="1"/>
  <c r="R119" i="1"/>
  <c r="G120" i="1"/>
  <c r="H120" i="1"/>
  <c r="R120" i="1"/>
  <c r="G121" i="1"/>
  <c r="H121" i="1"/>
  <c r="R121" i="1"/>
  <c r="G122" i="1"/>
  <c r="H122" i="1"/>
  <c r="R122" i="1"/>
  <c r="G123" i="1"/>
  <c r="H123" i="1"/>
  <c r="R123" i="1"/>
  <c r="G124" i="1"/>
  <c r="H124" i="1"/>
  <c r="R124" i="1"/>
  <c r="G125" i="1"/>
  <c r="H125" i="1"/>
  <c r="R125" i="1"/>
  <c r="G126" i="1"/>
  <c r="I126" i="1" s="1"/>
  <c r="H126" i="1"/>
  <c r="R126" i="1"/>
  <c r="G127" i="1"/>
  <c r="H127" i="1"/>
  <c r="I127" i="1" s="1"/>
  <c r="R127" i="1"/>
  <c r="G128" i="1"/>
  <c r="H128" i="1"/>
  <c r="R128" i="1"/>
  <c r="G129" i="1"/>
  <c r="H129" i="1"/>
  <c r="R129" i="1"/>
  <c r="G130" i="1"/>
  <c r="H130" i="1"/>
  <c r="R130" i="1"/>
  <c r="G131" i="1"/>
  <c r="H131" i="1"/>
  <c r="R131" i="1"/>
  <c r="G132" i="1"/>
  <c r="H132" i="1"/>
  <c r="R132" i="1"/>
  <c r="G133" i="1"/>
  <c r="H133" i="1"/>
  <c r="R133" i="1"/>
  <c r="G134" i="1"/>
  <c r="J134" i="1" s="1"/>
  <c r="H134" i="1"/>
  <c r="R134" i="1"/>
  <c r="G135" i="1"/>
  <c r="H135" i="1"/>
  <c r="J135" i="1" s="1"/>
  <c r="R135" i="1"/>
  <c r="G136" i="1"/>
  <c r="H136" i="1"/>
  <c r="R136" i="1"/>
  <c r="G137" i="1"/>
  <c r="H137" i="1"/>
  <c r="R137" i="1"/>
  <c r="G138" i="1"/>
  <c r="H138" i="1"/>
  <c r="R138" i="1"/>
  <c r="G139" i="1"/>
  <c r="H139" i="1"/>
  <c r="R139" i="1"/>
  <c r="G140" i="1"/>
  <c r="H140" i="1"/>
  <c r="R140" i="1"/>
  <c r="G141" i="1"/>
  <c r="H141" i="1"/>
  <c r="R141" i="1"/>
  <c r="G142" i="1"/>
  <c r="J142" i="1" s="1"/>
  <c r="H142" i="1"/>
  <c r="R142" i="1"/>
  <c r="G143" i="1"/>
  <c r="H143" i="1"/>
  <c r="J143" i="1" s="1"/>
  <c r="R143" i="1"/>
  <c r="G144" i="1"/>
  <c r="H144" i="1"/>
  <c r="R144" i="1"/>
  <c r="G145" i="1"/>
  <c r="H145" i="1"/>
  <c r="R145" i="1"/>
  <c r="G146" i="1"/>
  <c r="H146" i="1"/>
  <c r="R146" i="1"/>
  <c r="G147" i="1"/>
  <c r="H147" i="1"/>
  <c r="I147" i="1" s="1"/>
  <c r="R147" i="1"/>
  <c r="G148" i="1"/>
  <c r="H148" i="1"/>
  <c r="R148" i="1"/>
  <c r="G149" i="1"/>
  <c r="H149" i="1"/>
  <c r="R149" i="1"/>
  <c r="G150" i="1"/>
  <c r="H150" i="1"/>
  <c r="R150" i="1"/>
  <c r="G151" i="1"/>
  <c r="H151" i="1"/>
  <c r="J151" i="1" s="1"/>
  <c r="R151" i="1"/>
  <c r="G152" i="1"/>
  <c r="H152" i="1"/>
  <c r="R152" i="1"/>
  <c r="G153" i="1"/>
  <c r="H153" i="1"/>
  <c r="R153" i="1"/>
  <c r="G154" i="1"/>
  <c r="H154" i="1"/>
  <c r="R154" i="1"/>
  <c r="G155" i="1"/>
  <c r="H155" i="1"/>
  <c r="R155" i="1"/>
  <c r="G156" i="1"/>
  <c r="H156" i="1"/>
  <c r="R156" i="1"/>
  <c r="G157" i="1"/>
  <c r="H157" i="1"/>
  <c r="R157" i="1"/>
  <c r="G158" i="1"/>
  <c r="H158" i="1"/>
  <c r="R158" i="1"/>
  <c r="G159" i="1"/>
  <c r="H159" i="1"/>
  <c r="J159" i="1" s="1"/>
  <c r="R159" i="1"/>
  <c r="G160" i="1"/>
  <c r="H160" i="1"/>
  <c r="R160" i="1"/>
  <c r="G161" i="1"/>
  <c r="H161" i="1"/>
  <c r="R161" i="1"/>
  <c r="G162" i="1"/>
  <c r="H162" i="1"/>
  <c r="R162" i="1"/>
  <c r="G163" i="1"/>
  <c r="H163" i="1"/>
  <c r="I163" i="1" s="1"/>
  <c r="R163" i="1"/>
  <c r="G164" i="1"/>
  <c r="H164" i="1"/>
  <c r="R164" i="1"/>
  <c r="G165" i="1"/>
  <c r="H165" i="1"/>
  <c r="R165" i="1"/>
  <c r="G166" i="1"/>
  <c r="H166" i="1"/>
  <c r="R166" i="1"/>
  <c r="G167" i="1"/>
  <c r="H167" i="1"/>
  <c r="J167" i="1" s="1"/>
  <c r="R167" i="1"/>
  <c r="G168" i="1"/>
  <c r="H168" i="1"/>
  <c r="R168" i="1"/>
  <c r="G169" i="1"/>
  <c r="H169" i="1"/>
  <c r="R169" i="1"/>
  <c r="G170" i="1"/>
  <c r="H170" i="1"/>
  <c r="R170" i="1"/>
  <c r="G171" i="1"/>
  <c r="H171" i="1"/>
  <c r="R171" i="1"/>
  <c r="G172" i="1"/>
  <c r="H172" i="1"/>
  <c r="R172" i="1"/>
  <c r="G173" i="1"/>
  <c r="H173" i="1"/>
  <c r="R173" i="1"/>
  <c r="G174" i="1"/>
  <c r="J174" i="1" s="1"/>
  <c r="H174" i="1"/>
  <c r="R174" i="1"/>
  <c r="G175" i="1"/>
  <c r="H175" i="1"/>
  <c r="R175" i="1"/>
  <c r="G176" i="1"/>
  <c r="H176" i="1"/>
  <c r="R176" i="1"/>
  <c r="G177" i="1"/>
  <c r="H177" i="1"/>
  <c r="R177" i="1"/>
  <c r="G178" i="1"/>
  <c r="H178" i="1"/>
  <c r="R178" i="1"/>
  <c r="G179" i="1"/>
  <c r="H179" i="1"/>
  <c r="I179" i="1" s="1"/>
  <c r="N179" i="1" s="1"/>
  <c r="R179" i="1"/>
  <c r="G180" i="1"/>
  <c r="H180" i="1"/>
  <c r="R180" i="1"/>
  <c r="G181" i="1"/>
  <c r="H181" i="1"/>
  <c r="R181" i="1"/>
  <c r="G182" i="1"/>
  <c r="H182" i="1"/>
  <c r="R182" i="1"/>
  <c r="G183" i="1"/>
  <c r="H183" i="1"/>
  <c r="J183" i="1" s="1"/>
  <c r="R183" i="1"/>
  <c r="G184" i="1"/>
  <c r="H184" i="1"/>
  <c r="R184" i="1"/>
  <c r="G185" i="1"/>
  <c r="H185" i="1"/>
  <c r="R185" i="1"/>
  <c r="G186" i="1"/>
  <c r="H186" i="1"/>
  <c r="R186" i="1"/>
  <c r="G187" i="1"/>
  <c r="H187" i="1"/>
  <c r="R187" i="1"/>
  <c r="G188" i="1"/>
  <c r="H188" i="1"/>
  <c r="R188" i="1"/>
  <c r="G189" i="1"/>
  <c r="H189" i="1"/>
  <c r="R189" i="1"/>
  <c r="G190" i="1"/>
  <c r="H190" i="1"/>
  <c r="R190" i="1"/>
  <c r="G191" i="1"/>
  <c r="H191" i="1"/>
  <c r="J191" i="1" s="1"/>
  <c r="R191" i="1"/>
  <c r="G192" i="1"/>
  <c r="H192" i="1"/>
  <c r="R192" i="1"/>
  <c r="G193" i="1"/>
  <c r="H193" i="1"/>
  <c r="R193" i="1"/>
  <c r="G194" i="1"/>
  <c r="H194" i="1"/>
  <c r="R194" i="1"/>
  <c r="G195" i="1"/>
  <c r="H195" i="1"/>
  <c r="I195" i="1" s="1"/>
  <c r="R195" i="1"/>
  <c r="G196" i="1"/>
  <c r="H196" i="1"/>
  <c r="R196" i="1"/>
  <c r="G197" i="1"/>
  <c r="H197" i="1"/>
  <c r="R197" i="1"/>
  <c r="G198" i="1"/>
  <c r="H198" i="1"/>
  <c r="R198" i="1"/>
  <c r="G199" i="1"/>
  <c r="H199" i="1"/>
  <c r="J199" i="1" s="1"/>
  <c r="R199" i="1"/>
  <c r="G200" i="1"/>
  <c r="H200" i="1"/>
  <c r="R200" i="1"/>
  <c r="G201" i="1"/>
  <c r="H201" i="1"/>
  <c r="R201" i="1"/>
  <c r="G202" i="1"/>
  <c r="H202" i="1"/>
  <c r="R202" i="1"/>
  <c r="G203" i="1"/>
  <c r="H203" i="1"/>
  <c r="R203" i="1"/>
  <c r="G204" i="1"/>
  <c r="H204" i="1"/>
  <c r="R204" i="1"/>
  <c r="G205" i="1"/>
  <c r="H205" i="1"/>
  <c r="R205" i="1"/>
  <c r="G206" i="1"/>
  <c r="J206" i="1" s="1"/>
  <c r="H206" i="1"/>
  <c r="R206" i="1"/>
  <c r="G207" i="1"/>
  <c r="H207" i="1"/>
  <c r="J207" i="1" s="1"/>
  <c r="R207" i="1"/>
  <c r="G208" i="1"/>
  <c r="H208" i="1"/>
  <c r="R208" i="1"/>
  <c r="G209" i="1"/>
  <c r="H209" i="1"/>
  <c r="R209" i="1"/>
  <c r="G210" i="1"/>
  <c r="H210" i="1"/>
  <c r="R210" i="1"/>
  <c r="G211" i="1"/>
  <c r="H211" i="1"/>
  <c r="I211" i="1" s="1"/>
  <c r="R211" i="1"/>
  <c r="G212" i="1"/>
  <c r="H212" i="1"/>
  <c r="R212" i="1"/>
  <c r="G213" i="1"/>
  <c r="H213" i="1"/>
  <c r="R213" i="1"/>
  <c r="G214" i="1"/>
  <c r="H214" i="1"/>
  <c r="R214" i="1"/>
  <c r="G215" i="1"/>
  <c r="H215" i="1"/>
  <c r="R215" i="1"/>
  <c r="G216" i="1"/>
  <c r="H216" i="1"/>
  <c r="R216" i="1"/>
  <c r="G217" i="1"/>
  <c r="H217" i="1"/>
  <c r="R217" i="1"/>
  <c r="G218" i="1"/>
  <c r="H218" i="1"/>
  <c r="R218" i="1"/>
  <c r="G219" i="1"/>
  <c r="H219" i="1"/>
  <c r="R219" i="1"/>
  <c r="G220" i="1"/>
  <c r="H220" i="1"/>
  <c r="R220" i="1"/>
  <c r="G221" i="1"/>
  <c r="H221" i="1"/>
  <c r="R221" i="1"/>
  <c r="G222" i="1"/>
  <c r="H222" i="1"/>
  <c r="R222" i="1"/>
  <c r="G223" i="1"/>
  <c r="H223" i="1"/>
  <c r="R223" i="1"/>
  <c r="G224" i="1"/>
  <c r="H224" i="1"/>
  <c r="R224" i="1"/>
  <c r="G225" i="1"/>
  <c r="H225" i="1"/>
  <c r="R225" i="1"/>
  <c r="G226" i="1"/>
  <c r="H226" i="1"/>
  <c r="R226" i="1"/>
  <c r="G227" i="1"/>
  <c r="H227" i="1"/>
  <c r="I227" i="1" s="1"/>
  <c r="R227" i="1"/>
  <c r="G228" i="1"/>
  <c r="H228" i="1"/>
  <c r="R228" i="1"/>
  <c r="G229" i="1"/>
  <c r="H229" i="1"/>
  <c r="R229" i="1"/>
  <c r="G230" i="1"/>
  <c r="H230" i="1"/>
  <c r="R230" i="1"/>
  <c r="G231" i="1"/>
  <c r="H231" i="1"/>
  <c r="J231" i="1" s="1"/>
  <c r="R231" i="1"/>
  <c r="G232" i="1"/>
  <c r="H232" i="1"/>
  <c r="R232" i="1"/>
  <c r="G233" i="1"/>
  <c r="H233" i="1"/>
  <c r="R233" i="1"/>
  <c r="G234" i="1"/>
  <c r="H234" i="1"/>
  <c r="R234" i="1"/>
  <c r="G235" i="1"/>
  <c r="H235" i="1"/>
  <c r="R235" i="1"/>
  <c r="G236" i="1"/>
  <c r="H236" i="1"/>
  <c r="R236" i="1"/>
  <c r="G237" i="1"/>
  <c r="H237" i="1"/>
  <c r="R237" i="1"/>
  <c r="G238" i="1"/>
  <c r="J238" i="1" s="1"/>
  <c r="H238" i="1"/>
  <c r="R238" i="1"/>
  <c r="G239" i="1"/>
  <c r="H239" i="1"/>
  <c r="J239" i="1" s="1"/>
  <c r="R239" i="1"/>
  <c r="G240" i="1"/>
  <c r="H240" i="1"/>
  <c r="R240" i="1"/>
  <c r="G241" i="1"/>
  <c r="H241" i="1"/>
  <c r="R241" i="1"/>
  <c r="G242" i="1"/>
  <c r="H242" i="1"/>
  <c r="R242" i="1"/>
  <c r="G243" i="1"/>
  <c r="H243" i="1"/>
  <c r="R243" i="1"/>
  <c r="G244" i="1"/>
  <c r="H244" i="1"/>
  <c r="R244" i="1"/>
  <c r="G245" i="1"/>
  <c r="H245" i="1"/>
  <c r="R245" i="1"/>
  <c r="G246" i="1"/>
  <c r="H246" i="1"/>
  <c r="R246" i="1"/>
  <c r="G247" i="1"/>
  <c r="H247" i="1"/>
  <c r="I247" i="1" s="1"/>
  <c r="R247" i="1"/>
  <c r="G248" i="1"/>
  <c r="H248" i="1"/>
  <c r="R248" i="1"/>
  <c r="G249" i="1"/>
  <c r="H249" i="1"/>
  <c r="R249" i="1"/>
  <c r="G250" i="1"/>
  <c r="H250" i="1"/>
  <c r="R250" i="1"/>
  <c r="G251" i="1"/>
  <c r="H251" i="1"/>
  <c r="R251" i="1"/>
  <c r="G252" i="1"/>
  <c r="H252" i="1"/>
  <c r="R252" i="1"/>
  <c r="G253" i="1"/>
  <c r="H253" i="1"/>
  <c r="R253" i="1"/>
  <c r="G254" i="1"/>
  <c r="J254" i="1" s="1"/>
  <c r="H254" i="1"/>
  <c r="R254" i="1"/>
  <c r="G255" i="1"/>
  <c r="H255" i="1"/>
  <c r="I255" i="1" s="1"/>
  <c r="R255" i="1"/>
  <c r="G256" i="1"/>
  <c r="H256" i="1"/>
  <c r="R256" i="1"/>
  <c r="G257" i="1"/>
  <c r="H257" i="1"/>
  <c r="R257" i="1"/>
  <c r="G258" i="1"/>
  <c r="I258" i="1" s="1"/>
  <c r="H258" i="1"/>
  <c r="R258" i="1"/>
  <c r="G259" i="1"/>
  <c r="H259" i="1"/>
  <c r="R259" i="1"/>
  <c r="G260" i="1"/>
  <c r="H260" i="1"/>
  <c r="R260" i="1"/>
  <c r="G261" i="1"/>
  <c r="H261" i="1"/>
  <c r="R261" i="1"/>
  <c r="G262" i="1"/>
  <c r="I262" i="1" s="1"/>
  <c r="H262" i="1"/>
  <c r="R262" i="1"/>
  <c r="G263" i="1"/>
  <c r="H263" i="1"/>
  <c r="R263" i="1"/>
  <c r="G264" i="1"/>
  <c r="H264" i="1"/>
  <c r="R264" i="1"/>
  <c r="G265" i="1"/>
  <c r="H265" i="1"/>
  <c r="R265" i="1"/>
  <c r="G266" i="1"/>
  <c r="I266" i="1" s="1"/>
  <c r="H266" i="1"/>
  <c r="R266" i="1"/>
  <c r="G267" i="1"/>
  <c r="H267" i="1"/>
  <c r="R267" i="1"/>
  <c r="G268" i="1"/>
  <c r="H268" i="1"/>
  <c r="R268" i="1"/>
  <c r="G269" i="1"/>
  <c r="H269" i="1"/>
  <c r="R269" i="1"/>
  <c r="G270" i="1"/>
  <c r="I270" i="1" s="1"/>
  <c r="H270" i="1"/>
  <c r="R270" i="1"/>
  <c r="G271" i="1"/>
  <c r="H271" i="1"/>
  <c r="R271" i="1"/>
  <c r="G272" i="1"/>
  <c r="H272" i="1"/>
  <c r="R272" i="1"/>
  <c r="G273" i="1"/>
  <c r="H273" i="1"/>
  <c r="R273" i="1"/>
  <c r="G274" i="1"/>
  <c r="H274" i="1"/>
  <c r="R274" i="1"/>
  <c r="G275" i="1"/>
  <c r="H275" i="1"/>
  <c r="J275" i="1" s="1"/>
  <c r="R275" i="1"/>
  <c r="G276" i="1"/>
  <c r="H276" i="1"/>
  <c r="R276" i="1"/>
  <c r="G277" i="1"/>
  <c r="H277" i="1"/>
  <c r="R277" i="1"/>
  <c r="G278" i="1"/>
  <c r="I278" i="1" s="1"/>
  <c r="H278" i="1"/>
  <c r="R278" i="1"/>
  <c r="G279" i="1"/>
  <c r="H279" i="1"/>
  <c r="J279" i="1" s="1"/>
  <c r="R279" i="1"/>
  <c r="G280" i="1"/>
  <c r="H280" i="1"/>
  <c r="R280" i="1"/>
  <c r="G281" i="1"/>
  <c r="H281" i="1"/>
  <c r="R281" i="1"/>
  <c r="G282" i="1"/>
  <c r="I282" i="1" s="1"/>
  <c r="H282" i="1"/>
  <c r="R282" i="1"/>
  <c r="G283" i="1"/>
  <c r="H283" i="1"/>
  <c r="J283" i="1" s="1"/>
  <c r="R283" i="1"/>
  <c r="G284" i="1"/>
  <c r="H284" i="1"/>
  <c r="R284" i="1"/>
  <c r="G285" i="1"/>
  <c r="H285" i="1"/>
  <c r="R285" i="1"/>
  <c r="G286" i="1"/>
  <c r="I286" i="1" s="1"/>
  <c r="H286" i="1"/>
  <c r="R286" i="1"/>
  <c r="G287" i="1"/>
  <c r="H287" i="1"/>
  <c r="J287" i="1" s="1"/>
  <c r="R287" i="1"/>
  <c r="G288" i="1"/>
  <c r="H288" i="1"/>
  <c r="R288" i="1"/>
  <c r="G289" i="1"/>
  <c r="H289" i="1"/>
  <c r="R289" i="1"/>
  <c r="G290" i="1"/>
  <c r="I290" i="1" s="1"/>
  <c r="H290" i="1"/>
  <c r="R290" i="1"/>
  <c r="G291" i="1"/>
  <c r="H291" i="1"/>
  <c r="J291" i="1" s="1"/>
  <c r="R291" i="1"/>
  <c r="G292" i="1"/>
  <c r="H292" i="1"/>
  <c r="R292" i="1"/>
  <c r="G293" i="1"/>
  <c r="H293" i="1"/>
  <c r="R293" i="1"/>
  <c r="G294" i="1"/>
  <c r="J294" i="1" s="1"/>
  <c r="H294" i="1"/>
  <c r="R294" i="1"/>
  <c r="G295" i="1"/>
  <c r="H295" i="1"/>
  <c r="R295" i="1"/>
  <c r="G296" i="1"/>
  <c r="H296" i="1"/>
  <c r="R296" i="1"/>
  <c r="G297" i="1"/>
  <c r="H297" i="1"/>
  <c r="R297" i="1"/>
  <c r="G298" i="1"/>
  <c r="J298" i="1" s="1"/>
  <c r="H298" i="1"/>
  <c r="R298" i="1"/>
  <c r="G299" i="1"/>
  <c r="H299" i="1"/>
  <c r="R299" i="1"/>
  <c r="G300" i="1"/>
  <c r="H300" i="1"/>
  <c r="R300" i="1"/>
  <c r="G301" i="1"/>
  <c r="H301" i="1"/>
  <c r="R301" i="1"/>
  <c r="G302" i="1"/>
  <c r="J302" i="1" s="1"/>
  <c r="H302" i="1"/>
  <c r="R302" i="1"/>
  <c r="G303" i="1"/>
  <c r="H303" i="1"/>
  <c r="R303" i="1"/>
  <c r="G304" i="1"/>
  <c r="H304" i="1"/>
  <c r="R304" i="1"/>
  <c r="G305" i="1"/>
  <c r="H305" i="1"/>
  <c r="R305" i="1"/>
  <c r="G306" i="1"/>
  <c r="J306" i="1" s="1"/>
  <c r="H306" i="1"/>
  <c r="R306" i="1"/>
  <c r="G307" i="1"/>
  <c r="H307" i="1"/>
  <c r="I307" i="1" s="1"/>
  <c r="R307" i="1"/>
  <c r="G308" i="1"/>
  <c r="H308" i="1"/>
  <c r="R308" i="1"/>
  <c r="G309" i="1"/>
  <c r="H309" i="1"/>
  <c r="R309" i="1"/>
  <c r="G310" i="1"/>
  <c r="J310" i="1" s="1"/>
  <c r="H310" i="1"/>
  <c r="R310" i="1"/>
  <c r="G311" i="1"/>
  <c r="H311" i="1"/>
  <c r="R311" i="1"/>
  <c r="G312" i="1"/>
  <c r="H312" i="1"/>
  <c r="R312" i="1"/>
  <c r="G313" i="1"/>
  <c r="H313" i="1"/>
  <c r="R313" i="1"/>
  <c r="G314" i="1"/>
  <c r="J314" i="1" s="1"/>
  <c r="H314" i="1"/>
  <c r="R314" i="1"/>
  <c r="G315" i="1"/>
  <c r="H315" i="1"/>
  <c r="R315" i="1"/>
  <c r="G316" i="1"/>
  <c r="H316" i="1"/>
  <c r="R316" i="1"/>
  <c r="G317" i="1"/>
  <c r="H317" i="1"/>
  <c r="R317" i="1"/>
  <c r="G318" i="1"/>
  <c r="J318" i="1" s="1"/>
  <c r="H318" i="1"/>
  <c r="R318" i="1"/>
  <c r="G319" i="1"/>
  <c r="H319" i="1"/>
  <c r="R319" i="1"/>
  <c r="G320" i="1"/>
  <c r="H320" i="1"/>
  <c r="R320" i="1"/>
  <c r="G321" i="1"/>
  <c r="H321" i="1"/>
  <c r="R321" i="1"/>
  <c r="G322" i="1"/>
  <c r="J322" i="1" s="1"/>
  <c r="H322" i="1"/>
  <c r="R322" i="1"/>
  <c r="G323" i="1"/>
  <c r="H323" i="1"/>
  <c r="I323" i="1" s="1"/>
  <c r="R323" i="1"/>
  <c r="G324" i="1"/>
  <c r="H324" i="1"/>
  <c r="R324" i="1"/>
  <c r="G325" i="1"/>
  <c r="H325" i="1"/>
  <c r="R325" i="1"/>
  <c r="G326" i="1"/>
  <c r="J326" i="1" s="1"/>
  <c r="H326" i="1"/>
  <c r="R326" i="1"/>
  <c r="G327" i="1"/>
  <c r="H327" i="1"/>
  <c r="R327" i="1"/>
  <c r="G328" i="1"/>
  <c r="H328" i="1"/>
  <c r="R328" i="1"/>
  <c r="G329" i="1"/>
  <c r="H329" i="1"/>
  <c r="R329" i="1"/>
  <c r="G330" i="1"/>
  <c r="H330" i="1"/>
  <c r="R330" i="1"/>
  <c r="G331" i="1"/>
  <c r="H331" i="1"/>
  <c r="I331" i="1" s="1"/>
  <c r="R331" i="1"/>
  <c r="G332" i="1"/>
  <c r="H332" i="1"/>
  <c r="R332" i="1"/>
  <c r="G333" i="1"/>
  <c r="H333" i="1"/>
  <c r="R333" i="1"/>
  <c r="G334" i="1"/>
  <c r="J334" i="1" s="1"/>
  <c r="H334" i="1"/>
  <c r="R334" i="1"/>
  <c r="G335" i="1"/>
  <c r="H335" i="1"/>
  <c r="R335" i="1"/>
  <c r="G336" i="1"/>
  <c r="H336" i="1"/>
  <c r="R336" i="1"/>
  <c r="G337" i="1"/>
  <c r="H337" i="1"/>
  <c r="R337" i="1"/>
  <c r="G338" i="1"/>
  <c r="J338" i="1" s="1"/>
  <c r="H338" i="1"/>
  <c r="R338" i="1"/>
  <c r="G339" i="1"/>
  <c r="H339" i="1"/>
  <c r="J339" i="1" s="1"/>
  <c r="R339" i="1"/>
  <c r="G340" i="1"/>
  <c r="H340" i="1"/>
  <c r="R340" i="1"/>
  <c r="G341" i="1"/>
  <c r="H341" i="1"/>
  <c r="R341" i="1"/>
  <c r="G342" i="1"/>
  <c r="J342" i="1" s="1"/>
  <c r="H342" i="1"/>
  <c r="R342" i="1"/>
  <c r="G343" i="1"/>
  <c r="H343" i="1"/>
  <c r="R343" i="1"/>
  <c r="G344" i="1"/>
  <c r="H344" i="1"/>
  <c r="R344" i="1"/>
  <c r="G345" i="1"/>
  <c r="H345" i="1"/>
  <c r="R345" i="1"/>
  <c r="G346" i="1"/>
  <c r="J346" i="1" s="1"/>
  <c r="H346" i="1"/>
  <c r="R346" i="1"/>
  <c r="G347" i="1"/>
  <c r="H347" i="1"/>
  <c r="R347" i="1"/>
  <c r="G348" i="1"/>
  <c r="H348" i="1"/>
  <c r="R348" i="1"/>
  <c r="G349" i="1"/>
  <c r="H349" i="1"/>
  <c r="R349" i="1"/>
  <c r="G350" i="1"/>
  <c r="J350" i="1" s="1"/>
  <c r="H350" i="1"/>
  <c r="R350" i="1"/>
  <c r="G351" i="1"/>
  <c r="H351" i="1"/>
  <c r="R351" i="1"/>
  <c r="G352" i="1"/>
  <c r="H352" i="1"/>
  <c r="R352" i="1"/>
  <c r="G353" i="1"/>
  <c r="H353" i="1"/>
  <c r="R353" i="1"/>
  <c r="G354" i="1"/>
  <c r="J354" i="1" s="1"/>
  <c r="H354" i="1"/>
  <c r="R354" i="1"/>
  <c r="G355" i="1"/>
  <c r="H355" i="1"/>
  <c r="R355" i="1"/>
  <c r="G356" i="1"/>
  <c r="H356" i="1"/>
  <c r="R356" i="1"/>
  <c r="G357" i="1"/>
  <c r="H357" i="1"/>
  <c r="R357" i="1"/>
  <c r="G358" i="1"/>
  <c r="J358" i="1" s="1"/>
  <c r="H358" i="1"/>
  <c r="R358" i="1"/>
  <c r="G359" i="1"/>
  <c r="H359" i="1"/>
  <c r="J359" i="1" s="1"/>
  <c r="R359" i="1"/>
  <c r="G360" i="1"/>
  <c r="H360" i="1"/>
  <c r="R360" i="1"/>
  <c r="G361" i="1"/>
  <c r="H361" i="1"/>
  <c r="R361" i="1"/>
  <c r="G362" i="1"/>
  <c r="J362" i="1" s="1"/>
  <c r="H362" i="1"/>
  <c r="R362" i="1"/>
  <c r="G363" i="1"/>
  <c r="H363" i="1"/>
  <c r="R363" i="1"/>
  <c r="G364" i="1"/>
  <c r="H364" i="1"/>
  <c r="R364" i="1"/>
  <c r="G365" i="1"/>
  <c r="H365" i="1"/>
  <c r="R365" i="1"/>
  <c r="G366" i="1"/>
  <c r="H366" i="1"/>
  <c r="R366" i="1"/>
  <c r="G367" i="1"/>
  <c r="H367" i="1"/>
  <c r="R367" i="1"/>
  <c r="G368" i="1"/>
  <c r="H368" i="1"/>
  <c r="R368" i="1"/>
  <c r="G369" i="1"/>
  <c r="H369" i="1"/>
  <c r="R369" i="1"/>
  <c r="G370" i="1"/>
  <c r="H370" i="1"/>
  <c r="R370" i="1"/>
  <c r="G371" i="1"/>
  <c r="H371" i="1"/>
  <c r="R371" i="1"/>
  <c r="G372" i="1"/>
  <c r="H372" i="1"/>
  <c r="R372" i="1"/>
  <c r="G373" i="1"/>
  <c r="H373" i="1"/>
  <c r="R373" i="1"/>
  <c r="G374" i="1"/>
  <c r="H374" i="1"/>
  <c r="R374" i="1"/>
  <c r="G375" i="1"/>
  <c r="H375" i="1"/>
  <c r="R375" i="1"/>
  <c r="G376" i="1"/>
  <c r="H376" i="1"/>
  <c r="R376" i="1"/>
  <c r="G377" i="1"/>
  <c r="H377" i="1"/>
  <c r="R377" i="1"/>
  <c r="G378" i="1"/>
  <c r="J378" i="1" s="1"/>
  <c r="H378" i="1"/>
  <c r="R378" i="1"/>
  <c r="G379" i="1"/>
  <c r="H379" i="1"/>
  <c r="R379" i="1"/>
  <c r="G380" i="1"/>
  <c r="H380" i="1"/>
  <c r="R380" i="1"/>
  <c r="G381" i="1"/>
  <c r="H381" i="1"/>
  <c r="R381" i="1"/>
  <c r="G382" i="1"/>
  <c r="H382" i="1"/>
  <c r="R382" i="1"/>
  <c r="G383" i="1"/>
  <c r="H383" i="1"/>
  <c r="R383" i="1"/>
  <c r="G384" i="1"/>
  <c r="H384" i="1"/>
  <c r="R384" i="1"/>
  <c r="G385" i="1"/>
  <c r="H385" i="1"/>
  <c r="R385" i="1"/>
  <c r="G386" i="1"/>
  <c r="H386" i="1"/>
  <c r="R386" i="1"/>
  <c r="G387" i="1"/>
  <c r="H387" i="1"/>
  <c r="I387" i="1" s="1"/>
  <c r="R387" i="1"/>
  <c r="G388" i="1"/>
  <c r="H388" i="1"/>
  <c r="R388" i="1"/>
  <c r="G389" i="1"/>
  <c r="H389" i="1"/>
  <c r="R389" i="1"/>
  <c r="G390" i="1"/>
  <c r="H390" i="1"/>
  <c r="R390" i="1"/>
  <c r="G391" i="1"/>
  <c r="H391" i="1"/>
  <c r="R391" i="1"/>
  <c r="G392" i="1"/>
  <c r="H392" i="1"/>
  <c r="R392" i="1"/>
  <c r="G393" i="1"/>
  <c r="H393" i="1"/>
  <c r="R393" i="1"/>
  <c r="G394" i="1"/>
  <c r="H394" i="1"/>
  <c r="R394" i="1"/>
  <c r="G395" i="1"/>
  <c r="H395" i="1"/>
  <c r="R395" i="1"/>
  <c r="G396" i="1"/>
  <c r="H396" i="1"/>
  <c r="R396" i="1"/>
  <c r="G397" i="1"/>
  <c r="H397" i="1"/>
  <c r="R397" i="1"/>
  <c r="G398" i="1"/>
  <c r="H398" i="1"/>
  <c r="R398" i="1"/>
  <c r="G399" i="1"/>
  <c r="H399" i="1"/>
  <c r="R399" i="1"/>
  <c r="G400" i="1"/>
  <c r="H400" i="1"/>
  <c r="R400" i="1"/>
  <c r="G401" i="1"/>
  <c r="H401" i="1"/>
  <c r="R401" i="1"/>
  <c r="G402" i="1"/>
  <c r="H402" i="1"/>
  <c r="R402" i="1"/>
  <c r="G403" i="1"/>
  <c r="H403" i="1"/>
  <c r="J403" i="1" s="1"/>
  <c r="R403" i="1"/>
  <c r="G404" i="1"/>
  <c r="H404" i="1"/>
  <c r="R404" i="1"/>
  <c r="G405" i="1"/>
  <c r="H405" i="1"/>
  <c r="R405" i="1"/>
  <c r="G406" i="1"/>
  <c r="H406" i="1"/>
  <c r="R406" i="1"/>
  <c r="G407" i="1"/>
  <c r="H407" i="1"/>
  <c r="R407" i="1"/>
  <c r="G408" i="1"/>
  <c r="H408" i="1"/>
  <c r="R408" i="1"/>
  <c r="G409" i="1"/>
  <c r="H409" i="1"/>
  <c r="R409" i="1"/>
  <c r="G410" i="1"/>
  <c r="I410" i="1" s="1"/>
  <c r="H410" i="1"/>
  <c r="R410" i="1"/>
  <c r="G411" i="1"/>
  <c r="H411" i="1"/>
  <c r="J411" i="1" s="1"/>
  <c r="R411" i="1"/>
  <c r="G412" i="1"/>
  <c r="H412" i="1"/>
  <c r="R412" i="1"/>
  <c r="G413" i="1"/>
  <c r="H413" i="1"/>
  <c r="R413" i="1"/>
  <c r="G414" i="1"/>
  <c r="I414" i="1" s="1"/>
  <c r="H414" i="1"/>
  <c r="R414" i="1"/>
  <c r="G415" i="1"/>
  <c r="H415" i="1"/>
  <c r="J415" i="1" s="1"/>
  <c r="R415" i="1"/>
  <c r="G416" i="1"/>
  <c r="H416" i="1"/>
  <c r="R416" i="1"/>
  <c r="G417" i="1"/>
  <c r="H417" i="1"/>
  <c r="R417" i="1"/>
  <c r="G418" i="1"/>
  <c r="I418" i="1" s="1"/>
  <c r="H418" i="1"/>
  <c r="R418" i="1"/>
  <c r="G419" i="1"/>
  <c r="H419" i="1"/>
  <c r="J419" i="1" s="1"/>
  <c r="R419" i="1"/>
  <c r="G420" i="1"/>
  <c r="H420" i="1"/>
  <c r="R420" i="1"/>
  <c r="G421" i="1"/>
  <c r="H421" i="1"/>
  <c r="R421" i="1"/>
  <c r="G422" i="1"/>
  <c r="I422" i="1" s="1"/>
  <c r="H422" i="1"/>
  <c r="R422" i="1"/>
  <c r="G423" i="1"/>
  <c r="H423" i="1"/>
  <c r="J423" i="1" s="1"/>
  <c r="R423" i="1"/>
  <c r="G424" i="1"/>
  <c r="H424" i="1"/>
  <c r="R424" i="1"/>
  <c r="G425" i="1"/>
  <c r="H425" i="1"/>
  <c r="R425" i="1"/>
  <c r="G426" i="1"/>
  <c r="I426" i="1" s="1"/>
  <c r="H426" i="1"/>
  <c r="R426" i="1"/>
  <c r="G427" i="1"/>
  <c r="H427" i="1"/>
  <c r="J427" i="1" s="1"/>
  <c r="R427" i="1"/>
  <c r="G428" i="1"/>
  <c r="H428" i="1"/>
  <c r="R428" i="1"/>
  <c r="G429" i="1"/>
  <c r="H429" i="1"/>
  <c r="R429" i="1"/>
  <c r="G430" i="1"/>
  <c r="I430" i="1" s="1"/>
  <c r="H430" i="1"/>
  <c r="R430" i="1"/>
  <c r="G431" i="1"/>
  <c r="H431" i="1"/>
  <c r="J431" i="1" s="1"/>
  <c r="R431" i="1"/>
  <c r="G432" i="1"/>
  <c r="H432" i="1"/>
  <c r="R432" i="1"/>
  <c r="G433" i="1"/>
  <c r="H433" i="1"/>
  <c r="R433" i="1"/>
  <c r="G434" i="1"/>
  <c r="I434" i="1" s="1"/>
  <c r="H434" i="1"/>
  <c r="R434" i="1"/>
  <c r="G435" i="1"/>
  <c r="H435" i="1"/>
  <c r="J435" i="1" s="1"/>
  <c r="R435" i="1"/>
  <c r="G436" i="1"/>
  <c r="H436" i="1"/>
  <c r="R436" i="1"/>
  <c r="G437" i="1"/>
  <c r="H437" i="1"/>
  <c r="R437" i="1"/>
  <c r="G438" i="1"/>
  <c r="I438" i="1" s="1"/>
  <c r="H438" i="1"/>
  <c r="R438" i="1"/>
  <c r="G439" i="1"/>
  <c r="H439" i="1"/>
  <c r="J439" i="1" s="1"/>
  <c r="R439" i="1"/>
  <c r="G440" i="1"/>
  <c r="H440" i="1"/>
  <c r="R440" i="1"/>
  <c r="G441" i="1"/>
  <c r="H441" i="1"/>
  <c r="R441" i="1"/>
  <c r="G442" i="1"/>
  <c r="H442" i="1"/>
  <c r="R442" i="1"/>
  <c r="G443" i="1"/>
  <c r="H443" i="1"/>
  <c r="J443" i="1" s="1"/>
  <c r="R443" i="1"/>
  <c r="G444" i="1"/>
  <c r="H444" i="1"/>
  <c r="R444" i="1"/>
  <c r="G445" i="1"/>
  <c r="H445" i="1"/>
  <c r="R445" i="1"/>
  <c r="G446" i="1"/>
  <c r="H446" i="1"/>
  <c r="R446" i="1"/>
  <c r="G447" i="1"/>
  <c r="H447" i="1"/>
  <c r="J447" i="1" s="1"/>
  <c r="R447" i="1"/>
  <c r="G448" i="1"/>
  <c r="H448" i="1"/>
  <c r="R448" i="1"/>
  <c r="G449" i="1"/>
  <c r="H449" i="1"/>
  <c r="R449" i="1"/>
  <c r="G450" i="1"/>
  <c r="H450" i="1"/>
  <c r="R450" i="1"/>
  <c r="G451" i="1"/>
  <c r="H451" i="1"/>
  <c r="J451" i="1" s="1"/>
  <c r="R451" i="1"/>
  <c r="G452" i="1"/>
  <c r="H452" i="1"/>
  <c r="R452" i="1"/>
  <c r="G453" i="1"/>
  <c r="H453" i="1"/>
  <c r="R453" i="1"/>
  <c r="G454" i="1"/>
  <c r="I454" i="1" s="1"/>
  <c r="H454" i="1"/>
  <c r="R454" i="1"/>
  <c r="G455" i="1"/>
  <c r="H455" i="1"/>
  <c r="J455" i="1" s="1"/>
  <c r="R455" i="1"/>
  <c r="G456" i="1"/>
  <c r="H456" i="1"/>
  <c r="R456" i="1"/>
  <c r="G457" i="1"/>
  <c r="H457" i="1"/>
  <c r="R457" i="1"/>
  <c r="G458" i="1"/>
  <c r="H458" i="1"/>
  <c r="R458" i="1"/>
  <c r="G459" i="1"/>
  <c r="H459" i="1"/>
  <c r="J459" i="1" s="1"/>
  <c r="R459" i="1"/>
  <c r="G460" i="1"/>
  <c r="H460" i="1"/>
  <c r="R460" i="1"/>
  <c r="G461" i="1"/>
  <c r="H461" i="1"/>
  <c r="R461" i="1"/>
  <c r="G462" i="1"/>
  <c r="H462" i="1"/>
  <c r="R462" i="1"/>
  <c r="G463" i="1"/>
  <c r="H463" i="1"/>
  <c r="J463" i="1" s="1"/>
  <c r="R463" i="1"/>
  <c r="G464" i="1"/>
  <c r="H464" i="1"/>
  <c r="R464" i="1"/>
  <c r="G465" i="1"/>
  <c r="H465" i="1"/>
  <c r="R465" i="1"/>
  <c r="G466" i="1"/>
  <c r="J466" i="1" s="1"/>
  <c r="H466" i="1"/>
  <c r="R466" i="1"/>
  <c r="G467" i="1"/>
  <c r="H467" i="1"/>
  <c r="J467" i="1" s="1"/>
  <c r="R467" i="1"/>
  <c r="G468" i="1"/>
  <c r="H468" i="1"/>
  <c r="R468" i="1"/>
  <c r="G469" i="1"/>
  <c r="H469" i="1"/>
  <c r="R469" i="1"/>
  <c r="G470" i="1"/>
  <c r="I470" i="1" s="1"/>
  <c r="H470" i="1"/>
  <c r="R470" i="1"/>
  <c r="G471" i="1"/>
  <c r="H471" i="1"/>
  <c r="J471" i="1" s="1"/>
  <c r="R471" i="1"/>
  <c r="G472" i="1"/>
  <c r="H472" i="1"/>
  <c r="R472" i="1"/>
  <c r="G473" i="1"/>
  <c r="H473" i="1"/>
  <c r="R473" i="1"/>
  <c r="G474" i="1"/>
  <c r="H474" i="1"/>
  <c r="R474" i="1"/>
  <c r="G475" i="1"/>
  <c r="H475" i="1"/>
  <c r="J475" i="1" s="1"/>
  <c r="R475" i="1"/>
  <c r="G476" i="1"/>
  <c r="H476" i="1"/>
  <c r="R476" i="1"/>
  <c r="G477" i="1"/>
  <c r="H477" i="1"/>
  <c r="R477" i="1"/>
  <c r="G478" i="1"/>
  <c r="H478" i="1"/>
  <c r="R478" i="1"/>
  <c r="G479" i="1"/>
  <c r="H479" i="1"/>
  <c r="J479" i="1" s="1"/>
  <c r="R479" i="1"/>
  <c r="G480" i="1"/>
  <c r="H480" i="1"/>
  <c r="R480" i="1"/>
  <c r="G481" i="1"/>
  <c r="H481" i="1"/>
  <c r="R481" i="1"/>
  <c r="G482" i="1"/>
  <c r="H482" i="1"/>
  <c r="R482" i="1"/>
  <c r="G483" i="1"/>
  <c r="H483" i="1"/>
  <c r="J483" i="1" s="1"/>
  <c r="R483" i="1"/>
  <c r="G484" i="1"/>
  <c r="H484" i="1"/>
  <c r="R484" i="1"/>
  <c r="G485" i="1"/>
  <c r="H485" i="1"/>
  <c r="R485" i="1"/>
  <c r="G486" i="1"/>
  <c r="J486" i="1" s="1"/>
  <c r="H486" i="1"/>
  <c r="R486" i="1"/>
  <c r="G487" i="1"/>
  <c r="H487" i="1"/>
  <c r="I487" i="1" s="1"/>
  <c r="R487" i="1"/>
  <c r="G488" i="1"/>
  <c r="H488" i="1"/>
  <c r="R488" i="1"/>
  <c r="G489" i="1"/>
  <c r="H489" i="1"/>
  <c r="R489" i="1"/>
  <c r="G490" i="1"/>
  <c r="J490" i="1" s="1"/>
  <c r="H490" i="1"/>
  <c r="R490" i="1"/>
  <c r="G491" i="1"/>
  <c r="H491" i="1"/>
  <c r="R491" i="1"/>
  <c r="G492" i="1"/>
  <c r="H492" i="1"/>
  <c r="R492" i="1"/>
  <c r="G493" i="1"/>
  <c r="H493" i="1"/>
  <c r="R493" i="1"/>
  <c r="G494" i="1"/>
  <c r="J494" i="1" s="1"/>
  <c r="H494" i="1"/>
  <c r="R494" i="1"/>
  <c r="G495" i="1"/>
  <c r="H495" i="1"/>
  <c r="I495" i="1" s="1"/>
  <c r="R495" i="1"/>
  <c r="G496" i="1"/>
  <c r="H496" i="1"/>
  <c r="R496" i="1"/>
  <c r="G497" i="1"/>
  <c r="H497" i="1"/>
  <c r="R497" i="1"/>
  <c r="G498" i="1"/>
  <c r="J498" i="1" s="1"/>
  <c r="H498" i="1"/>
  <c r="R498" i="1"/>
  <c r="G499" i="1"/>
  <c r="H499" i="1"/>
  <c r="R499" i="1"/>
  <c r="G500" i="1"/>
  <c r="H500" i="1"/>
  <c r="R500" i="1"/>
  <c r="G501" i="1"/>
  <c r="H501" i="1"/>
  <c r="R501" i="1"/>
  <c r="G502" i="1"/>
  <c r="J502" i="1" s="1"/>
  <c r="H502" i="1"/>
  <c r="R502" i="1"/>
  <c r="G503" i="1"/>
  <c r="H503" i="1"/>
  <c r="I503" i="1" s="1"/>
  <c r="R503" i="1"/>
  <c r="G504" i="1"/>
  <c r="H504" i="1"/>
  <c r="R504" i="1"/>
  <c r="G505" i="1"/>
  <c r="H505" i="1"/>
  <c r="R505" i="1"/>
  <c r="G506" i="1"/>
  <c r="J506" i="1" s="1"/>
  <c r="H506" i="1"/>
  <c r="R506" i="1"/>
  <c r="G507" i="1"/>
  <c r="H507" i="1"/>
  <c r="R507" i="1"/>
  <c r="G508" i="1"/>
  <c r="H508" i="1"/>
  <c r="R508" i="1"/>
  <c r="G509" i="1"/>
  <c r="H509" i="1"/>
  <c r="R509" i="1"/>
  <c r="G510" i="1"/>
  <c r="H510" i="1"/>
  <c r="R510" i="1"/>
  <c r="G511" i="1"/>
  <c r="H511" i="1"/>
  <c r="J511" i="1" s="1"/>
  <c r="R511" i="1"/>
  <c r="G512" i="1"/>
  <c r="H512" i="1"/>
  <c r="R512" i="1"/>
  <c r="G513" i="1"/>
  <c r="H513" i="1"/>
  <c r="R513" i="1"/>
  <c r="G514" i="1"/>
  <c r="J514" i="1" s="1"/>
  <c r="H514" i="1"/>
  <c r="R514" i="1"/>
  <c r="G515" i="1"/>
  <c r="H515" i="1"/>
  <c r="R515" i="1"/>
  <c r="G516" i="1"/>
  <c r="H516" i="1"/>
  <c r="R516" i="1"/>
  <c r="G517" i="1"/>
  <c r="H517" i="1"/>
  <c r="R517" i="1"/>
  <c r="G518" i="1"/>
  <c r="H518" i="1"/>
  <c r="R518" i="1"/>
  <c r="G519" i="1"/>
  <c r="H519" i="1"/>
  <c r="R519" i="1"/>
  <c r="G520" i="1"/>
  <c r="H520" i="1"/>
  <c r="R520" i="1"/>
  <c r="G521" i="1"/>
  <c r="H521" i="1"/>
  <c r="R521" i="1"/>
  <c r="G522" i="1"/>
  <c r="J522" i="1" s="1"/>
  <c r="H522" i="1"/>
  <c r="R522" i="1"/>
  <c r="G523" i="1"/>
  <c r="H523" i="1"/>
  <c r="R523" i="1"/>
  <c r="G524" i="1"/>
  <c r="H524" i="1"/>
  <c r="R524" i="1"/>
  <c r="G525" i="1"/>
  <c r="H525" i="1"/>
  <c r="R525" i="1"/>
  <c r="G526" i="1"/>
  <c r="H526" i="1"/>
  <c r="R526" i="1"/>
  <c r="G527" i="1"/>
  <c r="H527" i="1"/>
  <c r="I527" i="1" s="1"/>
  <c r="M527" i="1" s="1"/>
  <c r="R527" i="1"/>
  <c r="G528" i="1"/>
  <c r="H528" i="1"/>
  <c r="R528" i="1"/>
  <c r="G529" i="1"/>
  <c r="H529" i="1"/>
  <c r="R529" i="1"/>
  <c r="G530" i="1"/>
  <c r="J530" i="1" s="1"/>
  <c r="H530" i="1"/>
  <c r="R530" i="1"/>
  <c r="G531" i="1"/>
  <c r="H531" i="1"/>
  <c r="R531" i="1"/>
  <c r="G532" i="1"/>
  <c r="H532" i="1"/>
  <c r="R532" i="1"/>
  <c r="G533" i="1"/>
  <c r="H533" i="1"/>
  <c r="R533" i="1"/>
  <c r="G534" i="1"/>
  <c r="H534" i="1"/>
  <c r="R534" i="1"/>
  <c r="G535" i="1"/>
  <c r="H535" i="1"/>
  <c r="R535" i="1"/>
  <c r="G536" i="1"/>
  <c r="H536" i="1"/>
  <c r="R536" i="1"/>
  <c r="G537" i="1"/>
  <c r="H537" i="1"/>
  <c r="R537" i="1"/>
  <c r="G538" i="1"/>
  <c r="J538" i="1" s="1"/>
  <c r="H538" i="1"/>
  <c r="R538" i="1"/>
  <c r="G539" i="1"/>
  <c r="H539" i="1"/>
  <c r="R539" i="1"/>
  <c r="G540" i="1"/>
  <c r="H540" i="1"/>
  <c r="R540" i="1"/>
  <c r="G541" i="1"/>
  <c r="H541" i="1"/>
  <c r="R541" i="1"/>
  <c r="G542" i="1"/>
  <c r="H542" i="1"/>
  <c r="R542" i="1"/>
  <c r="G543" i="1"/>
  <c r="H543" i="1"/>
  <c r="J543" i="1" s="1"/>
  <c r="R543" i="1"/>
  <c r="G544" i="1"/>
  <c r="H544" i="1"/>
  <c r="R544" i="1"/>
  <c r="G545" i="1"/>
  <c r="H545" i="1"/>
  <c r="R545" i="1"/>
  <c r="G546" i="1"/>
  <c r="J546" i="1" s="1"/>
  <c r="H546" i="1"/>
  <c r="R546" i="1"/>
  <c r="G547" i="1"/>
  <c r="H547" i="1"/>
  <c r="R547" i="1"/>
  <c r="G548" i="1"/>
  <c r="H548" i="1"/>
  <c r="R548" i="1"/>
  <c r="G549" i="1"/>
  <c r="H549" i="1"/>
  <c r="R549" i="1"/>
  <c r="G550" i="1"/>
  <c r="H550" i="1"/>
  <c r="R550" i="1"/>
  <c r="G551" i="1"/>
  <c r="H551" i="1"/>
  <c r="R551" i="1"/>
  <c r="G552" i="1"/>
  <c r="H552" i="1"/>
  <c r="R552" i="1"/>
  <c r="G553" i="1"/>
  <c r="H553" i="1"/>
  <c r="R553" i="1"/>
  <c r="G554" i="1"/>
  <c r="H554" i="1"/>
  <c r="R554" i="1"/>
  <c r="G555" i="1"/>
  <c r="H555" i="1"/>
  <c r="R555" i="1"/>
  <c r="G556" i="1"/>
  <c r="H556" i="1"/>
  <c r="R556" i="1"/>
  <c r="G557" i="1"/>
  <c r="H557" i="1"/>
  <c r="R557" i="1"/>
  <c r="G558" i="1"/>
  <c r="H558" i="1"/>
  <c r="R558" i="1"/>
  <c r="G559" i="1"/>
  <c r="H559" i="1"/>
  <c r="I559" i="1" s="1"/>
  <c r="R559" i="1"/>
  <c r="G560" i="1"/>
  <c r="H560" i="1"/>
  <c r="R560" i="1"/>
  <c r="G561" i="1"/>
  <c r="H561" i="1"/>
  <c r="R561" i="1"/>
  <c r="G562" i="1"/>
  <c r="H562" i="1"/>
  <c r="R562" i="1"/>
  <c r="G563" i="1"/>
  <c r="H563" i="1"/>
  <c r="R563" i="1"/>
  <c r="G564" i="1"/>
  <c r="H564" i="1"/>
  <c r="R564" i="1"/>
  <c r="G565" i="1"/>
  <c r="H565" i="1"/>
  <c r="R565" i="1"/>
  <c r="G566" i="1"/>
  <c r="H566" i="1"/>
  <c r="R566" i="1"/>
  <c r="G567" i="1"/>
  <c r="H567" i="1"/>
  <c r="R567" i="1"/>
  <c r="G568" i="1"/>
  <c r="H568" i="1"/>
  <c r="R568" i="1"/>
  <c r="G569" i="1"/>
  <c r="H569" i="1"/>
  <c r="R569" i="1"/>
  <c r="G570" i="1"/>
  <c r="J570" i="1" s="1"/>
  <c r="H570" i="1"/>
  <c r="R570" i="1"/>
  <c r="G571" i="1"/>
  <c r="H571" i="1"/>
  <c r="R571" i="1"/>
  <c r="G572" i="1"/>
  <c r="H572" i="1"/>
  <c r="R572" i="1"/>
  <c r="G573" i="1"/>
  <c r="H573" i="1"/>
  <c r="R573" i="1"/>
  <c r="G574" i="1"/>
  <c r="H574" i="1"/>
  <c r="R574" i="1"/>
  <c r="G575" i="1"/>
  <c r="H575" i="1"/>
  <c r="J575" i="1" s="1"/>
  <c r="R575" i="1"/>
  <c r="G576" i="1"/>
  <c r="H576" i="1"/>
  <c r="R576" i="1"/>
  <c r="G577" i="1"/>
  <c r="H577" i="1"/>
  <c r="R577" i="1"/>
  <c r="G578" i="1"/>
  <c r="J578" i="1" s="1"/>
  <c r="H578" i="1"/>
  <c r="R578" i="1"/>
  <c r="G579" i="1"/>
  <c r="H579" i="1"/>
  <c r="R579" i="1"/>
  <c r="G580" i="1"/>
  <c r="H580" i="1"/>
  <c r="R580" i="1"/>
  <c r="G581" i="1"/>
  <c r="H581" i="1"/>
  <c r="R581" i="1"/>
  <c r="G582" i="1"/>
  <c r="H582" i="1"/>
  <c r="R582" i="1"/>
  <c r="G583" i="1"/>
  <c r="H583" i="1"/>
  <c r="R583" i="1"/>
  <c r="G584" i="1"/>
  <c r="H584" i="1"/>
  <c r="R584" i="1"/>
  <c r="G585" i="1"/>
  <c r="H585" i="1"/>
  <c r="R585" i="1"/>
  <c r="G586" i="1"/>
  <c r="J586" i="1" s="1"/>
  <c r="H586" i="1"/>
  <c r="R586" i="1"/>
  <c r="G587" i="1"/>
  <c r="H587" i="1"/>
  <c r="R587" i="1"/>
  <c r="G588" i="1"/>
  <c r="H588" i="1"/>
  <c r="R588" i="1"/>
  <c r="G589" i="1"/>
  <c r="H589" i="1"/>
  <c r="R589" i="1"/>
  <c r="G590" i="1"/>
  <c r="H590" i="1"/>
  <c r="R590" i="1"/>
  <c r="G591" i="1"/>
  <c r="H591" i="1"/>
  <c r="R591" i="1"/>
  <c r="G592" i="1"/>
  <c r="H592" i="1"/>
  <c r="R592" i="1"/>
  <c r="G593" i="1"/>
  <c r="H593" i="1"/>
  <c r="J593" i="1" s="1"/>
  <c r="R593" i="1"/>
  <c r="G594" i="1"/>
  <c r="J594" i="1" s="1"/>
  <c r="H594" i="1"/>
  <c r="R594" i="1"/>
  <c r="G595" i="1"/>
  <c r="H595" i="1"/>
  <c r="R595" i="1"/>
  <c r="G596" i="1"/>
  <c r="H596" i="1"/>
  <c r="R596" i="1"/>
  <c r="G597" i="1"/>
  <c r="H597" i="1"/>
  <c r="R597" i="1"/>
  <c r="G598" i="1"/>
  <c r="H598" i="1"/>
  <c r="R598" i="1"/>
  <c r="G599" i="1"/>
  <c r="H599" i="1"/>
  <c r="R599" i="1"/>
  <c r="G600" i="1"/>
  <c r="H600" i="1"/>
  <c r="R600" i="1"/>
  <c r="G601" i="1"/>
  <c r="H601" i="1"/>
  <c r="R601" i="1"/>
  <c r="G602" i="1"/>
  <c r="J602" i="1" s="1"/>
  <c r="H602" i="1"/>
  <c r="R602" i="1"/>
  <c r="G603" i="1"/>
  <c r="H603" i="1"/>
  <c r="I603" i="1" s="1"/>
  <c r="R603" i="1"/>
  <c r="G604" i="1"/>
  <c r="H604" i="1"/>
  <c r="R604" i="1"/>
  <c r="G605" i="1"/>
  <c r="H605" i="1"/>
  <c r="R605" i="1"/>
  <c r="G606" i="1"/>
  <c r="H606" i="1"/>
  <c r="R606" i="1"/>
  <c r="G607" i="1"/>
  <c r="H607" i="1"/>
  <c r="R607" i="1"/>
  <c r="G608" i="1"/>
  <c r="H608" i="1"/>
  <c r="R608" i="1"/>
  <c r="G609" i="1"/>
  <c r="H609" i="1"/>
  <c r="J609" i="1" s="1"/>
  <c r="R609" i="1"/>
  <c r="G610" i="1"/>
  <c r="J610" i="1" s="1"/>
  <c r="H610" i="1"/>
  <c r="R610" i="1"/>
  <c r="G611" i="1"/>
  <c r="H611" i="1"/>
  <c r="R611" i="1"/>
  <c r="G612" i="1"/>
  <c r="H612" i="1"/>
  <c r="R612" i="1"/>
  <c r="G613" i="1"/>
  <c r="H613" i="1"/>
  <c r="R613" i="1"/>
  <c r="G614" i="1"/>
  <c r="H614" i="1"/>
  <c r="R614" i="1"/>
  <c r="G615" i="1"/>
  <c r="H615" i="1"/>
  <c r="R615" i="1"/>
  <c r="G616" i="1"/>
  <c r="H616" i="1"/>
  <c r="R616" i="1"/>
  <c r="G617" i="1"/>
  <c r="H617" i="1"/>
  <c r="R617" i="1"/>
  <c r="G618" i="1"/>
  <c r="H618" i="1"/>
  <c r="R618" i="1"/>
  <c r="G619" i="1"/>
  <c r="H619" i="1"/>
  <c r="R619" i="1"/>
  <c r="G620" i="1"/>
  <c r="H620" i="1"/>
  <c r="R620" i="1"/>
  <c r="G621" i="1"/>
  <c r="H621" i="1"/>
  <c r="R621" i="1"/>
  <c r="G622" i="1"/>
  <c r="H622" i="1"/>
  <c r="R622" i="1"/>
  <c r="G623" i="1"/>
  <c r="H623" i="1"/>
  <c r="R623" i="1"/>
  <c r="G624" i="1"/>
  <c r="H624" i="1"/>
  <c r="R624" i="1"/>
  <c r="G625" i="1"/>
  <c r="H625" i="1"/>
  <c r="R625" i="1"/>
  <c r="G626" i="1"/>
  <c r="J626" i="1" s="1"/>
  <c r="H626" i="1"/>
  <c r="R626" i="1"/>
  <c r="G627" i="1"/>
  <c r="H627" i="1"/>
  <c r="R627" i="1"/>
  <c r="G628" i="1"/>
  <c r="H628" i="1"/>
  <c r="R628" i="1"/>
  <c r="G629" i="1"/>
  <c r="H629" i="1"/>
  <c r="R629" i="1"/>
  <c r="G630" i="1"/>
  <c r="H630" i="1"/>
  <c r="R630" i="1"/>
  <c r="G631" i="1"/>
  <c r="H631" i="1"/>
  <c r="R631" i="1"/>
  <c r="G632" i="1"/>
  <c r="H632" i="1"/>
  <c r="R632" i="1"/>
  <c r="G633" i="1"/>
  <c r="H633" i="1"/>
  <c r="J633" i="1" s="1"/>
  <c r="R633" i="1"/>
  <c r="G634" i="1"/>
  <c r="J634" i="1" s="1"/>
  <c r="H634" i="1"/>
  <c r="R634" i="1"/>
  <c r="G635" i="1"/>
  <c r="H635" i="1"/>
  <c r="I635" i="1" s="1"/>
  <c r="R635" i="1"/>
  <c r="G636" i="1"/>
  <c r="I636" i="1" s="1"/>
  <c r="H636" i="1"/>
  <c r="R636" i="1"/>
  <c r="G637" i="1"/>
  <c r="H637" i="1"/>
  <c r="R637" i="1"/>
  <c r="G638" i="1"/>
  <c r="H638" i="1"/>
  <c r="R638" i="1"/>
  <c r="G639" i="1"/>
  <c r="H639" i="1"/>
  <c r="R639" i="1"/>
  <c r="G640" i="1"/>
  <c r="H640" i="1"/>
  <c r="R640" i="1"/>
  <c r="G641" i="1"/>
  <c r="H641" i="1"/>
  <c r="R641" i="1"/>
  <c r="G642" i="1"/>
  <c r="J642" i="1" s="1"/>
  <c r="H642" i="1"/>
  <c r="R642" i="1"/>
  <c r="G643" i="1"/>
  <c r="H643" i="1"/>
  <c r="R643" i="1"/>
  <c r="G644" i="1"/>
  <c r="H644" i="1"/>
  <c r="R644" i="1"/>
  <c r="G645" i="1"/>
  <c r="H645" i="1"/>
  <c r="R645" i="1"/>
  <c r="G646" i="1"/>
  <c r="H646" i="1"/>
  <c r="R646" i="1"/>
  <c r="G647" i="1"/>
  <c r="H647" i="1"/>
  <c r="R647" i="1"/>
  <c r="G648" i="1"/>
  <c r="H648" i="1"/>
  <c r="R648" i="1"/>
  <c r="G649" i="1"/>
  <c r="H649" i="1"/>
  <c r="J649" i="1" s="1"/>
  <c r="R649" i="1"/>
  <c r="G650" i="1"/>
  <c r="J650" i="1" s="1"/>
  <c r="H650" i="1"/>
  <c r="R650" i="1"/>
  <c r="G651" i="1"/>
  <c r="H651" i="1"/>
  <c r="R651" i="1"/>
  <c r="G652" i="1"/>
  <c r="H652" i="1"/>
  <c r="R652" i="1"/>
  <c r="G653" i="1"/>
  <c r="H653" i="1"/>
  <c r="R653" i="1"/>
  <c r="G654" i="1"/>
  <c r="H654" i="1"/>
  <c r="R654" i="1"/>
  <c r="G655" i="1"/>
  <c r="H655" i="1"/>
  <c r="R655" i="1"/>
  <c r="G656" i="1"/>
  <c r="H656" i="1"/>
  <c r="R656" i="1"/>
  <c r="G657" i="1"/>
  <c r="H657" i="1"/>
  <c r="R657" i="1"/>
  <c r="G658" i="1"/>
  <c r="J658" i="1" s="1"/>
  <c r="H658" i="1"/>
  <c r="R658" i="1"/>
  <c r="G659" i="1"/>
  <c r="H659" i="1"/>
  <c r="R659" i="1"/>
  <c r="G660" i="1"/>
  <c r="I660" i="1" s="1"/>
  <c r="H660" i="1"/>
  <c r="R660" i="1"/>
  <c r="G661" i="1"/>
  <c r="H661" i="1"/>
  <c r="R661" i="1"/>
  <c r="G662" i="1"/>
  <c r="H662" i="1"/>
  <c r="R662" i="1"/>
  <c r="G663" i="1"/>
  <c r="H663" i="1"/>
  <c r="R663" i="1"/>
  <c r="G664" i="1"/>
  <c r="H664" i="1"/>
  <c r="R664" i="1"/>
  <c r="G665" i="1"/>
  <c r="H665" i="1"/>
  <c r="J665" i="1" s="1"/>
  <c r="R665" i="1"/>
  <c r="G666" i="1"/>
  <c r="J666" i="1" s="1"/>
  <c r="H666" i="1"/>
  <c r="R666" i="1"/>
  <c r="G667" i="1"/>
  <c r="H667" i="1"/>
  <c r="I667" i="1" s="1"/>
  <c r="R667" i="1"/>
  <c r="G668" i="1"/>
  <c r="H668" i="1"/>
  <c r="R668" i="1"/>
  <c r="G669" i="1"/>
  <c r="H669" i="1"/>
  <c r="R669" i="1"/>
  <c r="G670" i="1"/>
  <c r="H670" i="1"/>
  <c r="R670" i="1"/>
  <c r="G671" i="1"/>
  <c r="H671" i="1"/>
  <c r="R671" i="1"/>
  <c r="G672" i="1"/>
  <c r="H672" i="1"/>
  <c r="R672" i="1"/>
  <c r="G673" i="1"/>
  <c r="H673" i="1"/>
  <c r="R673" i="1"/>
  <c r="G674" i="1"/>
  <c r="J674" i="1" s="1"/>
  <c r="H674" i="1"/>
  <c r="R674" i="1"/>
  <c r="G675" i="1"/>
  <c r="H675" i="1"/>
  <c r="R675" i="1"/>
  <c r="G676" i="1"/>
  <c r="H676" i="1"/>
  <c r="R676" i="1"/>
  <c r="G677" i="1"/>
  <c r="H677" i="1"/>
  <c r="R677" i="1"/>
  <c r="G854" i="1"/>
  <c r="H854" i="1"/>
  <c r="I854" i="1"/>
  <c r="J854" i="1"/>
  <c r="R854" i="1"/>
  <c r="K1291" i="1"/>
  <c r="C1291" i="1"/>
  <c r="O855" i="1"/>
  <c r="O857" i="1"/>
  <c r="O859" i="1"/>
  <c r="O863" i="1"/>
  <c r="O867" i="1"/>
  <c r="O871" i="1"/>
  <c r="O875" i="1"/>
  <c r="O879" i="1"/>
  <c r="O883" i="1"/>
  <c r="O887" i="1"/>
  <c r="O891" i="1"/>
  <c r="O895" i="1"/>
  <c r="O899" i="1"/>
  <c r="O903" i="1"/>
  <c r="O907" i="1"/>
  <c r="O911" i="1"/>
  <c r="O915" i="1"/>
  <c r="O919" i="1"/>
  <c r="O923" i="1"/>
  <c r="O927" i="1"/>
  <c r="O931" i="1"/>
  <c r="O935" i="1"/>
  <c r="O939" i="1"/>
  <c r="O943" i="1"/>
  <c r="O947" i="1"/>
  <c r="O951" i="1"/>
  <c r="O955" i="1"/>
  <c r="O959" i="1"/>
  <c r="O963" i="1"/>
  <c r="O967" i="1"/>
  <c r="O971" i="1"/>
  <c r="O975" i="1"/>
  <c r="O979" i="1"/>
  <c r="O983" i="1"/>
  <c r="O987" i="1"/>
  <c r="O991" i="1"/>
  <c r="O1000" i="1"/>
  <c r="O1004" i="1"/>
  <c r="O1008" i="1"/>
  <c r="O1012" i="1"/>
  <c r="O1019" i="1"/>
  <c r="O1027" i="1"/>
  <c r="O1031" i="1"/>
  <c r="O1034" i="1"/>
  <c r="O1035" i="1"/>
  <c r="O1038" i="1"/>
  <c r="O1039" i="1"/>
  <c r="O1042" i="1"/>
  <c r="O1043" i="1"/>
  <c r="O1046" i="1"/>
  <c r="O1047" i="1"/>
  <c r="O1050" i="1"/>
  <c r="O1051" i="1"/>
  <c r="O1054" i="1"/>
  <c r="O1055" i="1"/>
  <c r="O1058" i="1"/>
  <c r="O1059" i="1"/>
  <c r="O1062" i="1"/>
  <c r="O1063" i="1"/>
  <c r="O1066" i="1"/>
  <c r="O1067" i="1"/>
  <c r="O1070" i="1"/>
  <c r="O1071" i="1"/>
  <c r="O1074" i="1"/>
  <c r="O1075" i="1"/>
  <c r="O1078" i="1"/>
  <c r="O1079" i="1"/>
  <c r="O1082" i="1"/>
  <c r="O1083" i="1"/>
  <c r="O1086" i="1"/>
  <c r="O1087" i="1"/>
  <c r="O1090" i="1"/>
  <c r="O1091" i="1"/>
  <c r="O1094" i="1"/>
  <c r="O1095" i="1"/>
  <c r="O1098" i="1"/>
  <c r="O1099" i="1"/>
  <c r="O1102" i="1"/>
  <c r="O1103" i="1"/>
  <c r="O1106" i="1"/>
  <c r="O1107" i="1"/>
  <c r="O1110" i="1"/>
  <c r="O1111" i="1"/>
  <c r="O1114" i="1"/>
  <c r="O1115" i="1"/>
  <c r="O1118" i="1"/>
  <c r="O1119" i="1"/>
  <c r="O1122" i="1"/>
  <c r="O1123" i="1"/>
  <c r="O1126" i="1"/>
  <c r="O1127" i="1"/>
  <c r="O1130" i="1"/>
  <c r="O1131" i="1"/>
  <c r="O1134" i="1"/>
  <c r="O1135" i="1"/>
  <c r="O1138" i="1"/>
  <c r="O1139" i="1"/>
  <c r="O1142" i="1"/>
  <c r="O1143" i="1"/>
  <c r="O1146" i="1"/>
  <c r="O1147" i="1"/>
  <c r="O1150" i="1"/>
  <c r="O1151" i="1"/>
  <c r="O1154" i="1"/>
  <c r="O1155" i="1"/>
  <c r="O1158" i="1"/>
  <c r="O1159" i="1"/>
  <c r="O1162" i="1"/>
  <c r="O1163" i="1"/>
  <c r="O1166" i="1"/>
  <c r="O1167" i="1"/>
  <c r="O1170" i="1"/>
  <c r="O1171" i="1"/>
  <c r="O1174" i="1"/>
  <c r="O1175" i="1"/>
  <c r="O1178" i="1"/>
  <c r="O1179" i="1"/>
  <c r="O1182" i="1"/>
  <c r="O1183" i="1"/>
  <c r="O1186" i="1"/>
  <c r="O1187" i="1"/>
  <c r="O1190" i="1"/>
  <c r="O1191" i="1"/>
  <c r="O1194" i="1"/>
  <c r="O1195" i="1"/>
  <c r="O1198" i="1"/>
  <c r="O1199" i="1"/>
  <c r="O1202" i="1"/>
  <c r="O1203" i="1"/>
  <c r="O1206" i="1"/>
  <c r="O1207" i="1"/>
  <c r="O1210" i="1"/>
  <c r="O1211" i="1"/>
  <c r="O1214" i="1"/>
  <c r="O1215" i="1"/>
  <c r="O1218" i="1"/>
  <c r="O1219" i="1"/>
  <c r="O1222" i="1"/>
  <c r="O1223" i="1"/>
  <c r="O1226" i="1"/>
  <c r="O1227" i="1"/>
  <c r="O1230" i="1"/>
  <c r="O1231" i="1"/>
  <c r="O1234" i="1"/>
  <c r="O1235" i="1"/>
  <c r="O1238" i="1"/>
  <c r="O1239" i="1"/>
  <c r="O1242" i="1"/>
  <c r="O1243" i="1"/>
  <c r="P1246" i="1"/>
  <c r="P1250" i="1"/>
  <c r="P1254" i="1"/>
  <c r="P1261" i="1"/>
  <c r="P1265" i="1"/>
  <c r="P1269" i="1"/>
  <c r="P1273" i="1"/>
  <c r="P1277" i="1"/>
  <c r="P1281" i="1"/>
  <c r="P1285" i="1"/>
  <c r="J679" i="1"/>
  <c r="J683" i="1"/>
  <c r="J687" i="1"/>
  <c r="J691" i="1"/>
  <c r="J695" i="1"/>
  <c r="J699" i="1"/>
  <c r="J703" i="1"/>
  <c r="J707" i="1"/>
  <c r="J711" i="1"/>
  <c r="J715" i="1"/>
  <c r="J719" i="1"/>
  <c r="J723" i="1"/>
  <c r="I727" i="1"/>
  <c r="J728" i="1"/>
  <c r="I731" i="1"/>
  <c r="J732" i="1"/>
  <c r="I735" i="1"/>
  <c r="J736" i="1"/>
  <c r="I739" i="1"/>
  <c r="J740" i="1"/>
  <c r="I743" i="1"/>
  <c r="J744" i="1"/>
  <c r="I747" i="1"/>
  <c r="J748" i="1"/>
  <c r="I751" i="1"/>
  <c r="J752" i="1"/>
  <c r="I755" i="1"/>
  <c r="J756" i="1"/>
  <c r="I759" i="1"/>
  <c r="J760" i="1"/>
  <c r="I763" i="1"/>
  <c r="J764" i="1"/>
  <c r="I767" i="1"/>
  <c r="J768" i="1"/>
  <c r="I771" i="1"/>
  <c r="J772" i="1"/>
  <c r="I775" i="1"/>
  <c r="J776" i="1"/>
  <c r="I779" i="1"/>
  <c r="J780" i="1"/>
  <c r="I783" i="1"/>
  <c r="J784" i="1"/>
  <c r="I787" i="1"/>
  <c r="J788" i="1"/>
  <c r="I791" i="1"/>
  <c r="J792" i="1"/>
  <c r="I795" i="1"/>
  <c r="J796" i="1"/>
  <c r="I799" i="1"/>
  <c r="J800" i="1"/>
  <c r="I803" i="1"/>
  <c r="J804" i="1"/>
  <c r="I807" i="1"/>
  <c r="J808" i="1"/>
  <c r="I811" i="1"/>
  <c r="J812" i="1"/>
  <c r="I815" i="1"/>
  <c r="J816" i="1"/>
  <c r="I819" i="1"/>
  <c r="J820" i="1"/>
  <c r="I823" i="1"/>
  <c r="J824" i="1"/>
  <c r="I827" i="1"/>
  <c r="J828" i="1"/>
  <c r="I831" i="1"/>
  <c r="J832" i="1"/>
  <c r="I835" i="1"/>
  <c r="J836" i="1"/>
  <c r="I839" i="1"/>
  <c r="J840" i="1"/>
  <c r="I843" i="1"/>
  <c r="I847" i="1"/>
  <c r="I851" i="1"/>
  <c r="I42" i="1"/>
  <c r="I46" i="1"/>
  <c r="J500" i="1"/>
  <c r="J496" i="1"/>
  <c r="J492" i="1"/>
  <c r="J488" i="1"/>
  <c r="I217" i="1"/>
  <c r="J213" i="1"/>
  <c r="J212" i="1"/>
  <c r="I185" i="1"/>
  <c r="I161" i="1"/>
  <c r="I153" i="1"/>
  <c r="I137" i="1"/>
  <c r="I128" i="1"/>
  <c r="J96" i="1"/>
  <c r="I36" i="1"/>
  <c r="J657" i="1"/>
  <c r="I652" i="1"/>
  <c r="I644" i="1"/>
  <c r="J641" i="1"/>
  <c r="I628" i="1"/>
  <c r="J625" i="1"/>
  <c r="I620" i="1"/>
  <c r="J617" i="1"/>
  <c r="I612" i="1"/>
  <c r="I604" i="1"/>
  <c r="J601" i="1"/>
  <c r="I596" i="1"/>
  <c r="I588" i="1"/>
  <c r="J585" i="1"/>
  <c r="I580" i="1"/>
  <c r="J569" i="1"/>
  <c r="I564" i="1"/>
  <c r="J561" i="1"/>
  <c r="I556" i="1"/>
  <c r="J553" i="1"/>
  <c r="I548" i="1"/>
  <c r="J545" i="1"/>
  <c r="I540" i="1"/>
  <c r="J537" i="1"/>
  <c r="J529" i="1"/>
  <c r="I524" i="1"/>
  <c r="J521" i="1"/>
  <c r="J513" i="1"/>
  <c r="I508" i="1"/>
  <c r="J505" i="1"/>
  <c r="I500" i="1"/>
  <c r="I492" i="1"/>
  <c r="N492" i="1" s="1"/>
  <c r="I484" i="1"/>
  <c r="I480" i="1"/>
  <c r="I476" i="1"/>
  <c r="I472" i="1"/>
  <c r="I468" i="1"/>
  <c r="I464" i="1"/>
  <c r="I460" i="1"/>
  <c r="I456" i="1"/>
  <c r="I452" i="1"/>
  <c r="I448" i="1"/>
  <c r="I444" i="1"/>
  <c r="I440" i="1"/>
  <c r="J436" i="1"/>
  <c r="J433" i="1"/>
  <c r="J429" i="1"/>
  <c r="J425" i="1"/>
  <c r="J421" i="1"/>
  <c r="J417" i="1"/>
  <c r="J413" i="1"/>
  <c r="J409" i="1"/>
  <c r="I405" i="1"/>
  <c r="I403" i="1"/>
  <c r="I401" i="1"/>
  <c r="I397" i="1"/>
  <c r="I393" i="1"/>
  <c r="I389" i="1"/>
  <c r="I385" i="1"/>
  <c r="I381" i="1"/>
  <c r="I377" i="1"/>
  <c r="I373" i="1"/>
  <c r="I369" i="1"/>
  <c r="I365" i="1"/>
  <c r="I361" i="1"/>
  <c r="I357" i="1"/>
  <c r="I353" i="1"/>
  <c r="I349" i="1"/>
  <c r="I345" i="1"/>
  <c r="I341" i="1"/>
  <c r="I337" i="1"/>
  <c r="I333" i="1"/>
  <c r="I329" i="1"/>
  <c r="I325" i="1"/>
  <c r="I321" i="1"/>
  <c r="I317" i="1"/>
  <c r="I313" i="1"/>
  <c r="I309" i="1"/>
  <c r="I305" i="1"/>
  <c r="I301" i="1"/>
  <c r="I297" i="1"/>
  <c r="J293" i="1"/>
  <c r="J289" i="1"/>
  <c r="J285" i="1"/>
  <c r="J281" i="1"/>
  <c r="J277" i="1"/>
  <c r="J273" i="1"/>
  <c r="I253" i="1"/>
  <c r="J249" i="1"/>
  <c r="I245" i="1"/>
  <c r="J241" i="1"/>
  <c r="J240" i="1"/>
  <c r="J233" i="1"/>
  <c r="J232" i="1"/>
  <c r="J225" i="1"/>
  <c r="J224" i="1"/>
  <c r="J217" i="1"/>
  <c r="J216" i="1"/>
  <c r="J209" i="1"/>
  <c r="J208" i="1"/>
  <c r="J201" i="1"/>
  <c r="J200" i="1"/>
  <c r="J193" i="1"/>
  <c r="J192" i="1"/>
  <c r="J185" i="1"/>
  <c r="J184" i="1"/>
  <c r="J177" i="1"/>
  <c r="J176" i="1"/>
  <c r="N176" i="1" s="1"/>
  <c r="J169" i="1"/>
  <c r="J168" i="1"/>
  <c r="J161" i="1"/>
  <c r="J160" i="1"/>
  <c r="J153" i="1"/>
  <c r="J152" i="1"/>
  <c r="J145" i="1"/>
  <c r="J144" i="1"/>
  <c r="J137" i="1"/>
  <c r="J136" i="1"/>
  <c r="I132" i="1"/>
  <c r="J129" i="1"/>
  <c r="J128" i="1"/>
  <c r="I124" i="1"/>
  <c r="I120" i="1"/>
  <c r="I116" i="1"/>
  <c r="I112" i="1"/>
  <c r="I108" i="1"/>
  <c r="I104" i="1"/>
  <c r="J100" i="1"/>
  <c r="J97" i="1"/>
  <c r="J93" i="1"/>
  <c r="J92" i="1"/>
  <c r="J84" i="1"/>
  <c r="J76" i="1"/>
  <c r="J68" i="1"/>
  <c r="J60" i="1"/>
  <c r="J52" i="1"/>
  <c r="J36" i="1"/>
  <c r="J28" i="1"/>
  <c r="J20" i="1"/>
  <c r="I14" i="1"/>
  <c r="I6" i="1"/>
  <c r="J46" i="1"/>
  <c r="I691" i="1"/>
  <c r="I707" i="1"/>
  <c r="M707" i="1" s="1"/>
  <c r="I711" i="1"/>
  <c r="J716" i="1"/>
  <c r="J727" i="1"/>
  <c r="J731" i="1"/>
  <c r="J735" i="1"/>
  <c r="J739" i="1"/>
  <c r="J743" i="1"/>
  <c r="J747" i="1"/>
  <c r="J751" i="1"/>
  <c r="J755" i="1"/>
  <c r="J759" i="1"/>
  <c r="J763" i="1"/>
  <c r="J767" i="1"/>
  <c r="J771" i="1"/>
  <c r="J775" i="1"/>
  <c r="J779" i="1"/>
  <c r="J783" i="1"/>
  <c r="J787" i="1"/>
  <c r="J791" i="1"/>
  <c r="J795" i="1"/>
  <c r="J799" i="1"/>
  <c r="J803" i="1"/>
  <c r="J807" i="1"/>
  <c r="J811" i="1"/>
  <c r="J815" i="1"/>
  <c r="J819" i="1"/>
  <c r="J823" i="1"/>
  <c r="J827" i="1"/>
  <c r="J831" i="1"/>
  <c r="J835" i="1"/>
  <c r="J839" i="1"/>
  <c r="J843" i="1"/>
  <c r="P859" i="1"/>
  <c r="O864" i="1"/>
  <c r="P868" i="1"/>
  <c r="P875" i="1"/>
  <c r="O880" i="1"/>
  <c r="P884" i="1"/>
  <c r="P891" i="1"/>
  <c r="O896" i="1"/>
  <c r="P900" i="1"/>
  <c r="P907" i="1"/>
  <c r="O912" i="1"/>
  <c r="P916" i="1"/>
  <c r="P923" i="1"/>
  <c r="O928" i="1"/>
  <c r="P932" i="1"/>
  <c r="P939" i="1"/>
  <c r="O944" i="1"/>
  <c r="P948" i="1"/>
  <c r="P955" i="1"/>
  <c r="O960" i="1"/>
  <c r="P964" i="1"/>
  <c r="P971" i="1"/>
  <c r="O976" i="1"/>
  <c r="P980" i="1"/>
  <c r="P987" i="1"/>
  <c r="O992" i="1"/>
  <c r="P999" i="1"/>
  <c r="P1008" i="1"/>
  <c r="O1011" i="1"/>
  <c r="P1027" i="1"/>
  <c r="P1034" i="1"/>
  <c r="P1039" i="1"/>
  <c r="P1042" i="1"/>
  <c r="P1047" i="1"/>
  <c r="P1050" i="1"/>
  <c r="P1055" i="1"/>
  <c r="P1058" i="1"/>
  <c r="P1063" i="1"/>
  <c r="P1066" i="1"/>
  <c r="P1071" i="1"/>
  <c r="P1074" i="1"/>
  <c r="P1079" i="1"/>
  <c r="P1082" i="1"/>
  <c r="P1087" i="1"/>
  <c r="P1090" i="1"/>
  <c r="P1095" i="1"/>
  <c r="P1098" i="1"/>
  <c r="P1103" i="1"/>
  <c r="P1106" i="1"/>
  <c r="P1111" i="1"/>
  <c r="P1114" i="1"/>
  <c r="P1119" i="1"/>
  <c r="P1122" i="1"/>
  <c r="P1127" i="1"/>
  <c r="P1130" i="1"/>
  <c r="P1135" i="1"/>
  <c r="P1138" i="1"/>
  <c r="P1143" i="1"/>
  <c r="P1146" i="1"/>
  <c r="P1151" i="1"/>
  <c r="P1154" i="1"/>
  <c r="P1159" i="1"/>
  <c r="P1162" i="1"/>
  <c r="P1167" i="1"/>
  <c r="P1170" i="1"/>
  <c r="P1175" i="1"/>
  <c r="P1178" i="1"/>
  <c r="P1183" i="1"/>
  <c r="P1186" i="1"/>
  <c r="P1191" i="1"/>
  <c r="P1194" i="1"/>
  <c r="P1199" i="1"/>
  <c r="P1202" i="1"/>
  <c r="P1207" i="1"/>
  <c r="P1210" i="1"/>
  <c r="P1215" i="1"/>
  <c r="P1218" i="1"/>
  <c r="P1227" i="1"/>
  <c r="P1235" i="1"/>
  <c r="P1243" i="1"/>
  <c r="P1251" i="1"/>
  <c r="O1262" i="1"/>
  <c r="O1266" i="1"/>
  <c r="O1273" i="1"/>
  <c r="J676" i="1"/>
  <c r="J672" i="1"/>
  <c r="J668" i="1"/>
  <c r="J664" i="1"/>
  <c r="J660" i="1"/>
  <c r="J656" i="1"/>
  <c r="J652" i="1"/>
  <c r="N652" i="1" s="1"/>
  <c r="J648" i="1"/>
  <c r="J644" i="1"/>
  <c r="J640" i="1"/>
  <c r="J636" i="1"/>
  <c r="J632" i="1"/>
  <c r="J628" i="1"/>
  <c r="J624" i="1"/>
  <c r="J620" i="1"/>
  <c r="J616" i="1"/>
  <c r="J612" i="1"/>
  <c r="M612" i="1" s="1"/>
  <c r="J608" i="1"/>
  <c r="J604" i="1"/>
  <c r="J603" i="1"/>
  <c r="J600" i="1"/>
  <c r="J596" i="1"/>
  <c r="M596" i="1" s="1"/>
  <c r="J592" i="1"/>
  <c r="J588" i="1"/>
  <c r="J584" i="1"/>
  <c r="J580" i="1"/>
  <c r="J572" i="1"/>
  <c r="J568" i="1"/>
  <c r="J564" i="1"/>
  <c r="J560" i="1"/>
  <c r="J556" i="1"/>
  <c r="J552" i="1"/>
  <c r="J548" i="1"/>
  <c r="J544" i="1"/>
  <c r="J540" i="1"/>
  <c r="M540" i="1" s="1"/>
  <c r="J536" i="1"/>
  <c r="J532" i="1"/>
  <c r="J528" i="1"/>
  <c r="J527" i="1"/>
  <c r="J524" i="1"/>
  <c r="J520" i="1"/>
  <c r="J516" i="1"/>
  <c r="J512" i="1"/>
  <c r="J508" i="1"/>
  <c r="J504" i="1"/>
  <c r="J501" i="1"/>
  <c r="J497" i="1"/>
  <c r="J493" i="1"/>
  <c r="J489" i="1"/>
  <c r="J485" i="1"/>
  <c r="J484" i="1"/>
  <c r="J481" i="1"/>
  <c r="J480" i="1"/>
  <c r="J477" i="1"/>
  <c r="J476" i="1"/>
  <c r="J473" i="1"/>
  <c r="J472" i="1"/>
  <c r="J469" i="1"/>
  <c r="J468" i="1"/>
  <c r="J465" i="1"/>
  <c r="J464" i="1"/>
  <c r="J461" i="1"/>
  <c r="J460" i="1"/>
  <c r="J457" i="1"/>
  <c r="J456" i="1"/>
  <c r="J454" i="1"/>
  <c r="J453" i="1"/>
  <c r="J452" i="1"/>
  <c r="J449" i="1"/>
  <c r="J448" i="1"/>
  <c r="J445" i="1"/>
  <c r="J444" i="1"/>
  <c r="J441" i="1"/>
  <c r="J440" i="1"/>
  <c r="J437" i="1"/>
  <c r="I404" i="1"/>
  <c r="J404" i="1"/>
  <c r="I400" i="1"/>
  <c r="J400" i="1"/>
  <c r="I396" i="1"/>
  <c r="J396" i="1"/>
  <c r="I392" i="1"/>
  <c r="J392" i="1"/>
  <c r="I362" i="1"/>
  <c r="J356" i="1"/>
  <c r="J352" i="1"/>
  <c r="J348" i="1"/>
  <c r="J344" i="1"/>
  <c r="J340" i="1"/>
  <c r="J336" i="1"/>
  <c r="J332" i="1"/>
  <c r="J330" i="1"/>
  <c r="J328" i="1"/>
  <c r="I432" i="1"/>
  <c r="I428" i="1"/>
  <c r="I424" i="1"/>
  <c r="I420" i="1"/>
  <c r="I416" i="1"/>
  <c r="I412" i="1"/>
  <c r="I408" i="1"/>
  <c r="J405" i="1"/>
  <c r="N405" i="1" s="1"/>
  <c r="J401" i="1"/>
  <c r="J397" i="1"/>
  <c r="J393" i="1"/>
  <c r="I388" i="1"/>
  <c r="J385" i="1"/>
  <c r="I384" i="1"/>
  <c r="J381" i="1"/>
  <c r="N381" i="1" s="1"/>
  <c r="I380" i="1"/>
  <c r="J377" i="1"/>
  <c r="M377" i="1" s="1"/>
  <c r="I376" i="1"/>
  <c r="J373" i="1"/>
  <c r="N373" i="1" s="1"/>
  <c r="I372" i="1"/>
  <c r="J369" i="1"/>
  <c r="I368" i="1"/>
  <c r="J365" i="1"/>
  <c r="N365" i="1" s="1"/>
  <c r="I364" i="1"/>
  <c r="J361" i="1"/>
  <c r="M361" i="1" s="1"/>
  <c r="I360" i="1"/>
  <c r="J357" i="1"/>
  <c r="M357" i="1" s="1"/>
  <c r="J353" i="1"/>
  <c r="J349" i="1"/>
  <c r="J345" i="1"/>
  <c r="J341" i="1"/>
  <c r="J337" i="1"/>
  <c r="J333" i="1"/>
  <c r="J329" i="1"/>
  <c r="J325" i="1"/>
  <c r="J324" i="1"/>
  <c r="J321" i="1"/>
  <c r="J320" i="1"/>
  <c r="J317" i="1"/>
  <c r="J316" i="1"/>
  <c r="J313" i="1"/>
  <c r="J312" i="1"/>
  <c r="J309" i="1"/>
  <c r="J308" i="1"/>
  <c r="J305" i="1"/>
  <c r="J304" i="1"/>
  <c r="J301" i="1"/>
  <c r="J300" i="1"/>
  <c r="J297" i="1"/>
  <c r="J296" i="1"/>
  <c r="N128" i="1"/>
  <c r="I96" i="1"/>
  <c r="N96" i="1" s="1"/>
  <c r="I89" i="1"/>
  <c r="I85" i="1"/>
  <c r="I81" i="1"/>
  <c r="I77" i="1"/>
  <c r="I73" i="1"/>
  <c r="J70" i="1"/>
  <c r="I69" i="1"/>
  <c r="I65" i="1"/>
  <c r="I61" i="1"/>
  <c r="I57" i="1"/>
  <c r="I53" i="1"/>
  <c r="I49" i="1"/>
  <c r="I37" i="1"/>
  <c r="I33" i="1"/>
  <c r="I29" i="1"/>
  <c r="I25" i="1"/>
  <c r="I21" i="1"/>
  <c r="J18" i="1"/>
  <c r="I17" i="1"/>
  <c r="J14" i="1"/>
  <c r="N14" i="1" s="1"/>
  <c r="I13" i="1"/>
  <c r="J10" i="1"/>
  <c r="I9" i="1"/>
  <c r="J6" i="1"/>
  <c r="N6" i="1" s="1"/>
  <c r="J42" i="1"/>
  <c r="I679" i="1"/>
  <c r="I687" i="1"/>
  <c r="I695" i="1"/>
  <c r="J700" i="1"/>
  <c r="J708" i="1"/>
  <c r="I292" i="1"/>
  <c r="I288" i="1"/>
  <c r="I284" i="1"/>
  <c r="I280" i="1"/>
  <c r="I276" i="1"/>
  <c r="I274" i="1"/>
  <c r="I272" i="1"/>
  <c r="I268" i="1"/>
  <c r="I264" i="1"/>
  <c r="I260" i="1"/>
  <c r="I256" i="1"/>
  <c r="J253" i="1"/>
  <c r="N253" i="1" s="1"/>
  <c r="I248" i="1"/>
  <c r="J245" i="1"/>
  <c r="M245" i="1" s="1"/>
  <c r="J179" i="1"/>
  <c r="M179" i="1" s="1"/>
  <c r="J133" i="1"/>
  <c r="J132" i="1"/>
  <c r="J125" i="1"/>
  <c r="J124" i="1"/>
  <c r="J121" i="1"/>
  <c r="J120" i="1"/>
  <c r="J117" i="1"/>
  <c r="J116" i="1"/>
  <c r="J113" i="1"/>
  <c r="J112" i="1"/>
  <c r="J109" i="1"/>
  <c r="J108" i="1"/>
  <c r="J105" i="1"/>
  <c r="J104" i="1"/>
  <c r="J101" i="1"/>
  <c r="J712" i="1"/>
  <c r="I715" i="1"/>
  <c r="M715" i="1" s="1"/>
  <c r="J720" i="1"/>
  <c r="I723" i="1"/>
  <c r="M723" i="1" s="1"/>
  <c r="I728" i="1"/>
  <c r="M728" i="1" s="1"/>
  <c r="I732" i="1"/>
  <c r="M732" i="1" s="1"/>
  <c r="I736" i="1"/>
  <c r="M736" i="1" s="1"/>
  <c r="I740" i="1"/>
  <c r="M740" i="1" s="1"/>
  <c r="I744" i="1"/>
  <c r="M744" i="1" s="1"/>
  <c r="I748" i="1"/>
  <c r="I752" i="1"/>
  <c r="M752" i="1" s="1"/>
  <c r="I756" i="1"/>
  <c r="I760" i="1"/>
  <c r="M760" i="1" s="1"/>
  <c r="I764" i="1"/>
  <c r="M764" i="1" s="1"/>
  <c r="I768" i="1"/>
  <c r="M768" i="1" s="1"/>
  <c r="I772" i="1"/>
  <c r="M772" i="1" s="1"/>
  <c r="I774" i="1"/>
  <c r="M774" i="1" s="1"/>
  <c r="I776" i="1"/>
  <c r="M776" i="1" s="1"/>
  <c r="I780" i="1"/>
  <c r="I784" i="1"/>
  <c r="M784" i="1" s="1"/>
  <c r="I788" i="1"/>
  <c r="I792" i="1"/>
  <c r="M792" i="1" s="1"/>
  <c r="I796" i="1"/>
  <c r="M796" i="1" s="1"/>
  <c r="I800" i="1"/>
  <c r="M800" i="1" s="1"/>
  <c r="I804" i="1"/>
  <c r="M804" i="1" s="1"/>
  <c r="I808" i="1"/>
  <c r="M808" i="1" s="1"/>
  <c r="I812" i="1"/>
  <c r="I816" i="1"/>
  <c r="M816" i="1" s="1"/>
  <c r="I820" i="1"/>
  <c r="I824" i="1"/>
  <c r="M824" i="1" s="1"/>
  <c r="I828" i="1"/>
  <c r="M828" i="1" s="1"/>
  <c r="I832" i="1"/>
  <c r="M832" i="1" s="1"/>
  <c r="I836" i="1"/>
  <c r="M836" i="1" s="1"/>
  <c r="I840" i="1"/>
  <c r="M840" i="1" s="1"/>
  <c r="O860" i="1"/>
  <c r="O868" i="1"/>
  <c r="O876" i="1"/>
  <c r="O884" i="1"/>
  <c r="O892" i="1"/>
  <c r="O900" i="1"/>
  <c r="O908" i="1"/>
  <c r="O916" i="1"/>
  <c r="O924" i="1"/>
  <c r="O932" i="1"/>
  <c r="O940" i="1"/>
  <c r="O948" i="1"/>
  <c r="O956" i="1"/>
  <c r="O964" i="1"/>
  <c r="O972" i="1"/>
  <c r="O980" i="1"/>
  <c r="O988" i="1"/>
  <c r="O999" i="1"/>
  <c r="P1004" i="1"/>
  <c r="O1007" i="1"/>
  <c r="P1012" i="1"/>
  <c r="P1057" i="1"/>
  <c r="P1141" i="1"/>
  <c r="O1246" i="1"/>
  <c r="O1254" i="1"/>
  <c r="N468" i="1"/>
  <c r="N396" i="1"/>
  <c r="M644" i="1"/>
  <c r="M580" i="1"/>
  <c r="N540" i="1"/>
  <c r="O854" i="1"/>
  <c r="I677" i="1"/>
  <c r="I673" i="1"/>
  <c r="I669" i="1"/>
  <c r="I665" i="1"/>
  <c r="M665" i="1" s="1"/>
  <c r="I661" i="1"/>
  <c r="I657" i="1"/>
  <c r="I653" i="1"/>
  <c r="I649" i="1"/>
  <c r="N649" i="1" s="1"/>
  <c r="I645" i="1"/>
  <c r="I641" i="1"/>
  <c r="I637" i="1"/>
  <c r="I633" i="1"/>
  <c r="M633" i="1" s="1"/>
  <c r="I629" i="1"/>
  <c r="I625" i="1"/>
  <c r="M625" i="1" s="1"/>
  <c r="I621" i="1"/>
  <c r="I617" i="1"/>
  <c r="N617" i="1" s="1"/>
  <c r="I613" i="1"/>
  <c r="I609" i="1"/>
  <c r="I605" i="1"/>
  <c r="I601" i="1"/>
  <c r="I597" i="1"/>
  <c r="I593" i="1"/>
  <c r="M593" i="1" s="1"/>
  <c r="I589" i="1"/>
  <c r="I585" i="1"/>
  <c r="N585" i="1" s="1"/>
  <c r="I581" i="1"/>
  <c r="I577" i="1"/>
  <c r="I573" i="1"/>
  <c r="I569" i="1"/>
  <c r="N569" i="1" s="1"/>
  <c r="I565" i="1"/>
  <c r="I561" i="1"/>
  <c r="M561" i="1" s="1"/>
  <c r="I557" i="1"/>
  <c r="I553" i="1"/>
  <c r="N553" i="1" s="1"/>
  <c r="I549" i="1"/>
  <c r="I545" i="1"/>
  <c r="I541" i="1"/>
  <c r="I537" i="1"/>
  <c r="M537" i="1" s="1"/>
  <c r="I533" i="1"/>
  <c r="I529" i="1"/>
  <c r="M529" i="1" s="1"/>
  <c r="I525" i="1"/>
  <c r="I521" i="1"/>
  <c r="I517" i="1"/>
  <c r="I513" i="1"/>
  <c r="I509" i="1"/>
  <c r="I505" i="1"/>
  <c r="M505" i="1" s="1"/>
  <c r="I501" i="1"/>
  <c r="I497" i="1"/>
  <c r="N497" i="1" s="1"/>
  <c r="I493" i="1"/>
  <c r="I489" i="1"/>
  <c r="M489" i="1" s="1"/>
  <c r="I485" i="1"/>
  <c r="N393" i="1"/>
  <c r="J389" i="1"/>
  <c r="J388" i="1"/>
  <c r="M388" i="1" s="1"/>
  <c r="J384" i="1"/>
  <c r="J380" i="1"/>
  <c r="M380" i="1" s="1"/>
  <c r="J376" i="1"/>
  <c r="J372" i="1"/>
  <c r="M372" i="1" s="1"/>
  <c r="J368" i="1"/>
  <c r="J364" i="1"/>
  <c r="M364" i="1" s="1"/>
  <c r="J360" i="1"/>
  <c r="M360" i="1" s="1"/>
  <c r="M385" i="1"/>
  <c r="M369" i="1"/>
  <c r="I5" i="1"/>
  <c r="J43" i="1"/>
  <c r="I43" i="1"/>
  <c r="J680" i="1"/>
  <c r="I680" i="1"/>
  <c r="J688" i="1"/>
  <c r="I688" i="1"/>
  <c r="J696" i="1"/>
  <c r="I696" i="1"/>
  <c r="I240" i="1"/>
  <c r="M240" i="1" s="1"/>
  <c r="I236" i="1"/>
  <c r="I232" i="1"/>
  <c r="I228" i="1"/>
  <c r="I224" i="1"/>
  <c r="M224" i="1" s="1"/>
  <c r="I220" i="1"/>
  <c r="I216" i="1"/>
  <c r="M216" i="1" s="1"/>
  <c r="I212" i="1"/>
  <c r="M212" i="1" s="1"/>
  <c r="I208" i="1"/>
  <c r="I206" i="1"/>
  <c r="M206" i="1" s="1"/>
  <c r="I204" i="1"/>
  <c r="I200" i="1"/>
  <c r="I196" i="1"/>
  <c r="I192" i="1"/>
  <c r="M192" i="1" s="1"/>
  <c r="I188" i="1"/>
  <c r="I184" i="1"/>
  <c r="I180" i="1"/>
  <c r="I176" i="1"/>
  <c r="I172" i="1"/>
  <c r="I168" i="1"/>
  <c r="I164" i="1"/>
  <c r="I160" i="1"/>
  <c r="M160" i="1" s="1"/>
  <c r="I156" i="1"/>
  <c r="I152" i="1"/>
  <c r="I148" i="1"/>
  <c r="I144" i="1"/>
  <c r="M144" i="1" s="1"/>
  <c r="I140" i="1"/>
  <c r="I136" i="1"/>
  <c r="I133" i="1"/>
  <c r="I129" i="1"/>
  <c r="N129" i="1" s="1"/>
  <c r="I125" i="1"/>
  <c r="J89" i="1"/>
  <c r="N89" i="1" s="1"/>
  <c r="J85" i="1"/>
  <c r="J81" i="1"/>
  <c r="J77" i="1"/>
  <c r="J73" i="1"/>
  <c r="N73" i="1" s="1"/>
  <c r="J69" i="1"/>
  <c r="J65" i="1"/>
  <c r="N65" i="1" s="1"/>
  <c r="J61" i="1"/>
  <c r="J57" i="1"/>
  <c r="N57" i="1" s="1"/>
  <c r="J53" i="1"/>
  <c r="J49" i="1"/>
  <c r="J37" i="1"/>
  <c r="J33" i="1"/>
  <c r="N33" i="1" s="1"/>
  <c r="J29" i="1"/>
  <c r="J25" i="1"/>
  <c r="N25" i="1" s="1"/>
  <c r="J21" i="1"/>
  <c r="N21" i="1" s="1"/>
  <c r="J17" i="1"/>
  <c r="M17" i="1" s="1"/>
  <c r="J13" i="1"/>
  <c r="J9" i="1"/>
  <c r="N9" i="1" s="1"/>
  <c r="J47" i="1"/>
  <c r="I47" i="1"/>
  <c r="M47" i="1" s="1"/>
  <c r="J684" i="1"/>
  <c r="I684" i="1"/>
  <c r="J692" i="1"/>
  <c r="I692" i="1"/>
  <c r="J844" i="1"/>
  <c r="I844" i="1"/>
  <c r="J852" i="1"/>
  <c r="I852" i="1"/>
  <c r="O878" i="1"/>
  <c r="O910" i="1"/>
  <c r="O942" i="1"/>
  <c r="O974" i="1"/>
  <c r="P1009" i="1"/>
  <c r="P1020" i="1"/>
  <c r="O1020" i="1"/>
  <c r="P1030" i="1"/>
  <c r="O1030" i="1"/>
  <c r="I700" i="1"/>
  <c r="I704" i="1"/>
  <c r="I708" i="1"/>
  <c r="N708" i="1" s="1"/>
  <c r="I712" i="1"/>
  <c r="N712" i="1" s="1"/>
  <c r="I716" i="1"/>
  <c r="I720" i="1"/>
  <c r="I724" i="1"/>
  <c r="J848" i="1"/>
  <c r="I848" i="1"/>
  <c r="O858" i="1"/>
  <c r="P882" i="1"/>
  <c r="P906" i="1"/>
  <c r="O922" i="1"/>
  <c r="P946" i="1"/>
  <c r="P970" i="1"/>
  <c r="O986" i="1"/>
  <c r="P1026" i="1"/>
  <c r="O1026" i="1"/>
  <c r="O1247" i="1"/>
  <c r="O1251" i="1"/>
  <c r="O1255" i="1"/>
  <c r="O1264" i="1"/>
  <c r="O1280" i="1"/>
  <c r="N36" i="1"/>
  <c r="M815" i="1"/>
  <c r="M783" i="1"/>
  <c r="M755" i="1"/>
  <c r="M739" i="1"/>
  <c r="N711" i="1"/>
  <c r="N691" i="1"/>
  <c r="M46" i="1"/>
  <c r="N153" i="1"/>
  <c r="M153" i="1"/>
  <c r="M779" i="1"/>
  <c r="M843" i="1"/>
  <c r="M124" i="1"/>
  <c r="M14" i="1"/>
  <c r="M70" i="1"/>
  <c r="N752" i="1"/>
  <c r="N784" i="1"/>
  <c r="N796" i="1"/>
  <c r="N687" i="1"/>
  <c r="M42" i="1"/>
  <c r="N42" i="1"/>
  <c r="M362" i="1"/>
  <c r="N728" i="1"/>
  <c r="N760" i="1"/>
  <c r="N792" i="1"/>
  <c r="N824" i="1"/>
  <c r="N740" i="1"/>
  <c r="N772" i="1"/>
  <c r="N804" i="1"/>
  <c r="N836" i="1"/>
  <c r="N125" i="1"/>
  <c r="M125" i="1"/>
  <c r="N136" i="1"/>
  <c r="N144" i="1"/>
  <c r="M152" i="1"/>
  <c r="N160" i="1"/>
  <c r="N168" i="1"/>
  <c r="M184" i="1"/>
  <c r="N192" i="1"/>
  <c r="N200" i="1"/>
  <c r="N208" i="1"/>
  <c r="M208" i="1"/>
  <c r="N212" i="1"/>
  <c r="N224" i="1"/>
  <c r="N232" i="1"/>
  <c r="N240" i="1"/>
  <c r="N360" i="1"/>
  <c r="N368" i="1"/>
  <c r="N380" i="1"/>
  <c r="M497" i="1"/>
  <c r="N505" i="1"/>
  <c r="M513" i="1"/>
  <c r="N537" i="1"/>
  <c r="M553" i="1"/>
  <c r="M569" i="1"/>
  <c r="N601" i="1"/>
  <c r="M641" i="1"/>
  <c r="I663" i="1" l="1"/>
  <c r="J663" i="1"/>
  <c r="M663" i="1" s="1"/>
  <c r="I659" i="1"/>
  <c r="J659" i="1"/>
  <c r="I651" i="1"/>
  <c r="J651" i="1"/>
  <c r="M651" i="1" s="1"/>
  <c r="I647" i="1"/>
  <c r="J647" i="1"/>
  <c r="I627" i="1"/>
  <c r="J627" i="1"/>
  <c r="N627" i="1" s="1"/>
  <c r="I615" i="1"/>
  <c r="J615" i="1"/>
  <c r="I591" i="1"/>
  <c r="J591" i="1"/>
  <c r="M591" i="1" s="1"/>
  <c r="I587" i="1"/>
  <c r="J587" i="1"/>
  <c r="I579" i="1"/>
  <c r="J579" i="1"/>
  <c r="N579" i="1" s="1"/>
  <c r="J571" i="1"/>
  <c r="I571" i="1"/>
  <c r="N571" i="1" s="1"/>
  <c r="J563" i="1"/>
  <c r="I563" i="1"/>
  <c r="M563" i="1" s="1"/>
  <c r="J547" i="1"/>
  <c r="I547" i="1"/>
  <c r="N547" i="1" s="1"/>
  <c r="J523" i="1"/>
  <c r="I523" i="1"/>
  <c r="M523" i="1" s="1"/>
  <c r="J491" i="1"/>
  <c r="I491" i="1"/>
  <c r="I482" i="1"/>
  <c r="J482" i="1"/>
  <c r="M482" i="1" s="1"/>
  <c r="J458" i="1"/>
  <c r="M458" i="1" s="1"/>
  <c r="I458" i="1"/>
  <c r="I446" i="1"/>
  <c r="N446" i="1" s="1"/>
  <c r="J446" i="1"/>
  <c r="I442" i="1"/>
  <c r="N442" i="1" s="1"/>
  <c r="J442" i="1"/>
  <c r="J395" i="1"/>
  <c r="M395" i="1" s="1"/>
  <c r="I395" i="1"/>
  <c r="I394" i="1"/>
  <c r="J394" i="1"/>
  <c r="I382" i="1"/>
  <c r="N382" i="1" s="1"/>
  <c r="J382" i="1"/>
  <c r="I327" i="1"/>
  <c r="N327" i="1" s="1"/>
  <c r="J327" i="1"/>
  <c r="I319" i="1"/>
  <c r="N319" i="1" s="1"/>
  <c r="J319" i="1"/>
  <c r="I311" i="1"/>
  <c r="J311" i="1"/>
  <c r="I303" i="1"/>
  <c r="J303" i="1"/>
  <c r="J299" i="1"/>
  <c r="M299" i="1" s="1"/>
  <c r="I299" i="1"/>
  <c r="I295" i="1"/>
  <c r="N295" i="1" s="1"/>
  <c r="J295" i="1"/>
  <c r="I251" i="1"/>
  <c r="J251" i="1"/>
  <c r="I243" i="1"/>
  <c r="N243" i="1" s="1"/>
  <c r="J243" i="1"/>
  <c r="J242" i="1"/>
  <c r="I242" i="1"/>
  <c r="J226" i="1"/>
  <c r="M226" i="1" s="1"/>
  <c r="I226" i="1"/>
  <c r="I223" i="1"/>
  <c r="M223" i="1" s="1"/>
  <c r="J223" i="1"/>
  <c r="I215" i="1"/>
  <c r="N215" i="1" s="1"/>
  <c r="J215" i="1"/>
  <c r="I214" i="1"/>
  <c r="M214" i="1" s="1"/>
  <c r="J214" i="1"/>
  <c r="J210" i="1"/>
  <c r="I210" i="1"/>
  <c r="J194" i="1"/>
  <c r="I194" i="1"/>
  <c r="I182" i="1"/>
  <c r="M182" i="1" s="1"/>
  <c r="J182" i="1"/>
  <c r="I171" i="1"/>
  <c r="M171" i="1" s="1"/>
  <c r="J171" i="1"/>
  <c r="J170" i="1"/>
  <c r="M170" i="1" s="1"/>
  <c r="I170" i="1"/>
  <c r="J158" i="1"/>
  <c r="I158" i="1"/>
  <c r="I139" i="1"/>
  <c r="M139" i="1" s="1"/>
  <c r="J139" i="1"/>
  <c r="J138" i="1"/>
  <c r="I138" i="1"/>
  <c r="I118" i="1"/>
  <c r="M118" i="1" s="1"/>
  <c r="J118" i="1"/>
  <c r="I106" i="1"/>
  <c r="J106" i="1"/>
  <c r="I102" i="1"/>
  <c r="M102" i="1" s="1"/>
  <c r="J102" i="1"/>
  <c r="I86" i="1"/>
  <c r="M86" i="1" s="1"/>
  <c r="J86" i="1"/>
  <c r="I62" i="1"/>
  <c r="N62" i="1" s="1"/>
  <c r="J62" i="1"/>
  <c r="I54" i="1"/>
  <c r="M54" i="1" s="1"/>
  <c r="J54" i="1"/>
  <c r="I27" i="1"/>
  <c r="J27" i="1"/>
  <c r="I44" i="1"/>
  <c r="J44" i="1"/>
  <c r="J682" i="1"/>
  <c r="N682" i="1" s="1"/>
  <c r="I682" i="1"/>
  <c r="J730" i="1"/>
  <c r="I730" i="1"/>
  <c r="N730" i="1" s="1"/>
  <c r="J734" i="1"/>
  <c r="I734" i="1"/>
  <c r="N737" i="1"/>
  <c r="J738" i="1"/>
  <c r="I738" i="1"/>
  <c r="N738" i="1" s="1"/>
  <c r="J758" i="1"/>
  <c r="N758" i="1" s="1"/>
  <c r="I758" i="1"/>
  <c r="J762" i="1"/>
  <c r="I762" i="1"/>
  <c r="N762" i="1" s="1"/>
  <c r="J814" i="1"/>
  <c r="I814" i="1"/>
  <c r="M814" i="1" s="1"/>
  <c r="J818" i="1"/>
  <c r="I818" i="1"/>
  <c r="N818" i="1" s="1"/>
  <c r="O873" i="1"/>
  <c r="P873" i="1"/>
  <c r="O881" i="1"/>
  <c r="P881" i="1"/>
  <c r="O925" i="1"/>
  <c r="P925" i="1"/>
  <c r="O957" i="1"/>
  <c r="P957" i="1"/>
  <c r="O977" i="1"/>
  <c r="P977" i="1"/>
  <c r="O989" i="1"/>
  <c r="P989" i="1"/>
  <c r="P1006" i="1"/>
  <c r="O1006" i="1"/>
  <c r="O1041" i="1"/>
  <c r="P1041" i="1"/>
  <c r="O1053" i="1"/>
  <c r="P1053" i="1"/>
  <c r="O1061" i="1"/>
  <c r="P1061" i="1"/>
  <c r="O1073" i="1"/>
  <c r="P1073" i="1"/>
  <c r="O1085" i="1"/>
  <c r="P1085" i="1"/>
  <c r="O1093" i="1"/>
  <c r="P1093" i="1"/>
  <c r="O1105" i="1"/>
  <c r="P1105" i="1"/>
  <c r="O1113" i="1"/>
  <c r="P1113" i="1"/>
  <c r="O1125" i="1"/>
  <c r="P1125" i="1"/>
  <c r="O1153" i="1"/>
  <c r="P1153" i="1"/>
  <c r="O1177" i="1"/>
  <c r="P1177" i="1"/>
  <c r="O1181" i="1"/>
  <c r="P1181" i="1"/>
  <c r="O1197" i="1"/>
  <c r="P1197" i="1"/>
  <c r="P1259" i="1"/>
  <c r="O1259" i="1"/>
  <c r="P1275" i="1"/>
  <c r="O1275" i="1"/>
  <c r="P1279" i="1"/>
  <c r="O1279" i="1"/>
  <c r="N489" i="1"/>
  <c r="P962" i="1"/>
  <c r="O938" i="1"/>
  <c r="P898" i="1"/>
  <c r="O874" i="1"/>
  <c r="O1001" i="1"/>
  <c r="O966" i="1"/>
  <c r="O934" i="1"/>
  <c r="O902" i="1"/>
  <c r="O870" i="1"/>
  <c r="I238" i="1"/>
  <c r="M238" i="1" s="1"/>
  <c r="I511" i="1"/>
  <c r="M511" i="1" s="1"/>
  <c r="P1121" i="1"/>
  <c r="P1037" i="1"/>
  <c r="P969" i="1"/>
  <c r="I742" i="1"/>
  <c r="J114" i="1"/>
  <c r="J195" i="1"/>
  <c r="N195" i="1" s="1"/>
  <c r="J387" i="1"/>
  <c r="I378" i="1"/>
  <c r="M378" i="1" s="1"/>
  <c r="J470" i="1"/>
  <c r="N470" i="1" s="1"/>
  <c r="J559" i="1"/>
  <c r="J635" i="1"/>
  <c r="I639" i="1"/>
  <c r="J639" i="1"/>
  <c r="I623" i="1"/>
  <c r="M623" i="1" s="1"/>
  <c r="J623" i="1"/>
  <c r="I611" i="1"/>
  <c r="J611" i="1"/>
  <c r="I607" i="1"/>
  <c r="M607" i="1" s="1"/>
  <c r="J607" i="1"/>
  <c r="I599" i="1"/>
  <c r="J599" i="1"/>
  <c r="I595" i="1"/>
  <c r="M595" i="1" s="1"/>
  <c r="J595" i="1"/>
  <c r="I583" i="1"/>
  <c r="J583" i="1"/>
  <c r="I551" i="1"/>
  <c r="N551" i="1" s="1"/>
  <c r="J551" i="1"/>
  <c r="J539" i="1"/>
  <c r="I539" i="1"/>
  <c r="J507" i="1"/>
  <c r="I507" i="1"/>
  <c r="I499" i="1"/>
  <c r="J499" i="1"/>
  <c r="M466" i="1"/>
  <c r="N454" i="1"/>
  <c r="I407" i="1"/>
  <c r="J407" i="1"/>
  <c r="I406" i="1"/>
  <c r="J406" i="1"/>
  <c r="M403" i="1"/>
  <c r="I402" i="1"/>
  <c r="J402" i="1"/>
  <c r="N402" i="1" s="1"/>
  <c r="I391" i="1"/>
  <c r="J391" i="1"/>
  <c r="N391" i="1" s="1"/>
  <c r="I390" i="1"/>
  <c r="J390" i="1"/>
  <c r="N390" i="1" s="1"/>
  <c r="J379" i="1"/>
  <c r="I379" i="1"/>
  <c r="M379" i="1" s="1"/>
  <c r="J367" i="1"/>
  <c r="M367" i="1" s="1"/>
  <c r="I367" i="1"/>
  <c r="I366" i="1"/>
  <c r="J366" i="1"/>
  <c r="J363" i="1"/>
  <c r="M363" i="1" s="1"/>
  <c r="I363" i="1"/>
  <c r="I355" i="1"/>
  <c r="J355" i="1"/>
  <c r="I351" i="1"/>
  <c r="N351" i="1" s="1"/>
  <c r="J351" i="1"/>
  <c r="I335" i="1"/>
  <c r="N335" i="1" s="1"/>
  <c r="J335" i="1"/>
  <c r="I246" i="1"/>
  <c r="M246" i="1" s="1"/>
  <c r="J246" i="1"/>
  <c r="I235" i="1"/>
  <c r="M235" i="1" s="1"/>
  <c r="J235" i="1"/>
  <c r="J234" i="1"/>
  <c r="M234" i="1" s="1"/>
  <c r="I234" i="1"/>
  <c r="J222" i="1"/>
  <c r="I222" i="1"/>
  <c r="I203" i="1"/>
  <c r="M203" i="1" s="1"/>
  <c r="J203" i="1"/>
  <c r="J202" i="1"/>
  <c r="I202" i="1"/>
  <c r="J198" i="1"/>
  <c r="I198" i="1"/>
  <c r="J178" i="1"/>
  <c r="I178" i="1"/>
  <c r="I175" i="1"/>
  <c r="N175" i="1" s="1"/>
  <c r="J175" i="1"/>
  <c r="I155" i="1"/>
  <c r="J155" i="1"/>
  <c r="J154" i="1"/>
  <c r="N154" i="1" s="1"/>
  <c r="I154" i="1"/>
  <c r="I130" i="1"/>
  <c r="J130" i="1"/>
  <c r="I110" i="1"/>
  <c r="M110" i="1" s="1"/>
  <c r="J110" i="1"/>
  <c r="J78" i="1"/>
  <c r="M78" i="1" s="1"/>
  <c r="I78" i="1"/>
  <c r="I66" i="1"/>
  <c r="J66" i="1"/>
  <c r="I50" i="1"/>
  <c r="J50" i="1"/>
  <c r="I22" i="1"/>
  <c r="M22" i="1" s="1"/>
  <c r="J22" i="1"/>
  <c r="I698" i="1"/>
  <c r="J698" i="1"/>
  <c r="N753" i="1"/>
  <c r="J754" i="1"/>
  <c r="I754" i="1"/>
  <c r="N754" i="1" s="1"/>
  <c r="J766" i="1"/>
  <c r="I766" i="1"/>
  <c r="N769" i="1"/>
  <c r="J770" i="1"/>
  <c r="I770" i="1"/>
  <c r="N770" i="1" s="1"/>
  <c r="J778" i="1"/>
  <c r="I778" i="1"/>
  <c r="J782" i="1"/>
  <c r="N782" i="1" s="1"/>
  <c r="I782" i="1"/>
  <c r="J794" i="1"/>
  <c r="I794" i="1"/>
  <c r="N794" i="1" s="1"/>
  <c r="J798" i="1"/>
  <c r="I798" i="1"/>
  <c r="M798" i="1" s="1"/>
  <c r="J826" i="1"/>
  <c r="I826" i="1"/>
  <c r="N826" i="1" s="1"/>
  <c r="J830" i="1"/>
  <c r="I830" i="1"/>
  <c r="M830" i="1" s="1"/>
  <c r="J850" i="1"/>
  <c r="I850" i="1"/>
  <c r="M850" i="1" s="1"/>
  <c r="O865" i="1"/>
  <c r="P865" i="1"/>
  <c r="O893" i="1"/>
  <c r="P893" i="1"/>
  <c r="O909" i="1"/>
  <c r="P909" i="1"/>
  <c r="O929" i="1"/>
  <c r="P929" i="1"/>
  <c r="O941" i="1"/>
  <c r="P941" i="1"/>
  <c r="P953" i="1"/>
  <c r="O953" i="1"/>
  <c r="O961" i="1"/>
  <c r="P961" i="1"/>
  <c r="O973" i="1"/>
  <c r="P973" i="1"/>
  <c r="O1033" i="1"/>
  <c r="P1033" i="1"/>
  <c r="O1045" i="1"/>
  <c r="P1045" i="1"/>
  <c r="O1069" i="1"/>
  <c r="P1069" i="1"/>
  <c r="O1081" i="1"/>
  <c r="P1081" i="1"/>
  <c r="O1133" i="1"/>
  <c r="P1133" i="1"/>
  <c r="O1149" i="1"/>
  <c r="P1149" i="1"/>
  <c r="O1157" i="1"/>
  <c r="P1157" i="1"/>
  <c r="O1173" i="1"/>
  <c r="P1173" i="1"/>
  <c r="O1189" i="1"/>
  <c r="P1189" i="1"/>
  <c r="O1205" i="1"/>
  <c r="P1205" i="1"/>
  <c r="P1248" i="1"/>
  <c r="O1248" i="1"/>
  <c r="P1271" i="1"/>
  <c r="O1271" i="1"/>
  <c r="P1287" i="1"/>
  <c r="O1287" i="1"/>
  <c r="N774" i="1"/>
  <c r="N816" i="1"/>
  <c r="P978" i="1"/>
  <c r="O954" i="1"/>
  <c r="P914" i="1"/>
  <c r="O890" i="1"/>
  <c r="O990" i="1"/>
  <c r="O958" i="1"/>
  <c r="O926" i="1"/>
  <c r="O894" i="1"/>
  <c r="O862" i="1"/>
  <c r="I142" i="1"/>
  <c r="M142" i="1" s="1"/>
  <c r="I543" i="1"/>
  <c r="P1185" i="1"/>
  <c r="P1101" i="1"/>
  <c r="P905" i="1"/>
  <c r="I838" i="1"/>
  <c r="M838" i="1" s="1"/>
  <c r="J147" i="1"/>
  <c r="M147" i="1" s="1"/>
  <c r="J211" i="1"/>
  <c r="J718" i="1"/>
  <c r="N718" i="1" s="1"/>
  <c r="J307" i="1"/>
  <c r="M307" i="1" s="1"/>
  <c r="J667" i="1"/>
  <c r="M667" i="1" s="1"/>
  <c r="I38" i="1"/>
  <c r="I466" i="1"/>
  <c r="N466" i="1" s="1"/>
  <c r="I675" i="1"/>
  <c r="J675" i="1"/>
  <c r="I671" i="1"/>
  <c r="J671" i="1"/>
  <c r="I655" i="1"/>
  <c r="J655" i="1"/>
  <c r="N655" i="1" s="1"/>
  <c r="I643" i="1"/>
  <c r="J643" i="1"/>
  <c r="I631" i="1"/>
  <c r="J631" i="1"/>
  <c r="N631" i="1" s="1"/>
  <c r="I619" i="1"/>
  <c r="J619" i="1"/>
  <c r="J567" i="1"/>
  <c r="I567" i="1"/>
  <c r="N567" i="1" s="1"/>
  <c r="J555" i="1"/>
  <c r="I555" i="1"/>
  <c r="M555" i="1" s="1"/>
  <c r="J535" i="1"/>
  <c r="I535" i="1"/>
  <c r="M535" i="1" s="1"/>
  <c r="J531" i="1"/>
  <c r="I531" i="1"/>
  <c r="M531" i="1" s="1"/>
  <c r="I519" i="1"/>
  <c r="J519" i="1"/>
  <c r="N519" i="1" s="1"/>
  <c r="J515" i="1"/>
  <c r="I515" i="1"/>
  <c r="M515" i="1" s="1"/>
  <c r="I478" i="1"/>
  <c r="J478" i="1"/>
  <c r="M478" i="1" s="1"/>
  <c r="I474" i="1"/>
  <c r="J474" i="1"/>
  <c r="M474" i="1" s="1"/>
  <c r="I462" i="1"/>
  <c r="J462" i="1"/>
  <c r="I450" i="1"/>
  <c r="J450" i="1"/>
  <c r="M450" i="1" s="1"/>
  <c r="I399" i="1"/>
  <c r="J399" i="1"/>
  <c r="N399" i="1" s="1"/>
  <c r="I398" i="1"/>
  <c r="J398" i="1"/>
  <c r="I386" i="1"/>
  <c r="J386" i="1"/>
  <c r="M386" i="1" s="1"/>
  <c r="J383" i="1"/>
  <c r="I383" i="1"/>
  <c r="N383" i="1" s="1"/>
  <c r="J375" i="1"/>
  <c r="I375" i="1"/>
  <c r="M375" i="1" s="1"/>
  <c r="I374" i="1"/>
  <c r="J374" i="1"/>
  <c r="I371" i="1"/>
  <c r="J371" i="1"/>
  <c r="M371" i="1" s="1"/>
  <c r="I370" i="1"/>
  <c r="J370" i="1"/>
  <c r="M370" i="1" s="1"/>
  <c r="I347" i="1"/>
  <c r="J347" i="1"/>
  <c r="M347" i="1" s="1"/>
  <c r="I343" i="1"/>
  <c r="J343" i="1"/>
  <c r="M343" i="1" s="1"/>
  <c r="I315" i="1"/>
  <c r="J315" i="1"/>
  <c r="N315" i="1" s="1"/>
  <c r="J250" i="1"/>
  <c r="I250" i="1"/>
  <c r="N250" i="1" s="1"/>
  <c r="J230" i="1"/>
  <c r="I230" i="1"/>
  <c r="M230" i="1" s="1"/>
  <c r="I219" i="1"/>
  <c r="J219" i="1"/>
  <c r="M219" i="1" s="1"/>
  <c r="J218" i="1"/>
  <c r="I218" i="1"/>
  <c r="N218" i="1" s="1"/>
  <c r="J190" i="1"/>
  <c r="I190" i="1"/>
  <c r="I187" i="1"/>
  <c r="J187" i="1"/>
  <c r="M187" i="1" s="1"/>
  <c r="J186" i="1"/>
  <c r="I186" i="1"/>
  <c r="J166" i="1"/>
  <c r="I166" i="1"/>
  <c r="M166" i="1" s="1"/>
  <c r="J162" i="1"/>
  <c r="I162" i="1"/>
  <c r="I150" i="1"/>
  <c r="J150" i="1"/>
  <c r="N150" i="1" s="1"/>
  <c r="J146" i="1"/>
  <c r="I146" i="1"/>
  <c r="I122" i="1"/>
  <c r="J122" i="1"/>
  <c r="M122" i="1" s="1"/>
  <c r="M38" i="1"/>
  <c r="I726" i="1"/>
  <c r="J726" i="1"/>
  <c r="N745" i="1"/>
  <c r="J746" i="1"/>
  <c r="I746" i="1"/>
  <c r="N746" i="1" s="1"/>
  <c r="J750" i="1"/>
  <c r="M750" i="1" s="1"/>
  <c r="I750" i="1"/>
  <c r="N785" i="1"/>
  <c r="J786" i="1"/>
  <c r="I786" i="1"/>
  <c r="N786" i="1" s="1"/>
  <c r="J790" i="1"/>
  <c r="I790" i="1"/>
  <c r="M790" i="1" s="1"/>
  <c r="J802" i="1"/>
  <c r="I802" i="1"/>
  <c r="N802" i="1" s="1"/>
  <c r="J810" i="1"/>
  <c r="I810" i="1"/>
  <c r="N810" i="1" s="1"/>
  <c r="J822" i="1"/>
  <c r="I822" i="1"/>
  <c r="M822" i="1" s="1"/>
  <c r="J834" i="1"/>
  <c r="I834" i="1"/>
  <c r="N834" i="1" s="1"/>
  <c r="J842" i="1"/>
  <c r="I842" i="1"/>
  <c r="N842" i="1" s="1"/>
  <c r="O861" i="1"/>
  <c r="P861" i="1"/>
  <c r="O877" i="1"/>
  <c r="P877" i="1"/>
  <c r="O889" i="1"/>
  <c r="P889" i="1"/>
  <c r="O897" i="1"/>
  <c r="P897" i="1"/>
  <c r="O913" i="1"/>
  <c r="P913" i="1"/>
  <c r="O921" i="1"/>
  <c r="P921" i="1"/>
  <c r="O937" i="1"/>
  <c r="P937" i="1"/>
  <c r="O945" i="1"/>
  <c r="P945" i="1"/>
  <c r="O993" i="1"/>
  <c r="P993" i="1"/>
  <c r="O1018" i="1"/>
  <c r="P1018" i="1"/>
  <c r="O1025" i="1"/>
  <c r="P1025" i="1"/>
  <c r="O1029" i="1"/>
  <c r="P1029" i="1"/>
  <c r="P1032" i="1"/>
  <c r="O1032" i="1"/>
  <c r="O1049" i="1"/>
  <c r="P1049" i="1"/>
  <c r="O1065" i="1"/>
  <c r="P1065" i="1"/>
  <c r="O1089" i="1"/>
  <c r="P1089" i="1"/>
  <c r="O1097" i="1"/>
  <c r="P1097" i="1"/>
  <c r="O1109" i="1"/>
  <c r="P1109" i="1"/>
  <c r="O1117" i="1"/>
  <c r="P1117" i="1"/>
  <c r="O1129" i="1"/>
  <c r="P1129" i="1"/>
  <c r="O1137" i="1"/>
  <c r="P1137" i="1"/>
  <c r="O1145" i="1"/>
  <c r="P1145" i="1"/>
  <c r="O1161" i="1"/>
  <c r="P1161" i="1"/>
  <c r="O1169" i="1"/>
  <c r="P1169" i="1"/>
  <c r="O1213" i="1"/>
  <c r="P1213" i="1"/>
  <c r="O1268" i="1"/>
  <c r="P1005" i="1"/>
  <c r="P930" i="1"/>
  <c r="P866" i="1"/>
  <c r="O982" i="1"/>
  <c r="O950" i="1"/>
  <c r="O918" i="1"/>
  <c r="O886" i="1"/>
  <c r="I134" i="1"/>
  <c r="M134" i="1" s="1"/>
  <c r="I174" i="1"/>
  <c r="M174" i="1" s="1"/>
  <c r="I254" i="1"/>
  <c r="N254" i="1" s="1"/>
  <c r="I359" i="1"/>
  <c r="I575" i="1"/>
  <c r="N575" i="1" s="1"/>
  <c r="O1263" i="1"/>
  <c r="P1165" i="1"/>
  <c r="P1077" i="1"/>
  <c r="I806" i="1"/>
  <c r="J163" i="1"/>
  <c r="N163" i="1" s="1"/>
  <c r="J227" i="1"/>
  <c r="N227" i="1" s="1"/>
  <c r="J30" i="1"/>
  <c r="M30" i="1" s="1"/>
  <c r="J323" i="1"/>
  <c r="J331" i="1"/>
  <c r="N331" i="1" s="1"/>
  <c r="J710" i="1"/>
  <c r="J438" i="1"/>
  <c r="N438" i="1" s="1"/>
  <c r="I339" i="1"/>
  <c r="O985" i="1"/>
  <c r="M176" i="1"/>
  <c r="N404" i="1"/>
  <c r="N81" i="1"/>
  <c r="N392" i="1"/>
  <c r="N400" i="1"/>
  <c r="N132" i="1"/>
  <c r="N369" i="1"/>
  <c r="N385" i="1"/>
  <c r="N508" i="1"/>
  <c r="M691" i="1"/>
  <c r="J673" i="1"/>
  <c r="I356" i="1"/>
  <c r="M356" i="1" s="1"/>
  <c r="I352" i="1"/>
  <c r="I348" i="1"/>
  <c r="I344" i="1"/>
  <c r="I340" i="1"/>
  <c r="M340" i="1" s="1"/>
  <c r="I336" i="1"/>
  <c r="I332" i="1"/>
  <c r="I328" i="1"/>
  <c r="J5" i="1"/>
  <c r="M5" i="1" s="1"/>
  <c r="J681" i="1"/>
  <c r="J685" i="1"/>
  <c r="J689" i="1"/>
  <c r="J693" i="1"/>
  <c r="J697" i="1"/>
  <c r="J701" i="1"/>
  <c r="J705" i="1"/>
  <c r="J709" i="1"/>
  <c r="J713" i="1"/>
  <c r="J717" i="1"/>
  <c r="J721" i="1"/>
  <c r="J725" i="1"/>
  <c r="J729" i="1"/>
  <c r="N729" i="1" s="1"/>
  <c r="J733" i="1"/>
  <c r="N733" i="1" s="1"/>
  <c r="J737" i="1"/>
  <c r="J741" i="1"/>
  <c r="N741" i="1" s="1"/>
  <c r="J745" i="1"/>
  <c r="J749" i="1"/>
  <c r="M749" i="1" s="1"/>
  <c r="J753" i="1"/>
  <c r="J757" i="1"/>
  <c r="N757" i="1" s="1"/>
  <c r="J761" i="1"/>
  <c r="N761" i="1" s="1"/>
  <c r="J765" i="1"/>
  <c r="J769" i="1"/>
  <c r="J773" i="1"/>
  <c r="N773" i="1" s="1"/>
  <c r="J777" i="1"/>
  <c r="N777" i="1" s="1"/>
  <c r="J781" i="1"/>
  <c r="J785" i="1"/>
  <c r="J789" i="1"/>
  <c r="M789" i="1" s="1"/>
  <c r="J793" i="1"/>
  <c r="N793" i="1" s="1"/>
  <c r="I358" i="1"/>
  <c r="I354" i="1"/>
  <c r="I350" i="1"/>
  <c r="M350" i="1" s="1"/>
  <c r="I346" i="1"/>
  <c r="I342" i="1"/>
  <c r="I338" i="1"/>
  <c r="I334" i="1"/>
  <c r="M334" i="1" s="1"/>
  <c r="I330" i="1"/>
  <c r="I326" i="1"/>
  <c r="G1289" i="1"/>
  <c r="G1291" i="1" s="1"/>
  <c r="N133" i="1"/>
  <c r="M254" i="1"/>
  <c r="M493" i="1"/>
  <c r="M6" i="1"/>
  <c r="N130" i="1"/>
  <c r="M136" i="1"/>
  <c r="N152" i="1"/>
  <c r="M155" i="1"/>
  <c r="M168" i="1"/>
  <c r="N184" i="1"/>
  <c r="M200" i="1"/>
  <c r="N216" i="1"/>
  <c r="M232" i="1"/>
  <c r="N251" i="1"/>
  <c r="N397" i="1"/>
  <c r="N401" i="1"/>
  <c r="M521" i="1"/>
  <c r="N524" i="1"/>
  <c r="M545" i="1"/>
  <c r="N556" i="1"/>
  <c r="M620" i="1"/>
  <c r="M36" i="1"/>
  <c r="N185" i="1"/>
  <c r="M831" i="1"/>
  <c r="M811" i="1"/>
  <c r="M799" i="1"/>
  <c r="M767" i="1"/>
  <c r="M747" i="1"/>
  <c r="M731" i="1"/>
  <c r="N695" i="1"/>
  <c r="M679" i="1"/>
  <c r="J577" i="1"/>
  <c r="I532" i="1"/>
  <c r="I516" i="1"/>
  <c r="N507" i="1"/>
  <c r="N511" i="1"/>
  <c r="N515" i="1"/>
  <c r="N523" i="1"/>
  <c r="N527" i="1"/>
  <c r="N531" i="1"/>
  <c r="N388" i="1"/>
  <c r="N372" i="1"/>
  <c r="N364" i="1"/>
  <c r="M250" i="1"/>
  <c r="N723" i="1"/>
  <c r="N790" i="1"/>
  <c r="M96" i="1"/>
  <c r="M133" i="1"/>
  <c r="N307" i="1"/>
  <c r="N379" i="1"/>
  <c r="N389" i="1"/>
  <c r="N485" i="1"/>
  <c r="N493" i="1"/>
  <c r="N501" i="1"/>
  <c r="N521" i="1"/>
  <c r="M601" i="1"/>
  <c r="M657" i="1"/>
  <c r="N102" i="1"/>
  <c r="N106" i="1"/>
  <c r="N114" i="1"/>
  <c r="N118" i="1"/>
  <c r="J797" i="1"/>
  <c r="J801" i="1"/>
  <c r="N801" i="1" s="1"/>
  <c r="J805" i="1"/>
  <c r="M805" i="1" s="1"/>
  <c r="J809" i="1"/>
  <c r="N809" i="1" s="1"/>
  <c r="J813" i="1"/>
  <c r="J817" i="1"/>
  <c r="N817" i="1" s="1"/>
  <c r="J821" i="1"/>
  <c r="J825" i="1"/>
  <c r="N825" i="1" s="1"/>
  <c r="J829" i="1"/>
  <c r="J833" i="1"/>
  <c r="M833" i="1" s="1"/>
  <c r="J837" i="1"/>
  <c r="J841" i="1"/>
  <c r="M841" i="1" s="1"/>
  <c r="I845" i="1"/>
  <c r="J847" i="1"/>
  <c r="N847" i="1" s="1"/>
  <c r="I849" i="1"/>
  <c r="I853" i="1"/>
  <c r="O1288" i="1"/>
  <c r="N384" i="1"/>
  <c r="P1257" i="1"/>
  <c r="O1257" i="1"/>
  <c r="N539" i="1"/>
  <c r="N543" i="1"/>
  <c r="M547" i="1"/>
  <c r="N555" i="1"/>
  <c r="N559" i="1"/>
  <c r="M571" i="1"/>
  <c r="M575" i="1"/>
  <c r="M652" i="1"/>
  <c r="M827" i="1"/>
  <c r="M795" i="1"/>
  <c r="M763" i="1"/>
  <c r="M675" i="1"/>
  <c r="M660" i="1"/>
  <c r="M659" i="1"/>
  <c r="I572" i="1"/>
  <c r="M572" i="1" s="1"/>
  <c r="O1244" i="1"/>
  <c r="N684" i="1"/>
  <c r="M556" i="1"/>
  <c r="M564" i="1"/>
  <c r="M604" i="1"/>
  <c r="N620" i="1"/>
  <c r="N636" i="1"/>
  <c r="M636" i="1"/>
  <c r="M839" i="1"/>
  <c r="M823" i="1"/>
  <c r="M807" i="1"/>
  <c r="M791" i="1"/>
  <c r="M775" i="1"/>
  <c r="M759" i="1"/>
  <c r="M751" i="1"/>
  <c r="M743" i="1"/>
  <c r="M735" i="1"/>
  <c r="M727" i="1"/>
  <c r="M673" i="1"/>
  <c r="N665" i="1"/>
  <c r="M649" i="1"/>
  <c r="M643" i="1"/>
  <c r="M635" i="1"/>
  <c r="N633" i="1"/>
  <c r="M619" i="1"/>
  <c r="N611" i="1"/>
  <c r="M609" i="1"/>
  <c r="N603" i="1"/>
  <c r="N587" i="1"/>
  <c r="M577" i="1"/>
  <c r="N703" i="1"/>
  <c r="M729" i="1"/>
  <c r="M737" i="1"/>
  <c r="M745" i="1"/>
  <c r="M753" i="1"/>
  <c r="M761" i="1"/>
  <c r="M769" i="1"/>
  <c r="M777" i="1"/>
  <c r="M785" i="1"/>
  <c r="N789" i="1"/>
  <c r="M793" i="1"/>
  <c r="N805" i="1"/>
  <c r="M809" i="1"/>
  <c r="N821" i="1"/>
  <c r="N833" i="1"/>
  <c r="M617" i="1"/>
  <c r="M585" i="1"/>
  <c r="M501" i="1"/>
  <c r="M485" i="1"/>
  <c r="N734" i="1"/>
  <c r="N766" i="1"/>
  <c r="N798" i="1"/>
  <c r="N814" i="1"/>
  <c r="M368" i="1"/>
  <c r="M384" i="1"/>
  <c r="M543" i="1"/>
  <c r="M559" i="1"/>
  <c r="M695" i="1"/>
  <c r="N679" i="1"/>
  <c r="M393" i="1"/>
  <c r="M397" i="1"/>
  <c r="M401" i="1"/>
  <c r="M405" i="1"/>
  <c r="M710" i="1"/>
  <c r="N440" i="1"/>
  <c r="N444" i="1"/>
  <c r="N448" i="1"/>
  <c r="N452" i="1"/>
  <c r="N456" i="1"/>
  <c r="N460" i="1"/>
  <c r="N464" i="1"/>
  <c r="N472" i="1"/>
  <c r="N476" i="1"/>
  <c r="N480" i="1"/>
  <c r="N484" i="1"/>
  <c r="M524" i="1"/>
  <c r="N843" i="1"/>
  <c r="N827" i="1"/>
  <c r="N811" i="1"/>
  <c r="N795" i="1"/>
  <c r="N779" i="1"/>
  <c r="N763" i="1"/>
  <c r="N755" i="1"/>
  <c r="N747" i="1"/>
  <c r="N739" i="1"/>
  <c r="N731" i="1"/>
  <c r="M628" i="1"/>
  <c r="O994" i="1"/>
  <c r="O996" i="1"/>
  <c r="O1013" i="1"/>
  <c r="O1014" i="1"/>
  <c r="O1015" i="1"/>
  <c r="O1016" i="1"/>
  <c r="O1022" i="1"/>
  <c r="O1023" i="1"/>
  <c r="O998" i="1"/>
  <c r="O995" i="1"/>
  <c r="M655" i="1"/>
  <c r="M647" i="1"/>
  <c r="N647" i="1"/>
  <c r="M639" i="1"/>
  <c r="N639" i="1"/>
  <c r="M599" i="1"/>
  <c r="N599" i="1"/>
  <c r="N595" i="1"/>
  <c r="N837" i="1"/>
  <c r="M837" i="1"/>
  <c r="M671" i="1"/>
  <c r="N671" i="1"/>
  <c r="M631" i="1"/>
  <c r="M615" i="1"/>
  <c r="N615" i="1"/>
  <c r="N591" i="1"/>
  <c r="N583" i="1"/>
  <c r="M583" i="1"/>
  <c r="N838" i="1"/>
  <c r="N707" i="1"/>
  <c r="M716" i="1"/>
  <c r="N700" i="1"/>
  <c r="M698" i="1"/>
  <c r="N588" i="1"/>
  <c r="I725" i="1"/>
  <c r="I709" i="1"/>
  <c r="I705" i="1"/>
  <c r="I689" i="1"/>
  <c r="N692" i="1"/>
  <c r="I668" i="1"/>
  <c r="M668" i="1" s="1"/>
  <c r="J618" i="1"/>
  <c r="M696" i="1"/>
  <c r="M680" i="1"/>
  <c r="N398" i="1"/>
  <c r="J562" i="1"/>
  <c r="J554" i="1"/>
  <c r="P1216" i="1"/>
  <c r="P1217" i="1"/>
  <c r="N311" i="1"/>
  <c r="N323" i="1"/>
  <c r="N339" i="1"/>
  <c r="N347" i="1"/>
  <c r="N355" i="1"/>
  <c r="M358" i="1"/>
  <c r="M354" i="1"/>
  <c r="M352" i="1"/>
  <c r="M348" i="1"/>
  <c r="M346" i="1"/>
  <c r="N344" i="1"/>
  <c r="M342" i="1"/>
  <c r="M338" i="1"/>
  <c r="N336" i="1"/>
  <c r="N332" i="1"/>
  <c r="M330" i="1"/>
  <c r="N328" i="1"/>
  <c r="M326" i="1"/>
  <c r="H1289" i="1"/>
  <c r="H1291" i="1" s="1"/>
  <c r="M532" i="1"/>
  <c r="N376" i="1"/>
  <c r="M387" i="1"/>
  <c r="M311" i="1"/>
  <c r="M323" i="1"/>
  <c r="N49" i="1"/>
  <c r="P1211" i="1"/>
  <c r="P1214" i="1"/>
  <c r="P1221" i="1"/>
  <c r="P1225" i="1"/>
  <c r="P1229" i="1"/>
  <c r="P1233" i="1"/>
  <c r="O1252" i="1"/>
  <c r="O1261" i="1"/>
  <c r="O1265" i="1"/>
  <c r="O1269" i="1"/>
  <c r="O1281" i="1"/>
  <c r="P1220" i="1"/>
  <c r="P1228" i="1"/>
  <c r="P1232" i="1"/>
  <c r="P1236" i="1"/>
  <c r="P1240" i="1"/>
  <c r="P1260" i="1"/>
  <c r="P1276" i="1"/>
  <c r="P1280" i="1"/>
  <c r="P1284" i="1"/>
  <c r="P1288" i="1"/>
  <c r="N830" i="1"/>
  <c r="N668" i="1"/>
  <c r="N675" i="1"/>
  <c r="N659" i="1"/>
  <c r="N643" i="1"/>
  <c r="N635" i="1"/>
  <c r="N619" i="1"/>
  <c r="M587" i="1"/>
  <c r="N720" i="1"/>
  <c r="N604" i="1"/>
  <c r="M611" i="1"/>
  <c r="M579" i="1"/>
  <c r="M603" i="1"/>
  <c r="N732" i="1"/>
  <c r="N698" i="1"/>
  <c r="M844" i="1"/>
  <c r="M700" i="1"/>
  <c r="N696" i="1"/>
  <c r="M588" i="1"/>
  <c r="J576" i="1"/>
  <c r="N563" i="1"/>
  <c r="M383" i="1"/>
  <c r="N387" i="1"/>
  <c r="M508" i="1"/>
  <c r="M391" i="1"/>
  <c r="M407" i="1"/>
  <c r="M438" i="1"/>
  <c r="M454" i="1"/>
  <c r="M462" i="1"/>
  <c r="M470" i="1"/>
  <c r="M376" i="1"/>
  <c r="M114" i="1"/>
  <c r="M158" i="1"/>
  <c r="M190" i="1"/>
  <c r="M222" i="1"/>
  <c r="N303" i="1"/>
  <c r="M106" i="1"/>
  <c r="I310" i="1"/>
  <c r="N310" i="1" s="1"/>
  <c r="I291" i="1"/>
  <c r="M291" i="1" s="1"/>
  <c r="I287" i="1"/>
  <c r="M287" i="1" s="1"/>
  <c r="I283" i="1"/>
  <c r="N283" i="1" s="1"/>
  <c r="I279" i="1"/>
  <c r="I275" i="1"/>
  <c r="N275" i="1" s="1"/>
  <c r="I115" i="1"/>
  <c r="M115" i="1" s="1"/>
  <c r="I111" i="1"/>
  <c r="I99" i="1"/>
  <c r="N99" i="1" s="1"/>
  <c r="J706" i="1"/>
  <c r="N706" i="1" s="1"/>
  <c r="J714" i="1"/>
  <c r="N714" i="1" s="1"/>
  <c r="M720" i="1"/>
  <c r="I92" i="1"/>
  <c r="N92" i="1" s="1"/>
  <c r="I76" i="1"/>
  <c r="M76" i="1" s="1"/>
  <c r="J75" i="1"/>
  <c r="P1031" i="1"/>
  <c r="M129" i="1"/>
  <c r="M688" i="1"/>
  <c r="N43" i="1"/>
  <c r="I586" i="1"/>
  <c r="N586" i="1" s="1"/>
  <c r="I498" i="1"/>
  <c r="I473" i="1"/>
  <c r="N473" i="1" s="1"/>
  <c r="I457" i="1"/>
  <c r="M457" i="1" s="1"/>
  <c r="I453" i="1"/>
  <c r="M453" i="1" s="1"/>
  <c r="I449" i="1"/>
  <c r="I441" i="1"/>
  <c r="N441" i="1" s="1"/>
  <c r="I437" i="1"/>
  <c r="I433" i="1"/>
  <c r="M433" i="1" s="1"/>
  <c r="I429" i="1"/>
  <c r="I425" i="1"/>
  <c r="M425" i="1" s="1"/>
  <c r="I421" i="1"/>
  <c r="I417" i="1"/>
  <c r="M417" i="1" s="1"/>
  <c r="I413" i="1"/>
  <c r="I409" i="1"/>
  <c r="M409" i="1" s="1"/>
  <c r="P911" i="1"/>
  <c r="P967" i="1"/>
  <c r="P972" i="1"/>
  <c r="N27" i="1"/>
  <c r="I676" i="1"/>
  <c r="M676" i="1" s="1"/>
  <c r="I656" i="1"/>
  <c r="M656" i="1" s="1"/>
  <c r="I592" i="1"/>
  <c r="N592" i="1" s="1"/>
  <c r="M848" i="1"/>
  <c r="M65" i="1"/>
  <c r="I650" i="1"/>
  <c r="N650" i="1" s="1"/>
  <c r="J270" i="1"/>
  <c r="N270" i="1" s="1"/>
  <c r="J94" i="1"/>
  <c r="N94" i="1" s="1"/>
  <c r="I90" i="1"/>
  <c r="I75" i="1"/>
  <c r="J72" i="1"/>
  <c r="I60" i="1"/>
  <c r="N60" i="1" s="1"/>
  <c r="P903" i="1"/>
  <c r="I314" i="1"/>
  <c r="M314" i="1" s="1"/>
  <c r="P1195" i="1"/>
  <c r="P1203" i="1"/>
  <c r="J677" i="1"/>
  <c r="M677" i="1" s="1"/>
  <c r="I293" i="1"/>
  <c r="I289" i="1"/>
  <c r="M289" i="1" s="1"/>
  <c r="I285" i="1"/>
  <c r="M285" i="1" s="1"/>
  <c r="I281" i="1"/>
  <c r="M281" i="1" s="1"/>
  <c r="I277" i="1"/>
  <c r="I273" i="1"/>
  <c r="M273" i="1" s="1"/>
  <c r="I55" i="1"/>
  <c r="J31" i="1"/>
  <c r="J686" i="1"/>
  <c r="J690" i="1"/>
  <c r="M690" i="1" s="1"/>
  <c r="J694" i="1"/>
  <c r="I722" i="1"/>
  <c r="P904" i="1"/>
  <c r="P908" i="1"/>
  <c r="P976" i="1"/>
  <c r="N394" i="1"/>
  <c r="I504" i="1"/>
  <c r="J487" i="1"/>
  <c r="N487" i="1" s="1"/>
  <c r="J131" i="1"/>
  <c r="M712" i="1"/>
  <c r="M25" i="1"/>
  <c r="M852" i="1"/>
  <c r="M33" i="1"/>
  <c r="M692" i="1"/>
  <c r="N47" i="1"/>
  <c r="M319" i="1"/>
  <c r="M128" i="1"/>
  <c r="J621" i="1"/>
  <c r="M621" i="1" s="1"/>
  <c r="J581" i="1"/>
  <c r="M581" i="1" s="1"/>
  <c r="J573" i="1"/>
  <c r="I461" i="1"/>
  <c r="M461" i="1" s="1"/>
  <c r="J292" i="1"/>
  <c r="M292" i="1" s="1"/>
  <c r="J288" i="1"/>
  <c r="N288" i="1" s="1"/>
  <c r="J284" i="1"/>
  <c r="M284" i="1" s="1"/>
  <c r="J280" i="1"/>
  <c r="M280" i="1" s="1"/>
  <c r="J276" i="1"/>
  <c r="N276" i="1" s="1"/>
  <c r="J272" i="1"/>
  <c r="M272" i="1" s="1"/>
  <c r="J264" i="1"/>
  <c r="N264" i="1" s="1"/>
  <c r="J255" i="1"/>
  <c r="M255" i="1" s="1"/>
  <c r="J247" i="1"/>
  <c r="I231" i="1"/>
  <c r="N231" i="1" s="1"/>
  <c r="I207" i="1"/>
  <c r="M207" i="1" s="1"/>
  <c r="J204" i="1"/>
  <c r="N204" i="1" s="1"/>
  <c r="I191" i="1"/>
  <c r="J180" i="1"/>
  <c r="N180" i="1" s="1"/>
  <c r="I93" i="1"/>
  <c r="N93" i="1" s="1"/>
  <c r="J59" i="1"/>
  <c r="I51" i="1"/>
  <c r="J849" i="1"/>
  <c r="N849" i="1" s="1"/>
  <c r="N291" i="1"/>
  <c r="O920" i="1"/>
  <c r="P924" i="1"/>
  <c r="P928" i="1"/>
  <c r="P936" i="1"/>
  <c r="P944" i="1"/>
  <c r="O968" i="1"/>
  <c r="P1036" i="1"/>
  <c r="P1040" i="1"/>
  <c r="P1044" i="1"/>
  <c r="P1048" i="1"/>
  <c r="P1052" i="1"/>
  <c r="P1056" i="1"/>
  <c r="P1060" i="1"/>
  <c r="P1064" i="1"/>
  <c r="P1068" i="1"/>
  <c r="P1072" i="1"/>
  <c r="P1076" i="1"/>
  <c r="P1080" i="1"/>
  <c r="P1084" i="1"/>
  <c r="P1088" i="1"/>
  <c r="P1092" i="1"/>
  <c r="P1096" i="1"/>
  <c r="P1100" i="1"/>
  <c r="P1104" i="1"/>
  <c r="P1108" i="1"/>
  <c r="P1112" i="1"/>
  <c r="P1116" i="1"/>
  <c r="P1120" i="1"/>
  <c r="P1124" i="1"/>
  <c r="P1128" i="1"/>
  <c r="P1132" i="1"/>
  <c r="P1136" i="1"/>
  <c r="P1140" i="1"/>
  <c r="P1144" i="1"/>
  <c r="P1148" i="1"/>
  <c r="P1152" i="1"/>
  <c r="P1156" i="1"/>
  <c r="P1160" i="1"/>
  <c r="P1164" i="1"/>
  <c r="P1168" i="1"/>
  <c r="P1172" i="1"/>
  <c r="P1176" i="1"/>
  <c r="P1180" i="1"/>
  <c r="P1184" i="1"/>
  <c r="P1188" i="1"/>
  <c r="P1192" i="1"/>
  <c r="P1204" i="1"/>
  <c r="N680" i="1"/>
  <c r="N716" i="1"/>
  <c r="M81" i="1"/>
  <c r="M684" i="1"/>
  <c r="N13" i="1"/>
  <c r="N403" i="1"/>
  <c r="M331" i="1"/>
  <c r="M339" i="1"/>
  <c r="M355" i="1"/>
  <c r="N361" i="1"/>
  <c r="N377" i="1"/>
  <c r="N839" i="1"/>
  <c r="N831" i="1"/>
  <c r="N823" i="1"/>
  <c r="N815" i="1"/>
  <c r="N807" i="1"/>
  <c r="N799" i="1"/>
  <c r="N791" i="1"/>
  <c r="N783" i="1"/>
  <c r="N775" i="1"/>
  <c r="N767" i="1"/>
  <c r="N759" i="1"/>
  <c r="N751" i="1"/>
  <c r="N743" i="1"/>
  <c r="N735" i="1"/>
  <c r="N727" i="1"/>
  <c r="M711" i="1"/>
  <c r="M492" i="1"/>
  <c r="J582" i="1"/>
  <c r="I570" i="1"/>
  <c r="N570" i="1" s="1"/>
  <c r="J566" i="1"/>
  <c r="I534" i="1"/>
  <c r="I294" i="1"/>
  <c r="N294" i="1" s="1"/>
  <c r="J290" i="1"/>
  <c r="N290" i="1" s="1"/>
  <c r="J286" i="1"/>
  <c r="M286" i="1" s="1"/>
  <c r="J282" i="1"/>
  <c r="N282" i="1" s="1"/>
  <c r="J278" i="1"/>
  <c r="M278" i="1" s="1"/>
  <c r="J274" i="1"/>
  <c r="M274" i="1" s="1"/>
  <c r="I95" i="1"/>
  <c r="N95" i="1" s="1"/>
  <c r="J724" i="1"/>
  <c r="N724" i="1" s="1"/>
  <c r="O856" i="1"/>
  <c r="P860" i="1"/>
  <c r="P864" i="1"/>
  <c r="P879" i="1"/>
  <c r="P880" i="1"/>
  <c r="P888" i="1"/>
  <c r="P892" i="1"/>
  <c r="P896" i="1"/>
  <c r="P947" i="1"/>
  <c r="P951" i="1"/>
  <c r="P959" i="1"/>
  <c r="P963" i="1"/>
  <c r="N292" i="1"/>
  <c r="N280" i="1"/>
  <c r="M92" i="1"/>
  <c r="N457" i="1"/>
  <c r="N46" i="1"/>
  <c r="J670" i="1"/>
  <c r="J662" i="1"/>
  <c r="J653" i="1"/>
  <c r="I640" i="1"/>
  <c r="M640" i="1" s="1"/>
  <c r="J637" i="1"/>
  <c r="I608" i="1"/>
  <c r="M608" i="1" s="1"/>
  <c r="J35" i="1"/>
  <c r="I31" i="1"/>
  <c r="N31" i="1" s="1"/>
  <c r="J15" i="1"/>
  <c r="J7" i="1"/>
  <c r="J48" i="1"/>
  <c r="N48" i="1" s="1"/>
  <c r="I681" i="1"/>
  <c r="N681" i="1" s="1"/>
  <c r="I721" i="1"/>
  <c r="M721" i="1" s="1"/>
  <c r="J722" i="1"/>
  <c r="P872" i="1"/>
  <c r="P876" i="1"/>
  <c r="O904" i="1"/>
  <c r="P943" i="1"/>
  <c r="P975" i="1"/>
  <c r="P979" i="1"/>
  <c r="P1019" i="1"/>
  <c r="P1201" i="1"/>
  <c r="P1245" i="1"/>
  <c r="N278" i="1"/>
  <c r="M718" i="1"/>
  <c r="M279" i="1"/>
  <c r="N726" i="1"/>
  <c r="I618" i="1"/>
  <c r="N618" i="1" s="1"/>
  <c r="J614" i="1"/>
  <c r="J606" i="1"/>
  <c r="I598" i="1"/>
  <c r="J557" i="1"/>
  <c r="M557" i="1" s="1"/>
  <c r="I550" i="1"/>
  <c r="J541" i="1"/>
  <c r="I538" i="1"/>
  <c r="M538" i="1" s="1"/>
  <c r="I528" i="1"/>
  <c r="N528" i="1" s="1"/>
  <c r="I477" i="1"/>
  <c r="M477" i="1" s="1"/>
  <c r="I451" i="1"/>
  <c r="M451" i="1" s="1"/>
  <c r="I298" i="1"/>
  <c r="M298" i="1" s="1"/>
  <c r="I143" i="1"/>
  <c r="M143" i="1" s="1"/>
  <c r="P1200" i="1"/>
  <c r="J261" i="1"/>
  <c r="J258" i="1"/>
  <c r="J257" i="1"/>
  <c r="I249" i="1"/>
  <c r="J237" i="1"/>
  <c r="J229" i="1"/>
  <c r="I213" i="1"/>
  <c r="N213" i="1" s="1"/>
  <c r="I201" i="1"/>
  <c r="M201" i="1" s="1"/>
  <c r="J197" i="1"/>
  <c r="I177" i="1"/>
  <c r="J173" i="1"/>
  <c r="I169" i="1"/>
  <c r="M169" i="1" s="1"/>
  <c r="J55" i="1"/>
  <c r="J51" i="1"/>
  <c r="M51" i="1" s="1"/>
  <c r="I35" i="1"/>
  <c r="I683" i="1"/>
  <c r="M683" i="1" s="1"/>
  <c r="I699" i="1"/>
  <c r="M699" i="1" s="1"/>
  <c r="I719" i="1"/>
  <c r="N719" i="1" s="1"/>
  <c r="J845" i="1"/>
  <c r="N845" i="1" s="1"/>
  <c r="P855" i="1"/>
  <c r="P863" i="1"/>
  <c r="P867" i="1"/>
  <c r="P883" i="1"/>
  <c r="P887" i="1"/>
  <c r="P895" i="1"/>
  <c r="P899" i="1"/>
  <c r="P919" i="1"/>
  <c r="P927" i="1"/>
  <c r="P931" i="1"/>
  <c r="P952" i="1"/>
  <c r="P956" i="1"/>
  <c r="P960" i="1"/>
  <c r="P1021" i="1"/>
  <c r="N844" i="1"/>
  <c r="N274" i="1"/>
  <c r="M283" i="1"/>
  <c r="M48" i="1"/>
  <c r="I672" i="1"/>
  <c r="N672" i="1" s="1"/>
  <c r="I630" i="1"/>
  <c r="I626" i="1"/>
  <c r="N626" i="1" s="1"/>
  <c r="J613" i="1"/>
  <c r="M613" i="1" s="1"/>
  <c r="I568" i="1"/>
  <c r="J526" i="1"/>
  <c r="I522" i="1"/>
  <c r="M522" i="1" s="1"/>
  <c r="J518" i="1"/>
  <c r="I506" i="1"/>
  <c r="M506" i="1" s="1"/>
  <c r="J503" i="1"/>
  <c r="M503" i="1" s="1"/>
  <c r="I436" i="1"/>
  <c r="N436" i="1" s="1"/>
  <c r="J432" i="1"/>
  <c r="N432" i="1" s="1"/>
  <c r="J428" i="1"/>
  <c r="N428" i="1" s="1"/>
  <c r="J424" i="1"/>
  <c r="N424" i="1" s="1"/>
  <c r="J420" i="1"/>
  <c r="J416" i="1"/>
  <c r="N416" i="1" s="1"/>
  <c r="J412" i="1"/>
  <c r="N412" i="1" s="1"/>
  <c r="J408" i="1"/>
  <c r="N408" i="1" s="1"/>
  <c r="J256" i="1"/>
  <c r="N256" i="1" s="1"/>
  <c r="J228" i="1"/>
  <c r="M228" i="1" s="1"/>
  <c r="J220" i="1"/>
  <c r="J188" i="1"/>
  <c r="M188" i="1" s="1"/>
  <c r="J140" i="1"/>
  <c r="M140" i="1" s="1"/>
  <c r="I131" i="1"/>
  <c r="M131" i="1" s="1"/>
  <c r="I59" i="1"/>
  <c r="O936" i="1"/>
  <c r="M592" i="1"/>
  <c r="N191" i="1"/>
  <c r="M191" i="1"/>
  <c r="M487" i="1"/>
  <c r="N169" i="1"/>
  <c r="I632" i="1"/>
  <c r="N632" i="1" s="1"/>
  <c r="J622" i="1"/>
  <c r="I614" i="1"/>
  <c r="M614" i="1" s="1"/>
  <c r="J605" i="1"/>
  <c r="I602" i="1"/>
  <c r="M602" i="1" s="1"/>
  <c r="I562" i="1"/>
  <c r="J549" i="1"/>
  <c r="I467" i="1"/>
  <c r="M467" i="1" s="1"/>
  <c r="N420" i="1"/>
  <c r="I304" i="1"/>
  <c r="M304" i="1" s="1"/>
  <c r="I296" i="1"/>
  <c r="M296" i="1" s="1"/>
  <c r="J268" i="1"/>
  <c r="N249" i="1"/>
  <c r="M177" i="1"/>
  <c r="I82" i="1"/>
  <c r="N82" i="1" s="1"/>
  <c r="J23" i="1"/>
  <c r="J846" i="1"/>
  <c r="M846" i="1" s="1"/>
  <c r="P869" i="1"/>
  <c r="P901" i="1"/>
  <c r="P915" i="1"/>
  <c r="P935" i="1"/>
  <c r="P983" i="1"/>
  <c r="P991" i="1"/>
  <c r="P1002" i="1"/>
  <c r="P1010" i="1"/>
  <c r="P1017" i="1"/>
  <c r="P1038" i="1"/>
  <c r="P1046" i="1"/>
  <c r="P1054" i="1"/>
  <c r="P1062" i="1"/>
  <c r="P1070" i="1"/>
  <c r="P1078" i="1"/>
  <c r="P1086" i="1"/>
  <c r="P1094" i="1"/>
  <c r="P1102" i="1"/>
  <c r="P1110" i="1"/>
  <c r="P1118" i="1"/>
  <c r="P1126" i="1"/>
  <c r="P1134" i="1"/>
  <c r="P1142" i="1"/>
  <c r="P1150" i="1"/>
  <c r="P1158" i="1"/>
  <c r="P1166" i="1"/>
  <c r="P1174" i="1"/>
  <c r="P1182" i="1"/>
  <c r="P1190" i="1"/>
  <c r="P1209" i="1"/>
  <c r="P1212" i="1"/>
  <c r="P1223" i="1"/>
  <c r="P1231" i="1"/>
  <c r="O1250" i="1"/>
  <c r="O1267" i="1"/>
  <c r="N852" i="1"/>
  <c r="M57" i="1"/>
  <c r="J669" i="1"/>
  <c r="I666" i="1"/>
  <c r="M666" i="1" s="1"/>
  <c r="I662" i="1"/>
  <c r="J646" i="1"/>
  <c r="I634" i="1"/>
  <c r="M634" i="1" s="1"/>
  <c r="J630" i="1"/>
  <c r="J590" i="1"/>
  <c r="I566" i="1"/>
  <c r="I560" i="1"/>
  <c r="M560" i="1" s="1"/>
  <c r="I544" i="1"/>
  <c r="N544" i="1" s="1"/>
  <c r="J534" i="1"/>
  <c r="M534" i="1" s="1"/>
  <c r="J525" i="1"/>
  <c r="J517" i="1"/>
  <c r="I512" i="1"/>
  <c r="N512" i="1" s="1"/>
  <c r="J509" i="1"/>
  <c r="J495" i="1"/>
  <c r="I488" i="1"/>
  <c r="I483" i="1"/>
  <c r="M483" i="1" s="1"/>
  <c r="I469" i="1"/>
  <c r="M469" i="1" s="1"/>
  <c r="I465" i="1"/>
  <c r="M465" i="1" s="1"/>
  <c r="I445" i="1"/>
  <c r="N445" i="1" s="1"/>
  <c r="I435" i="1"/>
  <c r="N435" i="1" s="1"/>
  <c r="I431" i="1"/>
  <c r="N431" i="1" s="1"/>
  <c r="I427" i="1"/>
  <c r="N427" i="1" s="1"/>
  <c r="I423" i="1"/>
  <c r="M423" i="1" s="1"/>
  <c r="I419" i="1"/>
  <c r="N419" i="1" s="1"/>
  <c r="I415" i="1"/>
  <c r="M415" i="1" s="1"/>
  <c r="I411" i="1"/>
  <c r="N411" i="1" s="1"/>
  <c r="I320" i="1"/>
  <c r="N320" i="1" s="1"/>
  <c r="I312" i="1"/>
  <c r="M312" i="1" s="1"/>
  <c r="I306" i="1"/>
  <c r="I302" i="1"/>
  <c r="J262" i="1"/>
  <c r="M262" i="1" s="1"/>
  <c r="J248" i="1"/>
  <c r="N248" i="1" s="1"/>
  <c r="I241" i="1"/>
  <c r="N241" i="1" s="1"/>
  <c r="I237" i="1"/>
  <c r="I225" i="1"/>
  <c r="M225" i="1" s="1"/>
  <c r="J221" i="1"/>
  <c r="I197" i="1"/>
  <c r="J189" i="1"/>
  <c r="J181" i="1"/>
  <c r="J172" i="1"/>
  <c r="J164" i="1"/>
  <c r="J156" i="1"/>
  <c r="J148" i="1"/>
  <c r="I135" i="1"/>
  <c r="J126" i="1"/>
  <c r="N126" i="1" s="1"/>
  <c r="I109" i="1"/>
  <c r="I101" i="1"/>
  <c r="I97" i="1"/>
  <c r="I84" i="1"/>
  <c r="N84" i="1" s="1"/>
  <c r="N35" i="1"/>
  <c r="J32" i="1"/>
  <c r="I18" i="1"/>
  <c r="P871" i="1"/>
  <c r="O872" i="1"/>
  <c r="P940" i="1"/>
  <c r="P968" i="1"/>
  <c r="P1028" i="1"/>
  <c r="P1230" i="1"/>
  <c r="P1234" i="1"/>
  <c r="P1238" i="1"/>
  <c r="P1242" i="1"/>
  <c r="O1249" i="1"/>
  <c r="O1258" i="1"/>
  <c r="P1262" i="1"/>
  <c r="P1266" i="1"/>
  <c r="O1274" i="1"/>
  <c r="O1278" i="1"/>
  <c r="N161" i="1"/>
  <c r="P854" i="1"/>
  <c r="J654" i="1"/>
  <c r="I624" i="1"/>
  <c r="M624" i="1" s="1"/>
  <c r="J598" i="1"/>
  <c r="M598" i="1" s="1"/>
  <c r="J589" i="1"/>
  <c r="I576" i="1"/>
  <c r="I554" i="1"/>
  <c r="J550" i="1"/>
  <c r="I490" i="1"/>
  <c r="M490" i="1" s="1"/>
  <c r="I481" i="1"/>
  <c r="N481" i="1" s="1"/>
  <c r="J434" i="1"/>
  <c r="N434" i="1" s="1"/>
  <c r="J430" i="1"/>
  <c r="M430" i="1" s="1"/>
  <c r="J426" i="1"/>
  <c r="M426" i="1" s="1"/>
  <c r="J422" i="1"/>
  <c r="M422" i="1" s="1"/>
  <c r="J418" i="1"/>
  <c r="M418" i="1" s="1"/>
  <c r="J414" i="1"/>
  <c r="M414" i="1" s="1"/>
  <c r="J410" i="1"/>
  <c r="M410" i="1" s="1"/>
  <c r="I322" i="1"/>
  <c r="I318" i="1"/>
  <c r="M270" i="1"/>
  <c r="N143" i="1"/>
  <c r="I117" i="1"/>
  <c r="I107" i="1"/>
  <c r="M107" i="1" s="1"/>
  <c r="I103" i="1"/>
  <c r="N103" i="1" s="1"/>
  <c r="J87" i="1"/>
  <c r="J79" i="1"/>
  <c r="I26" i="1"/>
  <c r="N26" i="1" s="1"/>
  <c r="I10" i="1"/>
  <c r="N10" i="1" s="1"/>
  <c r="P1206" i="1"/>
  <c r="O1277" i="1"/>
  <c r="M73" i="1"/>
  <c r="N296" i="1"/>
  <c r="N721" i="1"/>
  <c r="J269" i="1"/>
  <c r="J266" i="1"/>
  <c r="M266" i="1" s="1"/>
  <c r="J265" i="1"/>
  <c r="J260" i="1"/>
  <c r="I239" i="1"/>
  <c r="I233" i="1"/>
  <c r="I199" i="1"/>
  <c r="I193" i="1"/>
  <c r="M193" i="1" s="1"/>
  <c r="I183" i="1"/>
  <c r="I165" i="1"/>
  <c r="J157" i="1"/>
  <c r="I149" i="1"/>
  <c r="J123" i="1"/>
  <c r="I119" i="1"/>
  <c r="N119" i="1" s="1"/>
  <c r="N111" i="1"/>
  <c r="J71" i="1"/>
  <c r="M71" i="1" s="1"/>
  <c r="I68" i="1"/>
  <c r="I67" i="1"/>
  <c r="J63" i="1"/>
  <c r="J56" i="1"/>
  <c r="J40" i="1"/>
  <c r="I20" i="1"/>
  <c r="M20" i="1" s="1"/>
  <c r="I12" i="1"/>
  <c r="N12" i="1" s="1"/>
  <c r="I701" i="1"/>
  <c r="N701" i="1" s="1"/>
  <c r="I713" i="1"/>
  <c r="N713" i="1" s="1"/>
  <c r="I717" i="1"/>
  <c r="M717" i="1" s="1"/>
  <c r="J853" i="1"/>
  <c r="M853" i="1" s="1"/>
  <c r="P912" i="1"/>
  <c r="P933" i="1"/>
  <c r="P965" i="1"/>
  <c r="O984" i="1"/>
  <c r="P988" i="1"/>
  <c r="P992" i="1"/>
  <c r="P1003" i="1"/>
  <c r="P1007" i="1"/>
  <c r="P1011" i="1"/>
  <c r="N453" i="1"/>
  <c r="N449" i="1"/>
  <c r="M449" i="1"/>
  <c r="M714" i="1"/>
  <c r="M435" i="1"/>
  <c r="M241" i="1"/>
  <c r="N608" i="1"/>
  <c r="N461" i="1"/>
  <c r="N414" i="1"/>
  <c r="N247" i="1"/>
  <c r="M247" i="1"/>
  <c r="M672" i="1"/>
  <c r="M662" i="1"/>
  <c r="M550" i="1"/>
  <c r="N477" i="1"/>
  <c r="M437" i="1"/>
  <c r="N437" i="1"/>
  <c r="N433" i="1"/>
  <c r="M429" i="1"/>
  <c r="N429" i="1"/>
  <c r="M421" i="1"/>
  <c r="N421" i="1"/>
  <c r="N417" i="1"/>
  <c r="M413" i="1"/>
  <c r="N413" i="1"/>
  <c r="M13" i="1"/>
  <c r="M89" i="1"/>
  <c r="N18" i="1"/>
  <c r="N90" i="1"/>
  <c r="N108" i="1"/>
  <c r="N116" i="1"/>
  <c r="N124" i="1"/>
  <c r="M251" i="1"/>
  <c r="N513" i="1"/>
  <c r="N532" i="1"/>
  <c r="N545" i="1"/>
  <c r="N564" i="1"/>
  <c r="N577" i="1"/>
  <c r="N596" i="1"/>
  <c r="N609" i="1"/>
  <c r="N628" i="1"/>
  <c r="N641" i="1"/>
  <c r="N660" i="1"/>
  <c r="N673" i="1"/>
  <c r="M27" i="1"/>
  <c r="M137" i="1"/>
  <c r="M185" i="1"/>
  <c r="M217" i="1"/>
  <c r="N498" i="1"/>
  <c r="I664" i="1"/>
  <c r="N664" i="1" s="1"/>
  <c r="I658" i="1"/>
  <c r="N658" i="1" s="1"/>
  <c r="J645" i="1"/>
  <c r="I600" i="1"/>
  <c r="N600" i="1" s="1"/>
  <c r="I594" i="1"/>
  <c r="N594" i="1" s="1"/>
  <c r="I536" i="1"/>
  <c r="I530" i="1"/>
  <c r="I496" i="1"/>
  <c r="I475" i="1"/>
  <c r="I459" i="1"/>
  <c r="N459" i="1" s="1"/>
  <c r="I443" i="1"/>
  <c r="N443" i="1" s="1"/>
  <c r="I324" i="1"/>
  <c r="N324" i="1" s="1"/>
  <c r="I308" i="1"/>
  <c r="M308" i="1" s="1"/>
  <c r="J267" i="1"/>
  <c r="J259" i="1"/>
  <c r="J252" i="1"/>
  <c r="J236" i="1"/>
  <c r="J205" i="1"/>
  <c r="I167" i="1"/>
  <c r="J165" i="1"/>
  <c r="I157" i="1"/>
  <c r="I151" i="1"/>
  <c r="J149" i="1"/>
  <c r="I145" i="1"/>
  <c r="M145" i="1" s="1"/>
  <c r="J127" i="1"/>
  <c r="N127" i="1" s="1"/>
  <c r="I113" i="1"/>
  <c r="J98" i="1"/>
  <c r="J88" i="1"/>
  <c r="J83" i="1"/>
  <c r="I72" i="1"/>
  <c r="J67" i="1"/>
  <c r="I56" i="1"/>
  <c r="I52" i="1"/>
  <c r="I32" i="1"/>
  <c r="I28" i="1"/>
  <c r="J16" i="1"/>
  <c r="J11" i="1"/>
  <c r="J41" i="1"/>
  <c r="J45" i="1"/>
  <c r="M45" i="1" s="1"/>
  <c r="J678" i="1"/>
  <c r="J704" i="1"/>
  <c r="M704" i="1" s="1"/>
  <c r="J851" i="1"/>
  <c r="P856" i="1"/>
  <c r="P885" i="1"/>
  <c r="O888" i="1"/>
  <c r="P920" i="1"/>
  <c r="P949" i="1"/>
  <c r="O952" i="1"/>
  <c r="P984" i="1"/>
  <c r="P1000" i="1"/>
  <c r="O1003" i="1"/>
  <c r="P1035" i="1"/>
  <c r="P1051" i="1"/>
  <c r="P1067" i="1"/>
  <c r="P1083" i="1"/>
  <c r="P1099" i="1"/>
  <c r="P1115" i="1"/>
  <c r="P1131" i="1"/>
  <c r="P1147" i="1"/>
  <c r="P1163" i="1"/>
  <c r="P1179" i="1"/>
  <c r="P1198" i="1"/>
  <c r="P1219" i="1"/>
  <c r="P1222" i="1"/>
  <c r="P1226" i="1"/>
  <c r="P1239" i="1"/>
  <c r="P1258" i="1"/>
  <c r="P1272" i="1"/>
  <c r="P1274" i="1"/>
  <c r="P1278" i="1"/>
  <c r="O1283" i="1"/>
  <c r="P994" i="1"/>
  <c r="M21" i="1"/>
  <c r="N848" i="1"/>
  <c r="M9" i="1"/>
  <c r="M49" i="1"/>
  <c r="N17" i="1"/>
  <c r="M119" i="1"/>
  <c r="N138" i="1"/>
  <c r="N146" i="1"/>
  <c r="N162" i="1"/>
  <c r="N178" i="1"/>
  <c r="N186" i="1"/>
  <c r="N194" i="1"/>
  <c r="N202" i="1"/>
  <c r="N210" i="1"/>
  <c r="N710" i="1"/>
  <c r="M412" i="1"/>
  <c r="M420" i="1"/>
  <c r="M428" i="1"/>
  <c r="N326" i="1"/>
  <c r="N330" i="1"/>
  <c r="N338" i="1"/>
  <c r="N342" i="1"/>
  <c r="N346" i="1"/>
  <c r="N354" i="1"/>
  <c r="N358" i="1"/>
  <c r="N366" i="1"/>
  <c r="N374" i="1"/>
  <c r="M390" i="1"/>
  <c r="M394" i="1"/>
  <c r="M398" i="1"/>
  <c r="M406" i="1"/>
  <c r="N171" i="1"/>
  <c r="N235" i="1"/>
  <c r="N242" i="1"/>
  <c r="M365" i="1"/>
  <c r="M381" i="1"/>
  <c r="M436" i="1"/>
  <c r="M444" i="1"/>
  <c r="M452" i="1"/>
  <c r="M460" i="1"/>
  <c r="M468" i="1"/>
  <c r="M476" i="1"/>
  <c r="M484" i="1"/>
  <c r="M845" i="1"/>
  <c r="N840" i="1"/>
  <c r="N832" i="1"/>
  <c r="N808" i="1"/>
  <c r="N800" i="1"/>
  <c r="N776" i="1"/>
  <c r="N768" i="1"/>
  <c r="N744" i="1"/>
  <c r="N736" i="1"/>
  <c r="M726" i="1"/>
  <c r="I674" i="1"/>
  <c r="J661" i="1"/>
  <c r="I646" i="1"/>
  <c r="J638" i="1"/>
  <c r="I616" i="1"/>
  <c r="I610" i="1"/>
  <c r="J597" i="1"/>
  <c r="I582" i="1"/>
  <c r="J574" i="1"/>
  <c r="I552" i="1"/>
  <c r="I546" i="1"/>
  <c r="J533" i="1"/>
  <c r="I518" i="1"/>
  <c r="J510" i="1"/>
  <c r="I494" i="1"/>
  <c r="I479" i="1"/>
  <c r="M479" i="1" s="1"/>
  <c r="I463" i="1"/>
  <c r="N463" i="1" s="1"/>
  <c r="I447" i="1"/>
  <c r="M447" i="1" s="1"/>
  <c r="N51" i="1"/>
  <c r="P1282" i="1"/>
  <c r="P1286" i="1"/>
  <c r="N258" i="1"/>
  <c r="M708" i="1"/>
  <c r="M12" i="1"/>
  <c r="N104" i="1"/>
  <c r="N112" i="1"/>
  <c r="N120" i="1"/>
  <c r="M249" i="1"/>
  <c r="N506" i="1"/>
  <c r="N516" i="1"/>
  <c r="N529" i="1"/>
  <c r="N548" i="1"/>
  <c r="N561" i="1"/>
  <c r="N580" i="1"/>
  <c r="N593" i="1"/>
  <c r="N612" i="1"/>
  <c r="N625" i="1"/>
  <c r="N634" i="1"/>
  <c r="N644" i="1"/>
  <c r="N657" i="1"/>
  <c r="N676" i="1"/>
  <c r="N490" i="1"/>
  <c r="N677" i="1"/>
  <c r="N568" i="1"/>
  <c r="I316" i="1"/>
  <c r="N316" i="1" s="1"/>
  <c r="I300" i="1"/>
  <c r="M300" i="1" s="1"/>
  <c r="J271" i="1"/>
  <c r="J263" i="1"/>
  <c r="J244" i="1"/>
  <c r="I209" i="1"/>
  <c r="M209" i="1" s="1"/>
  <c r="J196" i="1"/>
  <c r="I159" i="1"/>
  <c r="J141" i="1"/>
  <c r="I121" i="1"/>
  <c r="I105" i="1"/>
  <c r="I100" i="1"/>
  <c r="M100" i="1" s="1"/>
  <c r="J91" i="1"/>
  <c r="J80" i="1"/>
  <c r="I74" i="1"/>
  <c r="N74" i="1" s="1"/>
  <c r="J64" i="1"/>
  <c r="I58" i="1"/>
  <c r="N58" i="1" s="1"/>
  <c r="J39" i="1"/>
  <c r="I34" i="1"/>
  <c r="N34" i="1" s="1"/>
  <c r="J24" i="1"/>
  <c r="J19" i="1"/>
  <c r="J8" i="1"/>
  <c r="I685" i="1"/>
  <c r="N685" i="1" s="1"/>
  <c r="I693" i="1"/>
  <c r="I697" i="1"/>
  <c r="N697" i="1" s="1"/>
  <c r="J702" i="1"/>
  <c r="P917" i="1"/>
  <c r="P981" i="1"/>
  <c r="P997" i="1"/>
  <c r="P1043" i="1"/>
  <c r="P1059" i="1"/>
  <c r="P1075" i="1"/>
  <c r="P1091" i="1"/>
  <c r="P1107" i="1"/>
  <c r="P1123" i="1"/>
  <c r="P1139" i="1"/>
  <c r="P1155" i="1"/>
  <c r="P1171" i="1"/>
  <c r="P1187" i="1"/>
  <c r="P1193" i="1"/>
  <c r="P1196" i="1"/>
  <c r="P1208" i="1"/>
  <c r="P1224" i="1"/>
  <c r="P1237" i="1"/>
  <c r="P1241" i="1"/>
  <c r="P1247" i="1"/>
  <c r="P1253" i="1"/>
  <c r="P1270" i="1"/>
  <c r="O1282" i="1"/>
  <c r="O1285" i="1"/>
  <c r="M111" i="1"/>
  <c r="N134" i="1"/>
  <c r="N142" i="1"/>
  <c r="N158" i="1"/>
  <c r="N166" i="1"/>
  <c r="N190" i="1"/>
  <c r="N198" i="1"/>
  <c r="N206" i="1"/>
  <c r="N214" i="1"/>
  <c r="N222" i="1"/>
  <c r="N230" i="1"/>
  <c r="N238" i="1"/>
  <c r="N308" i="1"/>
  <c r="M416" i="1"/>
  <c r="M328" i="1"/>
  <c r="M332" i="1"/>
  <c r="M336" i="1"/>
  <c r="M344" i="1"/>
  <c r="N348" i="1"/>
  <c r="N352" i="1"/>
  <c r="N362" i="1"/>
  <c r="N370" i="1"/>
  <c r="N378" i="1"/>
  <c r="M392" i="1"/>
  <c r="M396" i="1"/>
  <c r="M400" i="1"/>
  <c r="M404" i="1"/>
  <c r="N155" i="1"/>
  <c r="N177" i="1"/>
  <c r="N219" i="1"/>
  <c r="N245" i="1"/>
  <c r="N357" i="1"/>
  <c r="M373" i="1"/>
  <c r="M440" i="1"/>
  <c r="M448" i="1"/>
  <c r="M456" i="1"/>
  <c r="M464" i="1"/>
  <c r="M472" i="1"/>
  <c r="M480" i="1"/>
  <c r="M834" i="1"/>
  <c r="M818" i="1"/>
  <c r="M810" i="1"/>
  <c r="M786" i="1"/>
  <c r="M778" i="1"/>
  <c r="M754" i="1"/>
  <c r="M746" i="1"/>
  <c r="M738" i="1"/>
  <c r="M687" i="1"/>
  <c r="I648" i="1"/>
  <c r="I642" i="1"/>
  <c r="J629" i="1"/>
  <c r="I584" i="1"/>
  <c r="I578" i="1"/>
  <c r="J565" i="1"/>
  <c r="I520" i="1"/>
  <c r="I514" i="1"/>
  <c r="I502" i="1"/>
  <c r="I486" i="1"/>
  <c r="I471" i="1"/>
  <c r="N471" i="1" s="1"/>
  <c r="I455" i="1"/>
  <c r="N455" i="1" s="1"/>
  <c r="I439" i="1"/>
  <c r="N439" i="1" s="1"/>
  <c r="O1256" i="1"/>
  <c r="P1255" i="1"/>
  <c r="P1256" i="1"/>
  <c r="O1024" i="1"/>
  <c r="P1022" i="1"/>
  <c r="P1023" i="1"/>
  <c r="P1024" i="1"/>
  <c r="P1013" i="1"/>
  <c r="P1014" i="1"/>
  <c r="P1015" i="1"/>
  <c r="P1016" i="1"/>
  <c r="D1293" i="1"/>
  <c r="L1293" i="1"/>
  <c r="P998" i="1"/>
  <c r="F1293" i="1"/>
  <c r="P996" i="1"/>
  <c r="P995" i="1"/>
  <c r="N29" i="1"/>
  <c r="M29" i="1"/>
  <c r="N61" i="1"/>
  <c r="M61" i="1"/>
  <c r="N69" i="1"/>
  <c r="M69" i="1"/>
  <c r="N85" i="1"/>
  <c r="M85" i="1"/>
  <c r="M812" i="1"/>
  <c r="N812" i="1"/>
  <c r="M780" i="1"/>
  <c r="N780" i="1"/>
  <c r="M748" i="1"/>
  <c r="N748" i="1"/>
  <c r="N479" i="1"/>
  <c r="N829" i="1"/>
  <c r="M829" i="1"/>
  <c r="N813" i="1"/>
  <c r="M813" i="1"/>
  <c r="N797" i="1"/>
  <c r="M797" i="1"/>
  <c r="N781" i="1"/>
  <c r="M781" i="1"/>
  <c r="N765" i="1"/>
  <c r="M765" i="1"/>
  <c r="M500" i="1"/>
  <c r="N500" i="1"/>
  <c r="N23" i="1"/>
  <c r="M23" i="1"/>
  <c r="N37" i="1"/>
  <c r="M37" i="1"/>
  <c r="N53" i="1"/>
  <c r="M53" i="1"/>
  <c r="N77" i="1"/>
  <c r="M77" i="1"/>
  <c r="M820" i="1"/>
  <c r="N820" i="1"/>
  <c r="M788" i="1"/>
  <c r="N788" i="1"/>
  <c r="M756" i="1"/>
  <c r="N756" i="1"/>
  <c r="N451" i="1"/>
  <c r="N467" i="1"/>
  <c r="M475" i="1"/>
  <c r="N475" i="1"/>
  <c r="N483" i="1"/>
  <c r="N835" i="1"/>
  <c r="M835" i="1"/>
  <c r="N819" i="1"/>
  <c r="M819" i="1"/>
  <c r="N803" i="1"/>
  <c r="M803" i="1"/>
  <c r="N787" i="1"/>
  <c r="M787" i="1"/>
  <c r="N771" i="1"/>
  <c r="M771" i="1"/>
  <c r="N273" i="1"/>
  <c r="M277" i="1"/>
  <c r="N277" i="1"/>
  <c r="N281" i="1"/>
  <c r="N289" i="1"/>
  <c r="M293" i="1"/>
  <c r="N293" i="1"/>
  <c r="M297" i="1"/>
  <c r="N297" i="1"/>
  <c r="M301" i="1"/>
  <c r="N301" i="1"/>
  <c r="M305" i="1"/>
  <c r="N305" i="1"/>
  <c r="M309" i="1"/>
  <c r="N309" i="1"/>
  <c r="M313" i="1"/>
  <c r="N313" i="1"/>
  <c r="M317" i="1"/>
  <c r="N317" i="1"/>
  <c r="M321" i="1"/>
  <c r="N321" i="1"/>
  <c r="M325" i="1"/>
  <c r="N325" i="1"/>
  <c r="M329" i="1"/>
  <c r="N329" i="1"/>
  <c r="M333" i="1"/>
  <c r="N333" i="1"/>
  <c r="M337" i="1"/>
  <c r="N337" i="1"/>
  <c r="M341" i="1"/>
  <c r="N341" i="1"/>
  <c r="M345" i="1"/>
  <c r="N345" i="1"/>
  <c r="M349" i="1"/>
  <c r="N349" i="1"/>
  <c r="M353" i="1"/>
  <c r="N353" i="1"/>
  <c r="N44" i="1"/>
  <c r="M44" i="1"/>
  <c r="N30" i="1"/>
  <c r="N38" i="1"/>
  <c r="N54" i="1"/>
  <c r="N70" i="1"/>
  <c r="N78" i="1"/>
  <c r="N86" i="1"/>
  <c r="N50" i="1"/>
  <c r="M43" i="1"/>
  <c r="N688" i="1"/>
  <c r="M210" i="1"/>
  <c r="M202" i="1"/>
  <c r="M194" i="1"/>
  <c r="M186" i="1"/>
  <c r="M178" i="1"/>
  <c r="M162" i="1"/>
  <c r="M146" i="1"/>
  <c r="M138" i="1"/>
  <c r="N715" i="1"/>
  <c r="N828" i="1"/>
  <c r="N764" i="1"/>
  <c r="M90" i="1"/>
  <c r="M82" i="1"/>
  <c r="M74" i="1"/>
  <c r="M66" i="1"/>
  <c r="M50" i="1"/>
  <c r="M34" i="1"/>
  <c r="M26" i="1"/>
  <c r="M18" i="1"/>
  <c r="M10" i="1"/>
  <c r="N45" i="1"/>
  <c r="M703" i="1"/>
  <c r="M290" i="1"/>
  <c r="M282" i="1"/>
  <c r="M258" i="1"/>
  <c r="M253" i="1"/>
  <c r="M132" i="1"/>
  <c r="M120" i="1"/>
  <c r="M116" i="1"/>
  <c r="M112" i="1"/>
  <c r="M108" i="1"/>
  <c r="M104" i="1"/>
  <c r="N217" i="1"/>
  <c r="N137" i="1"/>
  <c r="M821" i="1"/>
  <c r="M161" i="1"/>
  <c r="N20" i="1"/>
  <c r="N846" i="1"/>
  <c r="N279" i="1"/>
  <c r="M516" i="1"/>
  <c r="M548" i="1"/>
  <c r="M568" i="1"/>
  <c r="M664" i="1"/>
  <c r="M626" i="1"/>
  <c r="M658" i="1"/>
  <c r="M498" i="1"/>
  <c r="M130" i="1"/>
  <c r="M389" i="1"/>
  <c r="J542" i="1"/>
  <c r="I542" i="1"/>
  <c r="M719" i="1"/>
  <c r="J558" i="1"/>
  <c r="I558" i="1"/>
  <c r="I670" i="1"/>
  <c r="I654" i="1"/>
  <c r="I638" i="1"/>
  <c r="I622" i="1"/>
  <c r="I606" i="1"/>
  <c r="I590" i="1"/>
  <c r="I574" i="1"/>
  <c r="I526" i="1"/>
  <c r="I510" i="1"/>
  <c r="I271" i="1"/>
  <c r="I269" i="1"/>
  <c r="I267" i="1"/>
  <c r="I265" i="1"/>
  <c r="I263" i="1"/>
  <c r="I261" i="1"/>
  <c r="I259" i="1"/>
  <c r="I257" i="1"/>
  <c r="I252" i="1"/>
  <c r="I244" i="1"/>
  <c r="I229" i="1"/>
  <c r="I221" i="1"/>
  <c r="I205" i="1"/>
  <c r="I189" i="1"/>
  <c r="I181" i="1"/>
  <c r="I173" i="1"/>
  <c r="I141" i="1"/>
  <c r="I123" i="1"/>
  <c r="I88" i="1"/>
  <c r="I87" i="1"/>
  <c r="I83" i="1"/>
  <c r="I80" i="1"/>
  <c r="I64" i="1"/>
  <c r="I63" i="1"/>
  <c r="I40" i="1"/>
  <c r="I39" i="1"/>
  <c r="I24" i="1"/>
  <c r="I16" i="1"/>
  <c r="I15" i="1"/>
  <c r="I8" i="1"/>
  <c r="I7" i="1"/>
  <c r="I41" i="1"/>
  <c r="I686" i="1"/>
  <c r="I702" i="1"/>
  <c r="O1253" i="1"/>
  <c r="O1270" i="1"/>
  <c r="O1286" i="1"/>
  <c r="M701" i="1" l="1"/>
  <c r="M618" i="1"/>
  <c r="M154" i="1"/>
  <c r="M218" i="1"/>
  <c r="N285" i="1"/>
  <c r="M730" i="1"/>
  <c r="M762" i="1"/>
  <c r="M794" i="1"/>
  <c r="M826" i="1"/>
  <c r="N386" i="1"/>
  <c r="N356" i="1"/>
  <c r="N340" i="1"/>
  <c r="N246" i="1"/>
  <c r="N5" i="1"/>
  <c r="N203" i="1"/>
  <c r="M402" i="1"/>
  <c r="N234" i="1"/>
  <c r="N170" i="1"/>
  <c r="N422" i="1"/>
  <c r="M427" i="1"/>
  <c r="N207" i="1"/>
  <c r="M570" i="1"/>
  <c r="M275" i="1"/>
  <c r="M399" i="1"/>
  <c r="N371" i="1"/>
  <c r="N572" i="1"/>
  <c r="N651" i="1"/>
  <c r="M351" i="1"/>
  <c r="N607" i="1"/>
  <c r="N623" i="1"/>
  <c r="M773" i="1"/>
  <c r="N663" i="1"/>
  <c r="M551" i="1"/>
  <c r="M825" i="1"/>
  <c r="M757" i="1"/>
  <c r="M741" i="1"/>
  <c r="M627" i="1"/>
  <c r="N363" i="1"/>
  <c r="N822" i="1"/>
  <c r="N535" i="1"/>
  <c r="M806" i="1"/>
  <c r="N806" i="1"/>
  <c r="N749" i="1"/>
  <c r="N122" i="1"/>
  <c r="M150" i="1"/>
  <c r="N462" i="1"/>
  <c r="N478" i="1"/>
  <c r="M519" i="1"/>
  <c r="N778" i="1"/>
  <c r="M335" i="1"/>
  <c r="M366" i="1"/>
  <c r="N407" i="1"/>
  <c r="M539" i="1"/>
  <c r="M734" i="1"/>
  <c r="N223" i="1"/>
  <c r="M242" i="1"/>
  <c r="N299" i="1"/>
  <c r="M327" i="1"/>
  <c r="M442" i="1"/>
  <c r="N458" i="1"/>
  <c r="N482" i="1"/>
  <c r="M195" i="1"/>
  <c r="M770" i="1"/>
  <c r="M802" i="1"/>
  <c r="N187" i="1"/>
  <c r="N182" i="1"/>
  <c r="N350" i="1"/>
  <c r="N334" i="1"/>
  <c r="N226" i="1"/>
  <c r="N71" i="1"/>
  <c r="N76" i="1"/>
  <c r="M60" i="1"/>
  <c r="N22" i="1"/>
  <c r="M473" i="1"/>
  <c r="N395" i="1"/>
  <c r="M446" i="1"/>
  <c r="N375" i="1"/>
  <c r="M682" i="1"/>
  <c r="M801" i="1"/>
  <c r="M243" i="1"/>
  <c r="N110" i="1"/>
  <c r="N359" i="1"/>
  <c r="M359" i="1"/>
  <c r="N499" i="1"/>
  <c r="M499" i="1"/>
  <c r="M742" i="1"/>
  <c r="N742" i="1"/>
  <c r="N491" i="1"/>
  <c r="M491" i="1"/>
  <c r="M227" i="1"/>
  <c r="M163" i="1"/>
  <c r="M847" i="1"/>
  <c r="N447" i="1"/>
  <c r="M842" i="1"/>
  <c r="N174" i="1"/>
  <c r="N266" i="1"/>
  <c r="N139" i="1"/>
  <c r="N640" i="1"/>
  <c r="M554" i="1"/>
  <c r="M31" i="1"/>
  <c r="N667" i="1"/>
  <c r="M315" i="1"/>
  <c r="N850" i="1"/>
  <c r="N841" i="1"/>
  <c r="M817" i="1"/>
  <c r="M733" i="1"/>
  <c r="M567" i="1"/>
  <c r="N750" i="1"/>
  <c r="N343" i="1"/>
  <c r="M374" i="1"/>
  <c r="N450" i="1"/>
  <c r="N474" i="1"/>
  <c r="M211" i="1"/>
  <c r="N211" i="1"/>
  <c r="M782" i="1"/>
  <c r="M766" i="1"/>
  <c r="N66" i="1"/>
  <c r="M175" i="1"/>
  <c r="M198" i="1"/>
  <c r="N367" i="1"/>
  <c r="N406" i="1"/>
  <c r="M507" i="1"/>
  <c r="M758" i="1"/>
  <c r="M62" i="1"/>
  <c r="M215" i="1"/>
  <c r="M295" i="1"/>
  <c r="M303" i="1"/>
  <c r="M382" i="1"/>
  <c r="N147" i="1"/>
  <c r="H1293" i="1"/>
  <c r="N554" i="1"/>
  <c r="M84" i="1"/>
  <c r="N415" i="1"/>
  <c r="M431" i="1"/>
  <c r="N469" i="1"/>
  <c r="M288" i="1"/>
  <c r="N662" i="1"/>
  <c r="N557" i="1"/>
  <c r="M705" i="1"/>
  <c r="N705" i="1"/>
  <c r="N725" i="1"/>
  <c r="M725" i="1"/>
  <c r="M594" i="1"/>
  <c r="M689" i="1"/>
  <c r="N689" i="1"/>
  <c r="M709" i="1"/>
  <c r="N709" i="1"/>
  <c r="M681" i="1"/>
  <c r="M600" i="1"/>
  <c r="N690" i="1"/>
  <c r="M459" i="1"/>
  <c r="M463" i="1"/>
  <c r="M432" i="1"/>
  <c r="N409" i="1"/>
  <c r="N425" i="1"/>
  <c r="N410" i="1"/>
  <c r="N418" i="1"/>
  <c r="M434" i="1"/>
  <c r="N560" i="1"/>
  <c r="N614" i="1"/>
  <c r="N566" i="1"/>
  <c r="M630" i="1"/>
  <c r="M706" i="1"/>
  <c r="M528" i="1"/>
  <c r="N550" i="1"/>
  <c r="M650" i="1"/>
  <c r="M586" i="1"/>
  <c r="M632" i="1"/>
  <c r="M424" i="1"/>
  <c r="M408" i="1"/>
  <c r="N613" i="1"/>
  <c r="N699" i="1"/>
  <c r="N602" i="1"/>
  <c r="N538" i="1"/>
  <c r="N581" i="1"/>
  <c r="M713" i="1"/>
  <c r="N430" i="1"/>
  <c r="M481" i="1"/>
  <c r="M419" i="1"/>
  <c r="M512" i="1"/>
  <c r="M544" i="1"/>
  <c r="M566" i="1"/>
  <c r="M849" i="1"/>
  <c r="M441" i="1"/>
  <c r="M722" i="1"/>
  <c r="N287" i="1"/>
  <c r="N115" i="1"/>
  <c r="M103" i="1"/>
  <c r="M126" i="1"/>
  <c r="N314" i="1"/>
  <c r="M180" i="1"/>
  <c r="M59" i="1"/>
  <c r="M94" i="1"/>
  <c r="M294" i="1"/>
  <c r="N272" i="1"/>
  <c r="M99" i="1"/>
  <c r="N55" i="1"/>
  <c r="P1289" i="1"/>
  <c r="N666" i="1"/>
  <c r="M685" i="1"/>
  <c r="N598" i="1"/>
  <c r="N683" i="1"/>
  <c r="N630" i="1"/>
  <c r="N576" i="1"/>
  <c r="N722" i="1"/>
  <c r="M724" i="1"/>
  <c r="N656" i="1"/>
  <c r="N621" i="1"/>
  <c r="M576" i="1"/>
  <c r="M411" i="1"/>
  <c r="N423" i="1"/>
  <c r="N534" i="1"/>
  <c r="N465" i="1"/>
  <c r="N522" i="1"/>
  <c r="M310" i="1"/>
  <c r="N262" i="1"/>
  <c r="N201" i="1"/>
  <c r="N188" i="1"/>
  <c r="N304" i="1"/>
  <c r="M264" i="1"/>
  <c r="M55" i="1"/>
  <c r="N286" i="1"/>
  <c r="M276" i="1"/>
  <c r="N107" i="1"/>
  <c r="M58" i="1"/>
  <c r="N165" i="1"/>
  <c r="N255" i="1"/>
  <c r="N298" i="1"/>
  <c r="M231" i="1"/>
  <c r="N284" i="1"/>
  <c r="M439" i="1"/>
  <c r="M67" i="1"/>
  <c r="N149" i="1"/>
  <c r="N717" i="1"/>
  <c r="N426" i="1"/>
  <c r="N624" i="1"/>
  <c r="M445" i="1"/>
  <c r="M213" i="1"/>
  <c r="M93" i="1"/>
  <c r="M455" i="1"/>
  <c r="N59" i="1"/>
  <c r="N228" i="1"/>
  <c r="M95" i="1"/>
  <c r="J1289" i="1"/>
  <c r="J1291" i="1" s="1"/>
  <c r="N131" i="1"/>
  <c r="N504" i="1"/>
  <c r="M504" i="1"/>
  <c r="N694" i="1"/>
  <c r="M694" i="1"/>
  <c r="N75" i="1"/>
  <c r="M75" i="1"/>
  <c r="N503" i="1"/>
  <c r="M204" i="1"/>
  <c r="M471" i="1"/>
  <c r="M248" i="1"/>
  <c r="N140" i="1"/>
  <c r="M256" i="1"/>
  <c r="M35" i="1"/>
  <c r="M573" i="1"/>
  <c r="N573" i="1"/>
  <c r="M220" i="1"/>
  <c r="N220" i="1"/>
  <c r="M541" i="1"/>
  <c r="N541" i="1"/>
  <c r="M653" i="1"/>
  <c r="N653" i="1"/>
  <c r="M127" i="1"/>
  <c r="N853" i="1"/>
  <c r="N704" i="1"/>
  <c r="N637" i="1"/>
  <c r="M637" i="1"/>
  <c r="N68" i="1"/>
  <c r="M68" i="1"/>
  <c r="N183" i="1"/>
  <c r="M183" i="1"/>
  <c r="M239" i="1"/>
  <c r="N239" i="1"/>
  <c r="N318" i="1"/>
  <c r="M318" i="1"/>
  <c r="M97" i="1"/>
  <c r="N97" i="1"/>
  <c r="M135" i="1"/>
  <c r="N135" i="1"/>
  <c r="N172" i="1"/>
  <c r="M172" i="1"/>
  <c r="O1289" i="1"/>
  <c r="M697" i="1"/>
  <c r="M443" i="1"/>
  <c r="N209" i="1"/>
  <c r="N145" i="1"/>
  <c r="N225" i="1"/>
  <c r="N312" i="1"/>
  <c r="M320" i="1"/>
  <c r="M233" i="1"/>
  <c r="N233" i="1"/>
  <c r="N164" i="1"/>
  <c r="M164" i="1"/>
  <c r="N197" i="1"/>
  <c r="M197" i="1"/>
  <c r="N306" i="1"/>
  <c r="M306" i="1"/>
  <c r="N509" i="1"/>
  <c r="M509" i="1"/>
  <c r="N562" i="1"/>
  <c r="M562" i="1"/>
  <c r="N193" i="1"/>
  <c r="N199" i="1"/>
  <c r="M199" i="1"/>
  <c r="M79" i="1"/>
  <c r="N79" i="1"/>
  <c r="M117" i="1"/>
  <c r="N117" i="1"/>
  <c r="M589" i="1"/>
  <c r="N589" i="1"/>
  <c r="M109" i="1"/>
  <c r="N109" i="1"/>
  <c r="M156" i="1"/>
  <c r="N156" i="1"/>
  <c r="M237" i="1"/>
  <c r="N237" i="1"/>
  <c r="M302" i="1"/>
  <c r="N302" i="1"/>
  <c r="M495" i="1"/>
  <c r="N495" i="1"/>
  <c r="N525" i="1"/>
  <c r="M525" i="1"/>
  <c r="N268" i="1"/>
  <c r="M268" i="1"/>
  <c r="M549" i="1"/>
  <c r="N549" i="1"/>
  <c r="N605" i="1"/>
  <c r="M605" i="1"/>
  <c r="N260" i="1"/>
  <c r="M260" i="1"/>
  <c r="M322" i="1"/>
  <c r="N322" i="1"/>
  <c r="M101" i="1"/>
  <c r="N101" i="1"/>
  <c r="M148" i="1"/>
  <c r="N148" i="1"/>
  <c r="N488" i="1"/>
  <c r="M488" i="1"/>
  <c r="M517" i="1"/>
  <c r="N517" i="1"/>
  <c r="M669" i="1"/>
  <c r="N669" i="1"/>
  <c r="M514" i="1"/>
  <c r="N514" i="1"/>
  <c r="N502" i="1"/>
  <c r="M502" i="1"/>
  <c r="N578" i="1"/>
  <c r="M578" i="1"/>
  <c r="N648" i="1"/>
  <c r="M648" i="1"/>
  <c r="M105" i="1"/>
  <c r="N105" i="1"/>
  <c r="M196" i="1"/>
  <c r="N196" i="1"/>
  <c r="M494" i="1"/>
  <c r="N494" i="1"/>
  <c r="N546" i="1"/>
  <c r="M546" i="1"/>
  <c r="M597" i="1"/>
  <c r="N597" i="1"/>
  <c r="M646" i="1"/>
  <c r="N646" i="1"/>
  <c r="M11" i="1"/>
  <c r="N11" i="1"/>
  <c r="M52" i="1"/>
  <c r="N52" i="1"/>
  <c r="M157" i="1"/>
  <c r="N157" i="1"/>
  <c r="M236" i="1"/>
  <c r="N236" i="1"/>
  <c r="M324" i="1"/>
  <c r="N300" i="1"/>
  <c r="N67" i="1"/>
  <c r="M149" i="1"/>
  <c r="N486" i="1"/>
  <c r="M486" i="1"/>
  <c r="M565" i="1"/>
  <c r="N565" i="1"/>
  <c r="N642" i="1"/>
  <c r="M642" i="1"/>
  <c r="N693" i="1"/>
  <c r="M693" i="1"/>
  <c r="M159" i="1"/>
  <c r="N159" i="1"/>
  <c r="M533" i="1"/>
  <c r="N533" i="1"/>
  <c r="M582" i="1"/>
  <c r="N582" i="1"/>
  <c r="M851" i="1"/>
  <c r="N851" i="1"/>
  <c r="N32" i="1"/>
  <c r="M32" i="1"/>
  <c r="N72" i="1"/>
  <c r="M72" i="1"/>
  <c r="N113" i="1"/>
  <c r="M113" i="1"/>
  <c r="N151" i="1"/>
  <c r="M151" i="1"/>
  <c r="M536" i="1"/>
  <c r="N536" i="1"/>
  <c r="N645" i="1"/>
  <c r="M645" i="1"/>
  <c r="M316" i="1"/>
  <c r="N520" i="1"/>
  <c r="M520" i="1"/>
  <c r="M629" i="1"/>
  <c r="N629" i="1"/>
  <c r="M19" i="1"/>
  <c r="N19" i="1"/>
  <c r="N91" i="1"/>
  <c r="M91" i="1"/>
  <c r="N518" i="1"/>
  <c r="M518" i="1"/>
  <c r="N616" i="1"/>
  <c r="M616" i="1"/>
  <c r="N674" i="1"/>
  <c r="M674" i="1"/>
  <c r="M28" i="1"/>
  <c r="N28" i="1"/>
  <c r="M98" i="1"/>
  <c r="N98" i="1"/>
  <c r="M167" i="1"/>
  <c r="N167" i="1"/>
  <c r="M530" i="1"/>
  <c r="N530" i="1"/>
  <c r="M165" i="1"/>
  <c r="N584" i="1"/>
  <c r="M584" i="1"/>
  <c r="M121" i="1"/>
  <c r="N121" i="1"/>
  <c r="M552" i="1"/>
  <c r="N552" i="1"/>
  <c r="N610" i="1"/>
  <c r="M610" i="1"/>
  <c r="M661" i="1"/>
  <c r="N661" i="1"/>
  <c r="N678" i="1"/>
  <c r="M678" i="1"/>
  <c r="N56" i="1"/>
  <c r="M56" i="1"/>
  <c r="N496" i="1"/>
  <c r="M496" i="1"/>
  <c r="N100" i="1"/>
  <c r="M686" i="1"/>
  <c r="N686" i="1"/>
  <c r="N7" i="1"/>
  <c r="M7" i="1"/>
  <c r="I1289" i="1"/>
  <c r="I1291" i="1" s="1"/>
  <c r="N15" i="1"/>
  <c r="M15" i="1"/>
  <c r="N24" i="1"/>
  <c r="M24" i="1"/>
  <c r="N40" i="1"/>
  <c r="M40" i="1"/>
  <c r="N64" i="1"/>
  <c r="M64" i="1"/>
  <c r="N83" i="1"/>
  <c r="M83" i="1"/>
  <c r="N88" i="1"/>
  <c r="M88" i="1"/>
  <c r="M141" i="1"/>
  <c r="N141" i="1"/>
  <c r="M181" i="1"/>
  <c r="N181" i="1"/>
  <c r="M205" i="1"/>
  <c r="N205" i="1"/>
  <c r="M229" i="1"/>
  <c r="N229" i="1"/>
  <c r="N252" i="1"/>
  <c r="M252" i="1"/>
  <c r="M259" i="1"/>
  <c r="N259" i="1"/>
  <c r="M263" i="1"/>
  <c r="N263" i="1"/>
  <c r="M267" i="1"/>
  <c r="N267" i="1"/>
  <c r="M271" i="1"/>
  <c r="N271" i="1"/>
  <c r="N526" i="1"/>
  <c r="M526" i="1"/>
  <c r="N590" i="1"/>
  <c r="M590" i="1"/>
  <c r="N622" i="1"/>
  <c r="M622" i="1"/>
  <c r="N654" i="1"/>
  <c r="M654" i="1"/>
  <c r="N558" i="1"/>
  <c r="M558" i="1"/>
  <c r="N542" i="1"/>
  <c r="M542" i="1"/>
  <c r="M702" i="1"/>
  <c r="N702" i="1"/>
  <c r="M41" i="1"/>
  <c r="N41" i="1"/>
  <c r="N8" i="1"/>
  <c r="M8" i="1"/>
  <c r="N16" i="1"/>
  <c r="M16" i="1"/>
  <c r="N39" i="1"/>
  <c r="M39" i="1"/>
  <c r="N63" i="1"/>
  <c r="M63" i="1"/>
  <c r="N80" i="1"/>
  <c r="M80" i="1"/>
  <c r="N87" i="1"/>
  <c r="M87" i="1"/>
  <c r="N123" i="1"/>
  <c r="M123" i="1"/>
  <c r="M173" i="1"/>
  <c r="N173" i="1"/>
  <c r="M189" i="1"/>
  <c r="N189" i="1"/>
  <c r="M221" i="1"/>
  <c r="N221" i="1"/>
  <c r="N244" i="1"/>
  <c r="M244" i="1"/>
  <c r="M257" i="1"/>
  <c r="N257" i="1"/>
  <c r="M261" i="1"/>
  <c r="N261" i="1"/>
  <c r="M265" i="1"/>
  <c r="N265" i="1"/>
  <c r="M269" i="1"/>
  <c r="N269" i="1"/>
  <c r="N510" i="1"/>
  <c r="M510" i="1"/>
  <c r="N574" i="1"/>
  <c r="M574" i="1"/>
  <c r="N606" i="1"/>
  <c r="M606" i="1"/>
  <c r="N638" i="1"/>
  <c r="M638" i="1"/>
  <c r="N670" i="1"/>
  <c r="M670" i="1"/>
  <c r="O1290" i="1" l="1"/>
  <c r="O1291" i="1" s="1"/>
  <c r="P1290" i="1"/>
  <c r="P1291" i="1" s="1"/>
  <c r="J1293" i="1"/>
  <c r="M1289" i="1"/>
  <c r="N1289" i="1"/>
  <c r="P1293" i="1" l="1"/>
  <c r="N1290" i="1"/>
  <c r="N1291" i="1" s="1"/>
  <c r="M1290" i="1"/>
  <c r="M1291" i="1" s="1"/>
  <c r="N1293" i="1" l="1"/>
</calcChain>
</file>

<file path=xl/sharedStrings.xml><?xml version="1.0" encoding="utf-8"?>
<sst xmlns="http://schemas.openxmlformats.org/spreadsheetml/2006/main" count="2594" uniqueCount="2588">
  <si>
    <t>774</t>
  </si>
  <si>
    <t>775. Descuentos obtenidos por pronto pago</t>
  </si>
  <si>
    <t>781. Cargas cubiertas por provisiones</t>
  </si>
  <si>
    <t>281</t>
  </si>
  <si>
    <t>284</t>
  </si>
  <si>
    <t>285</t>
  </si>
  <si>
    <t>286</t>
  </si>
  <si>
    <t>2911</t>
  </si>
  <si>
    <t>2912</t>
  </si>
  <si>
    <t>2914</t>
  </si>
  <si>
    <t>2918</t>
  </si>
  <si>
    <t>2921</t>
  </si>
  <si>
    <t>2922</t>
  </si>
  <si>
    <t>2923</t>
  </si>
  <si>
    <t>2924</t>
  </si>
  <si>
    <t>2925</t>
  </si>
  <si>
    <t>2927</t>
  </si>
  <si>
    <t>2928</t>
  </si>
  <si>
    <t>2931</t>
  </si>
  <si>
    <t>2932</t>
  </si>
  <si>
    <t>2941</t>
  </si>
  <si>
    <t>2942</t>
  </si>
  <si>
    <t>2943</t>
  </si>
  <si>
    <t>2944</t>
  </si>
  <si>
    <t>2945</t>
  </si>
  <si>
    <t>2947</t>
  </si>
  <si>
    <t>2948</t>
  </si>
  <si>
    <t>2951</t>
  </si>
  <si>
    <t>2952</t>
  </si>
  <si>
    <t>2953</t>
  </si>
  <si>
    <t>2954</t>
  </si>
  <si>
    <t>2961</t>
  </si>
  <si>
    <t>2962</t>
  </si>
  <si>
    <t>2963</t>
  </si>
  <si>
    <t>2971</t>
  </si>
  <si>
    <t>2972</t>
  </si>
  <si>
    <t>2981</t>
  </si>
  <si>
    <t>2982</t>
  </si>
  <si>
    <t>2983</t>
  </si>
  <si>
    <t>2984</t>
  </si>
  <si>
    <t>30111</t>
  </si>
  <si>
    <t>30112</t>
  </si>
  <si>
    <t>30113</t>
  </si>
  <si>
    <t>30114</t>
  </si>
  <si>
    <t>3021</t>
  </si>
  <si>
    <t>30231</t>
  </si>
  <si>
    <t>30232</t>
  </si>
  <si>
    <t>30241</t>
  </si>
  <si>
    <t>30242</t>
  </si>
  <si>
    <t>31111</t>
  </si>
  <si>
    <t>31112</t>
  </si>
  <si>
    <t>31113</t>
  </si>
  <si>
    <t>31121</t>
  </si>
  <si>
    <t>31122</t>
  </si>
  <si>
    <t>31123</t>
  </si>
  <si>
    <t>31211</t>
  </si>
  <si>
    <t>31212</t>
  </si>
  <si>
    <t>31213</t>
  </si>
  <si>
    <t>31214</t>
  </si>
  <si>
    <t>3211</t>
  </si>
  <si>
    <t>3212</t>
  </si>
  <si>
    <t>3221</t>
  </si>
  <si>
    <t>3222</t>
  </si>
  <si>
    <t>3223</t>
  </si>
  <si>
    <t>3224</t>
  </si>
  <si>
    <t>3225</t>
  </si>
  <si>
    <t>3226</t>
  </si>
  <si>
    <t>3227</t>
  </si>
  <si>
    <t>33111</t>
  </si>
  <si>
    <t>33112</t>
  </si>
  <si>
    <t>33211</t>
  </si>
  <si>
    <t>33212</t>
  </si>
  <si>
    <t>33213</t>
  </si>
  <si>
    <t>33221</t>
  </si>
  <si>
    <t>33222</t>
  </si>
  <si>
    <t>33223</t>
  </si>
  <si>
    <t>33231</t>
  </si>
  <si>
    <t>33232</t>
  </si>
  <si>
    <t>33233</t>
  </si>
  <si>
    <t>33241</t>
  </si>
  <si>
    <t>33242</t>
  </si>
  <si>
    <t>33243</t>
  </si>
  <si>
    <t>33311</t>
  </si>
  <si>
    <t>33312</t>
  </si>
  <si>
    <t>33313</t>
  </si>
  <si>
    <t>33411</t>
  </si>
  <si>
    <t>33412</t>
  </si>
  <si>
    <t>33421</t>
  </si>
  <si>
    <t>33422</t>
  </si>
  <si>
    <t>33511</t>
  </si>
  <si>
    <t>33512</t>
  </si>
  <si>
    <t>33521</t>
  </si>
  <si>
    <t>33522</t>
  </si>
  <si>
    <t>33611</t>
  </si>
  <si>
    <t>33612</t>
  </si>
  <si>
    <t>33621</t>
  </si>
  <si>
    <t>33622</t>
  </si>
  <si>
    <t>33631</t>
  </si>
  <si>
    <t>33632</t>
  </si>
  <si>
    <t>33691</t>
  </si>
  <si>
    <t>33692</t>
  </si>
  <si>
    <t>33711</t>
  </si>
  <si>
    <t>33712</t>
  </si>
  <si>
    <t>33721</t>
  </si>
  <si>
    <t>33722</t>
  </si>
  <si>
    <t>3381</t>
  </si>
  <si>
    <t>3382</t>
  </si>
  <si>
    <t>3383</t>
  </si>
  <si>
    <t>3386</t>
  </si>
  <si>
    <t>3387</t>
  </si>
  <si>
    <t>3391</t>
  </si>
  <si>
    <t>3392</t>
  </si>
  <si>
    <t>3393</t>
  </si>
  <si>
    <t>3394</t>
  </si>
  <si>
    <t>33971</t>
  </si>
  <si>
    <t>33981</t>
  </si>
  <si>
    <t>33982</t>
  </si>
  <si>
    <t>34111</t>
  </si>
  <si>
    <t>34112</t>
  </si>
  <si>
    <t>34121</t>
  </si>
  <si>
    <t>34122</t>
  </si>
  <si>
    <t>34191</t>
  </si>
  <si>
    <t>34192</t>
  </si>
  <si>
    <t>34211</t>
  </si>
  <si>
    <t>34212</t>
  </si>
  <si>
    <t>34221</t>
  </si>
  <si>
    <t>34222</t>
  </si>
  <si>
    <t>34311</t>
  </si>
  <si>
    <t>34312</t>
  </si>
  <si>
    <t>34411</t>
  </si>
  <si>
    <t>34421</t>
  </si>
  <si>
    <t>34511</t>
  </si>
  <si>
    <t>34512</t>
  </si>
  <si>
    <t>34521</t>
  </si>
  <si>
    <t>34522</t>
  </si>
  <si>
    <t>3399. Construcciones y obras en curso - Otros activos en curso</t>
  </si>
  <si>
    <t>39212</t>
  </si>
  <si>
    <t>39213</t>
  </si>
  <si>
    <t>39214</t>
  </si>
  <si>
    <t>39215</t>
  </si>
  <si>
    <t>39219</t>
  </si>
  <si>
    <t>39221</t>
  </si>
  <si>
    <t>39222</t>
  </si>
  <si>
    <t>39223</t>
  </si>
  <si>
    <t>39225</t>
  </si>
  <si>
    <t>39229</t>
  </si>
  <si>
    <t>3931</t>
  </si>
  <si>
    <t>40111</t>
  </si>
  <si>
    <t>40112</t>
  </si>
  <si>
    <t>40113</t>
  </si>
  <si>
    <t>40114</t>
  </si>
  <si>
    <t>4012</t>
  </si>
  <si>
    <t>40151</t>
  </si>
  <si>
    <t>40152</t>
  </si>
  <si>
    <t>40171</t>
  </si>
  <si>
    <t>40172</t>
  </si>
  <si>
    <t>40173</t>
  </si>
  <si>
    <t>40174</t>
  </si>
  <si>
    <t>40181</t>
  </si>
  <si>
    <t>40182</t>
  </si>
  <si>
    <t>40183</t>
  </si>
  <si>
    <t>40184</t>
  </si>
  <si>
    <t>40185</t>
  </si>
  <si>
    <t>402</t>
  </si>
  <si>
    <t>4031</t>
  </si>
  <si>
    <t>4032</t>
  </si>
  <si>
    <t>4033</t>
  </si>
  <si>
    <t>4034</t>
  </si>
  <si>
    <t>4039</t>
  </si>
  <si>
    <t>405</t>
  </si>
  <si>
    <t>40611</t>
  </si>
  <si>
    <t>40612</t>
  </si>
  <si>
    <t>40613</t>
  </si>
  <si>
    <t>40614</t>
  </si>
  <si>
    <t>40615</t>
  </si>
  <si>
    <t>40616</t>
  </si>
  <si>
    <t>4062</t>
  </si>
  <si>
    <t>40631</t>
  </si>
  <si>
    <t>40632</t>
  </si>
  <si>
    <t>40633</t>
  </si>
  <si>
    <t>40634</t>
  </si>
  <si>
    <t>40635</t>
  </si>
  <si>
    <t>407</t>
  </si>
  <si>
    <t>4081</t>
  </si>
  <si>
    <t>4082</t>
  </si>
  <si>
    <t>4111</t>
  </si>
  <si>
    <t>4112</t>
  </si>
  <si>
    <t>4113</t>
  </si>
  <si>
    <t>4114</t>
  </si>
  <si>
    <t>4115</t>
  </si>
  <si>
    <t>413</t>
  </si>
  <si>
    <t>4151</t>
  </si>
  <si>
    <t>4152</t>
  </si>
  <si>
    <t>4153</t>
  </si>
  <si>
    <t>419</t>
  </si>
  <si>
    <t>4211</t>
  </si>
  <si>
    <t>4212</t>
  </si>
  <si>
    <t>422</t>
  </si>
  <si>
    <t>423</t>
  </si>
  <si>
    <t>424</t>
  </si>
  <si>
    <t>4411</t>
  </si>
  <si>
    <t>4412</t>
  </si>
  <si>
    <t>4419</t>
  </si>
  <si>
    <t>4421</t>
  </si>
  <si>
    <t>4429</t>
  </si>
  <si>
    <t>443</t>
  </si>
  <si>
    <t>4511</t>
  </si>
  <si>
    <t>4512</t>
  </si>
  <si>
    <t>452</t>
  </si>
  <si>
    <t>4541</t>
  </si>
  <si>
    <t>4542</t>
  </si>
  <si>
    <t>4543</t>
  </si>
  <si>
    <t>4544</t>
  </si>
  <si>
    <t>4545</t>
  </si>
  <si>
    <t>4549</t>
  </si>
  <si>
    <t>45511</t>
  </si>
  <si>
    <t>45512</t>
  </si>
  <si>
    <t>4552</t>
  </si>
  <si>
    <t>45531</t>
  </si>
  <si>
    <t>101. Caja</t>
  </si>
  <si>
    <t>419. Otras remuneraciones y participaciones por pagar</t>
  </si>
  <si>
    <t>589. Otras reservas</t>
  </si>
  <si>
    <t>633. Producción encargada a terceros</t>
  </si>
  <si>
    <t>642</t>
  </si>
  <si>
    <t>651. Seguros</t>
  </si>
  <si>
    <t>652. Regalías</t>
  </si>
  <si>
    <t>675. Descuentos concedidos por pronto pago</t>
  </si>
  <si>
    <t>752. Comisiones y corretajes</t>
  </si>
  <si>
    <t>753. Regalías</t>
  </si>
  <si>
    <t>7599</t>
  </si>
  <si>
    <t>651</t>
  </si>
  <si>
    <t>652</t>
  </si>
  <si>
    <t>653</t>
  </si>
  <si>
    <t>654</t>
  </si>
  <si>
    <t>65511</t>
  </si>
  <si>
    <t>65512</t>
  </si>
  <si>
    <t>65513</t>
  </si>
  <si>
    <t>65514</t>
  </si>
  <si>
    <t>65515</t>
  </si>
  <si>
    <t>656</t>
  </si>
  <si>
    <t>658</t>
  </si>
  <si>
    <t>6591</t>
  </si>
  <si>
    <t>6598</t>
  </si>
  <si>
    <t>6598.  Rei Negativo</t>
  </si>
  <si>
    <t>6611</t>
  </si>
  <si>
    <t>6612</t>
  </si>
  <si>
    <t>6621</t>
  </si>
  <si>
    <t>6622</t>
  </si>
  <si>
    <t>6711</t>
  </si>
  <si>
    <t>6712</t>
  </si>
  <si>
    <t>6713</t>
  </si>
  <si>
    <t>6714</t>
  </si>
  <si>
    <t>672</t>
  </si>
  <si>
    <t>67311</t>
  </si>
  <si>
    <t>6732</t>
  </si>
  <si>
    <t>6733</t>
  </si>
  <si>
    <t>6734</t>
  </si>
  <si>
    <t>6735</t>
  </si>
  <si>
    <t>6736</t>
  </si>
  <si>
    <t>675</t>
  </si>
  <si>
    <t>676</t>
  </si>
  <si>
    <t>6791</t>
  </si>
  <si>
    <t>6792</t>
  </si>
  <si>
    <t>68111</t>
  </si>
  <si>
    <t>68112</t>
  </si>
  <si>
    <t>68113</t>
  </si>
  <si>
    <t>68121</t>
  </si>
  <si>
    <t>68131</t>
  </si>
  <si>
    <t>68132</t>
  </si>
  <si>
    <t>68133</t>
  </si>
  <si>
    <t>68134</t>
  </si>
  <si>
    <t>68141</t>
  </si>
  <si>
    <t>68142</t>
  </si>
  <si>
    <t>68143</t>
  </si>
  <si>
    <t>68144</t>
  </si>
  <si>
    <t>68145</t>
  </si>
  <si>
    <t>68146</t>
  </si>
  <si>
    <t>68151</t>
  </si>
  <si>
    <t>68152</t>
  </si>
  <si>
    <t>68153</t>
  </si>
  <si>
    <t>68154</t>
  </si>
  <si>
    <t>68155</t>
  </si>
  <si>
    <t>CUENTAS</t>
  </si>
  <si>
    <t>SALDOS INICIALES</t>
  </si>
  <si>
    <t>MOVIMIENTO DEL EJERCICIO</t>
  </si>
  <si>
    <t>SUMAS DEL MAYOR</t>
  </si>
  <si>
    <t>TRANSFERENCIAS Y CANCELACIONES</t>
  </si>
  <si>
    <t>CUENTAS DE BALANCE</t>
  </si>
  <si>
    <t>RESULTADOS POR NATURALEZA</t>
  </si>
  <si>
    <t>DEBE</t>
  </si>
  <si>
    <t>HABER</t>
  </si>
  <si>
    <t>DEUDOR</t>
  </si>
  <si>
    <t>ACREEDOR</t>
  </si>
  <si>
    <t>ACTIVO</t>
  </si>
  <si>
    <t>PASIVO</t>
  </si>
  <si>
    <t>PÉRDIDAS</t>
  </si>
  <si>
    <t>GANANCIAS</t>
  </si>
  <si>
    <t>0111</t>
  </si>
  <si>
    <t>0112</t>
  </si>
  <si>
    <t>0121</t>
  </si>
  <si>
    <t>0122</t>
  </si>
  <si>
    <t>0123</t>
  </si>
  <si>
    <t>0124</t>
  </si>
  <si>
    <t>0125</t>
  </si>
  <si>
    <t>0126</t>
  </si>
  <si>
    <t>0127</t>
  </si>
  <si>
    <t>0128</t>
  </si>
  <si>
    <t>013</t>
  </si>
  <si>
    <t>0311</t>
  </si>
  <si>
    <t>0312</t>
  </si>
  <si>
    <t>0321</t>
  </si>
  <si>
    <t>0322</t>
  </si>
  <si>
    <t>039</t>
  </si>
  <si>
    <t>04</t>
  </si>
  <si>
    <t>0611</t>
  </si>
  <si>
    <t>0612</t>
  </si>
  <si>
    <t>0621</t>
  </si>
  <si>
    <t>0622</t>
  </si>
  <si>
    <t>0623</t>
  </si>
  <si>
    <t>0624</t>
  </si>
  <si>
    <t>0625</t>
  </si>
  <si>
    <t>0626</t>
  </si>
  <si>
    <t>0627</t>
  </si>
  <si>
    <t>0628</t>
  </si>
  <si>
    <t>063</t>
  </si>
  <si>
    <t>089</t>
  </si>
  <si>
    <t>09</t>
  </si>
  <si>
    <t>101</t>
  </si>
  <si>
    <t>102</t>
  </si>
  <si>
    <t>103</t>
  </si>
  <si>
    <t>1041</t>
  </si>
  <si>
    <t>1042</t>
  </si>
  <si>
    <t>1051</t>
  </si>
  <si>
    <t>1061</t>
  </si>
  <si>
    <t>1062</t>
  </si>
  <si>
    <t>1071</t>
  </si>
  <si>
    <t>1211</t>
  </si>
  <si>
    <t>1212</t>
  </si>
  <si>
    <t>1213</t>
  </si>
  <si>
    <t>1214</t>
  </si>
  <si>
    <t>122</t>
  </si>
  <si>
    <t>1231</t>
  </si>
  <si>
    <t>1232</t>
  </si>
  <si>
    <t>1233</t>
  </si>
  <si>
    <t>13111</t>
  </si>
  <si>
    <t>13112</t>
  </si>
  <si>
    <t>13113</t>
  </si>
  <si>
    <t>13114</t>
  </si>
  <si>
    <t>13121</t>
  </si>
  <si>
    <t>13122</t>
  </si>
  <si>
    <t>13123</t>
  </si>
  <si>
    <t>13124</t>
  </si>
  <si>
    <t>13131</t>
  </si>
  <si>
    <t>13132</t>
  </si>
  <si>
    <t>13133</t>
  </si>
  <si>
    <t>13134</t>
  </si>
  <si>
    <t>13141</t>
  </si>
  <si>
    <t>13142</t>
  </si>
  <si>
    <t>13143</t>
  </si>
  <si>
    <t>13144</t>
  </si>
  <si>
    <t>13311</t>
  </si>
  <si>
    <t>13312</t>
  </si>
  <si>
    <t>13313</t>
  </si>
  <si>
    <t>13314</t>
  </si>
  <si>
    <t>13321</t>
  </si>
  <si>
    <t>13322</t>
  </si>
  <si>
    <t>68156</t>
  </si>
  <si>
    <t>68161</t>
  </si>
  <si>
    <t>68162</t>
  </si>
  <si>
    <t>68171</t>
  </si>
  <si>
    <t>68172</t>
  </si>
  <si>
    <t>68181</t>
  </si>
  <si>
    <t>68182</t>
  </si>
  <si>
    <t>68211</t>
  </si>
  <si>
    <t>68212</t>
  </si>
  <si>
    <t>68213</t>
  </si>
  <si>
    <t>68214</t>
  </si>
  <si>
    <t>68215</t>
  </si>
  <si>
    <t>68219</t>
  </si>
  <si>
    <t>68221</t>
  </si>
  <si>
    <t>68222</t>
  </si>
  <si>
    <t>68223</t>
  </si>
  <si>
    <t>68224</t>
  </si>
  <si>
    <t>68225</t>
  </si>
  <si>
    <t>68229</t>
  </si>
  <si>
    <t>6831</t>
  </si>
  <si>
    <t>68511</t>
  </si>
  <si>
    <t>68521</t>
  </si>
  <si>
    <t>68522</t>
  </si>
  <si>
    <t>68523</t>
  </si>
  <si>
    <t>68524</t>
  </si>
  <si>
    <t>68525</t>
  </si>
  <si>
    <t>68526</t>
  </si>
  <si>
    <t>68531</t>
  </si>
  <si>
    <t>68532</t>
  </si>
  <si>
    <t>68533</t>
  </si>
  <si>
    <t>68534</t>
  </si>
  <si>
    <t>68535</t>
  </si>
  <si>
    <t>68536</t>
  </si>
  <si>
    <t>68541</t>
  </si>
  <si>
    <t>68542</t>
  </si>
  <si>
    <t>68611</t>
  </si>
  <si>
    <t>68612</t>
  </si>
  <si>
    <t>68621</t>
  </si>
  <si>
    <t>68622</t>
  </si>
  <si>
    <t>6863</t>
  </si>
  <si>
    <t>6869</t>
  </si>
  <si>
    <t>69111</t>
  </si>
  <si>
    <t>69112</t>
  </si>
  <si>
    <t>69121</t>
  </si>
  <si>
    <t>69122</t>
  </si>
  <si>
    <t>69131</t>
  </si>
  <si>
    <t>69132</t>
  </si>
  <si>
    <t>69141</t>
  </si>
  <si>
    <t>69142</t>
  </si>
  <si>
    <t>69151</t>
  </si>
  <si>
    <t>69152</t>
  </si>
  <si>
    <t>69211</t>
  </si>
  <si>
    <t>69212</t>
  </si>
  <si>
    <t>13323</t>
  </si>
  <si>
    <t>13324</t>
  </si>
  <si>
    <t>13331</t>
  </si>
  <si>
    <t>13332</t>
  </si>
  <si>
    <t>13333</t>
  </si>
  <si>
    <t>13334</t>
  </si>
  <si>
    <t>1411</t>
  </si>
  <si>
    <t>1412</t>
  </si>
  <si>
    <t>1413</t>
  </si>
  <si>
    <t>1421</t>
  </si>
  <si>
    <t>1422</t>
  </si>
  <si>
    <t>148</t>
  </si>
  <si>
    <t>1611</t>
  </si>
  <si>
    <t>1612</t>
  </si>
  <si>
    <t>1621</t>
  </si>
  <si>
    <t>1622</t>
  </si>
  <si>
    <t>1623</t>
  </si>
  <si>
    <t>1631</t>
  </si>
  <si>
    <t>1632</t>
  </si>
  <si>
    <t>1633</t>
  </si>
  <si>
    <t>1641</t>
  </si>
  <si>
    <t>1642</t>
  </si>
  <si>
    <t>1651</t>
  </si>
  <si>
    <t>1652</t>
  </si>
  <si>
    <t>1653</t>
  </si>
  <si>
    <t>1654</t>
  </si>
  <si>
    <t>1655</t>
  </si>
  <si>
    <t>1661</t>
  </si>
  <si>
    <t>17111</t>
  </si>
  <si>
    <t>17112</t>
  </si>
  <si>
    <t>17113</t>
  </si>
  <si>
    <t>17114</t>
  </si>
  <si>
    <t>17121</t>
  </si>
  <si>
    <t>17122</t>
  </si>
  <si>
    <t>17123</t>
  </si>
  <si>
    <t>17124</t>
  </si>
  <si>
    <t>178</t>
  </si>
  <si>
    <t>181</t>
  </si>
  <si>
    <t>182</t>
  </si>
  <si>
    <t>183</t>
  </si>
  <si>
    <t>184</t>
  </si>
  <si>
    <t>185</t>
  </si>
  <si>
    <t>189</t>
  </si>
  <si>
    <t>1911</t>
  </si>
  <si>
    <t>1921</t>
  </si>
  <si>
    <t>1922</t>
  </si>
  <si>
    <t>1941</t>
  </si>
  <si>
    <t>1942</t>
  </si>
  <si>
    <t>1943</t>
  </si>
  <si>
    <t>1944</t>
  </si>
  <si>
    <t>1945</t>
  </si>
  <si>
    <t>1949</t>
  </si>
  <si>
    <t>20111</t>
  </si>
  <si>
    <t>20112</t>
  </si>
  <si>
    <t>202</t>
  </si>
  <si>
    <t>2031</t>
  </si>
  <si>
    <t>2032</t>
  </si>
  <si>
    <t>204</t>
  </si>
  <si>
    <t>208</t>
  </si>
  <si>
    <t>211</t>
  </si>
  <si>
    <t>212</t>
  </si>
  <si>
    <t>21311</t>
  </si>
  <si>
    <t>21312</t>
  </si>
  <si>
    <t>21321</t>
  </si>
  <si>
    <t>21322</t>
  </si>
  <si>
    <t>214</t>
  </si>
  <si>
    <t>215</t>
  </si>
  <si>
    <t>217</t>
  </si>
  <si>
    <t>218</t>
  </si>
  <si>
    <t>2913</t>
  </si>
  <si>
    <t>221</t>
  </si>
  <si>
    <t>222</t>
  </si>
  <si>
    <t>231</t>
  </si>
  <si>
    <t>232</t>
  </si>
  <si>
    <t>23311</t>
  </si>
  <si>
    <t>23312</t>
  </si>
  <si>
    <t>23321</t>
  </si>
  <si>
    <t>23322</t>
  </si>
  <si>
    <t>234</t>
  </si>
  <si>
    <t>235</t>
  </si>
  <si>
    <t>237</t>
  </si>
  <si>
    <t>238</t>
  </si>
  <si>
    <t>241</t>
  </si>
  <si>
    <t>242</t>
  </si>
  <si>
    <t>243</t>
  </si>
  <si>
    <t>244</t>
  </si>
  <si>
    <t>251</t>
  </si>
  <si>
    <t>2521</t>
  </si>
  <si>
    <t>2522</t>
  </si>
  <si>
    <t>2523</t>
  </si>
  <si>
    <t>2524</t>
  </si>
  <si>
    <t>253</t>
  </si>
  <si>
    <t>261</t>
  </si>
  <si>
    <t>262</t>
  </si>
  <si>
    <t>69221</t>
  </si>
  <si>
    <t>69222</t>
  </si>
  <si>
    <t>69231</t>
  </si>
  <si>
    <t>69232</t>
  </si>
  <si>
    <t>69241</t>
  </si>
  <si>
    <t>69242</t>
  </si>
  <si>
    <t>69251</t>
  </si>
  <si>
    <t>69252</t>
  </si>
  <si>
    <t>69261</t>
  </si>
  <si>
    <t>69262</t>
  </si>
  <si>
    <t>69311</t>
  </si>
  <si>
    <t>69312</t>
  </si>
  <si>
    <t>69321</t>
  </si>
  <si>
    <t>69322</t>
  </si>
  <si>
    <t>6941</t>
  </si>
  <si>
    <t>6942</t>
  </si>
  <si>
    <t>70111</t>
  </si>
  <si>
    <t>70112</t>
  </si>
  <si>
    <t>70121</t>
  </si>
  <si>
    <t>70122</t>
  </si>
  <si>
    <t>70131</t>
  </si>
  <si>
    <t>70132</t>
  </si>
  <si>
    <t>70141</t>
  </si>
  <si>
    <t>70142</t>
  </si>
  <si>
    <t>70151</t>
  </si>
  <si>
    <t>70152</t>
  </si>
  <si>
    <t>70211</t>
  </si>
  <si>
    <t>70212</t>
  </si>
  <si>
    <t>70221</t>
  </si>
  <si>
    <t>70222</t>
  </si>
  <si>
    <t>70231</t>
  </si>
  <si>
    <t>70232</t>
  </si>
  <si>
    <t>70241</t>
  </si>
  <si>
    <t>70242</t>
  </si>
  <si>
    <t>70251</t>
  </si>
  <si>
    <t>70252</t>
  </si>
  <si>
    <t>70311</t>
  </si>
  <si>
    <t>70312</t>
  </si>
  <si>
    <t>70321</t>
  </si>
  <si>
    <t>70322</t>
  </si>
  <si>
    <t>7041</t>
  </si>
  <si>
    <t>7042</t>
  </si>
  <si>
    <t>70911</t>
  </si>
  <si>
    <t>70912</t>
  </si>
  <si>
    <t>70913</t>
  </si>
  <si>
    <t>70914</t>
  </si>
  <si>
    <t>70915</t>
  </si>
  <si>
    <t>70921</t>
  </si>
  <si>
    <t>70922</t>
  </si>
  <si>
    <t>70923</t>
  </si>
  <si>
    <t>70924</t>
  </si>
  <si>
    <t>70925</t>
  </si>
  <si>
    <t>70931</t>
  </si>
  <si>
    <t>70932</t>
  </si>
  <si>
    <t>70933</t>
  </si>
  <si>
    <t>70934</t>
  </si>
  <si>
    <t>70935</t>
  </si>
  <si>
    <t>70941</t>
  </si>
  <si>
    <t>70942</t>
  </si>
  <si>
    <t>70943</t>
  </si>
  <si>
    <t>70944</t>
  </si>
  <si>
    <t>70945</t>
  </si>
  <si>
    <t>7111</t>
  </si>
  <si>
    <t>7112</t>
  </si>
  <si>
    <t>7113</t>
  </si>
  <si>
    <t>7114</t>
  </si>
  <si>
    <t>7115</t>
  </si>
  <si>
    <t>7121</t>
  </si>
  <si>
    <t>7122</t>
  </si>
  <si>
    <t>7131</t>
  </si>
  <si>
    <t>7132</t>
  </si>
  <si>
    <t>7133</t>
  </si>
  <si>
    <t>7134</t>
  </si>
  <si>
    <t>7135</t>
  </si>
  <si>
    <t>7138</t>
  </si>
  <si>
    <t>7141</t>
  </si>
  <si>
    <t>7142</t>
  </si>
  <si>
    <t>715</t>
  </si>
  <si>
    <t>7211</t>
  </si>
  <si>
    <t>7221</t>
  </si>
  <si>
    <t>7222</t>
  </si>
  <si>
    <t>7223</t>
  </si>
  <si>
    <t>7224</t>
  </si>
  <si>
    <t>7225</t>
  </si>
  <si>
    <t>7231</t>
  </si>
  <si>
    <t>7232</t>
  </si>
  <si>
    <t>7233</t>
  </si>
  <si>
    <t>7241</t>
  </si>
  <si>
    <t>7242</t>
  </si>
  <si>
    <t>72511</t>
  </si>
  <si>
    <t>72521</t>
  </si>
  <si>
    <t>72522</t>
  </si>
  <si>
    <t>7253</t>
  </si>
  <si>
    <t>72541</t>
  </si>
  <si>
    <t>72542</t>
  </si>
  <si>
    <t>7311</t>
  </si>
  <si>
    <t>7312</t>
  </si>
  <si>
    <t>7411</t>
  </si>
  <si>
    <t>7412</t>
  </si>
  <si>
    <t>751</t>
  </si>
  <si>
    <t>752</t>
  </si>
  <si>
    <t>753</t>
  </si>
  <si>
    <t>7541</t>
  </si>
  <si>
    <t>7542</t>
  </si>
  <si>
    <t>7543</t>
  </si>
  <si>
    <t>7544</t>
  </si>
  <si>
    <t>7545</t>
  </si>
  <si>
    <t>7551</t>
  </si>
  <si>
    <t>7552</t>
  </si>
  <si>
    <t>7553</t>
  </si>
  <si>
    <t>7561</t>
  </si>
  <si>
    <t>7562</t>
  </si>
  <si>
    <t>7563</t>
  </si>
  <si>
    <t>7564</t>
  </si>
  <si>
    <t>7565</t>
  </si>
  <si>
    <t>7591</t>
  </si>
  <si>
    <t>7611</t>
  </si>
  <si>
    <t>7612</t>
  </si>
  <si>
    <t>7621</t>
  </si>
  <si>
    <t>7622</t>
  </si>
  <si>
    <t>771</t>
  </si>
  <si>
    <t>7721</t>
  </si>
  <si>
    <t>7722</t>
  </si>
  <si>
    <t>7723</t>
  </si>
  <si>
    <t>7724</t>
  </si>
  <si>
    <t>7725</t>
  </si>
  <si>
    <t>773</t>
  </si>
  <si>
    <t>775</t>
  </si>
  <si>
    <t>776</t>
  </si>
  <si>
    <t>7792</t>
  </si>
  <si>
    <t>781</t>
  </si>
  <si>
    <t>791</t>
  </si>
  <si>
    <t>792</t>
  </si>
  <si>
    <t>871</t>
  </si>
  <si>
    <t>872</t>
  </si>
  <si>
    <t>881</t>
  </si>
  <si>
    <t>882</t>
  </si>
  <si>
    <t>SUB-TOTALES</t>
  </si>
  <si>
    <t>89</t>
  </si>
  <si>
    <t>89.  DETERMINACIÓN DEL RESULTADO DEL EJERCICIO</t>
  </si>
  <si>
    <t>TOTALES</t>
  </si>
  <si>
    <t>DIFERENCIAS</t>
  </si>
  <si>
    <t>3471</t>
  </si>
  <si>
    <t>35111</t>
  </si>
  <si>
    <t>35112</t>
  </si>
  <si>
    <t>35121</t>
  </si>
  <si>
    <t>35122</t>
  </si>
  <si>
    <t>35211</t>
  </si>
  <si>
    <t>35212</t>
  </si>
  <si>
    <t>35213</t>
  </si>
  <si>
    <t>35221</t>
  </si>
  <si>
    <t>35222</t>
  </si>
  <si>
    <t>35223</t>
  </si>
  <si>
    <t>3611</t>
  </si>
  <si>
    <t>36121</t>
  </si>
  <si>
    <t>36122</t>
  </si>
  <si>
    <t>3631</t>
  </si>
  <si>
    <t>36321</t>
  </si>
  <si>
    <t>36322</t>
  </si>
  <si>
    <t>36331</t>
  </si>
  <si>
    <t>36332</t>
  </si>
  <si>
    <t>3634</t>
  </si>
  <si>
    <t>3635</t>
  </si>
  <si>
    <t>3636</t>
  </si>
  <si>
    <t>3637</t>
  </si>
  <si>
    <t>3641</t>
  </si>
  <si>
    <t>3642</t>
  </si>
  <si>
    <t>3643</t>
  </si>
  <si>
    <t>3645</t>
  </si>
  <si>
    <t>3649</t>
  </si>
  <si>
    <t>36521</t>
  </si>
  <si>
    <t>36522</t>
  </si>
  <si>
    <t>3731</t>
  </si>
  <si>
    <t>3732</t>
  </si>
  <si>
    <t>3811</t>
  </si>
  <si>
    <t>3812</t>
  </si>
  <si>
    <t>3813</t>
  </si>
  <si>
    <t>3821</t>
  </si>
  <si>
    <t>3822</t>
  </si>
  <si>
    <t>3823</t>
  </si>
  <si>
    <t>39111</t>
  </si>
  <si>
    <t>39112</t>
  </si>
  <si>
    <t>39121</t>
  </si>
  <si>
    <t>39122</t>
  </si>
  <si>
    <t>39123</t>
  </si>
  <si>
    <t>39124</t>
  </si>
  <si>
    <t>39126</t>
  </si>
  <si>
    <t>39131</t>
  </si>
  <si>
    <t>39132</t>
  </si>
  <si>
    <t>39133</t>
  </si>
  <si>
    <t>39134</t>
  </si>
  <si>
    <t>39135</t>
  </si>
  <si>
    <t>39136</t>
  </si>
  <si>
    <t>39141</t>
  </si>
  <si>
    <t>39142</t>
  </si>
  <si>
    <t>39143</t>
  </si>
  <si>
    <t>39144</t>
  </si>
  <si>
    <t>39145</t>
  </si>
  <si>
    <t>39146</t>
  </si>
  <si>
    <t>39151</t>
  </si>
  <si>
    <t>39152</t>
  </si>
  <si>
    <t>39161</t>
  </si>
  <si>
    <t>39162</t>
  </si>
  <si>
    <t>39171</t>
  </si>
  <si>
    <t>39172</t>
  </si>
  <si>
    <t>39211</t>
  </si>
  <si>
    <t>3399</t>
  </si>
  <si>
    <t>409</t>
  </si>
  <si>
    <t>70951</t>
  </si>
  <si>
    <t>70961</t>
  </si>
  <si>
    <t>70952</t>
  </si>
  <si>
    <t>70962</t>
  </si>
  <si>
    <t>45532</t>
  </si>
  <si>
    <t>45533</t>
  </si>
  <si>
    <t>45539</t>
  </si>
  <si>
    <t>456</t>
  </si>
  <si>
    <t>461</t>
  </si>
  <si>
    <t>4641</t>
  </si>
  <si>
    <t>467</t>
  </si>
  <si>
    <t>4691</t>
  </si>
  <si>
    <t>4711</t>
  </si>
  <si>
    <t>4712</t>
  </si>
  <si>
    <t>4713</t>
  </si>
  <si>
    <t>4714</t>
  </si>
  <si>
    <t>4721</t>
  </si>
  <si>
    <t>4722</t>
  </si>
  <si>
    <t>4723</t>
  </si>
  <si>
    <t>4724</t>
  </si>
  <si>
    <t>4731</t>
  </si>
  <si>
    <t>4732</t>
  </si>
  <si>
    <t>4733</t>
  </si>
  <si>
    <t>4734</t>
  </si>
  <si>
    <t>4741</t>
  </si>
  <si>
    <t>4742</t>
  </si>
  <si>
    <t>4743</t>
  </si>
  <si>
    <t>4744</t>
  </si>
  <si>
    <t>4751</t>
  </si>
  <si>
    <t>4752</t>
  </si>
  <si>
    <t>4753</t>
  </si>
  <si>
    <t>4754</t>
  </si>
  <si>
    <t>481</t>
  </si>
  <si>
    <t>482</t>
  </si>
  <si>
    <t>483</t>
  </si>
  <si>
    <t>484</t>
  </si>
  <si>
    <t>485</t>
  </si>
  <si>
    <t>489</t>
  </si>
  <si>
    <t>4911</t>
  </si>
  <si>
    <t>4912</t>
  </si>
  <si>
    <t>4921</t>
  </si>
  <si>
    <t>4922</t>
  </si>
  <si>
    <t>4931</t>
  </si>
  <si>
    <t>4932</t>
  </si>
  <si>
    <t>5011</t>
  </si>
  <si>
    <t>5012</t>
  </si>
  <si>
    <t>502</t>
  </si>
  <si>
    <t>511</t>
  </si>
  <si>
    <t>512</t>
  </si>
  <si>
    <t>521</t>
  </si>
  <si>
    <t>5221</t>
  </si>
  <si>
    <t>5222</t>
  </si>
  <si>
    <t>5223</t>
  </si>
  <si>
    <t>5224</t>
  </si>
  <si>
    <t>523</t>
  </si>
  <si>
    <t>561</t>
  </si>
  <si>
    <t>562</t>
  </si>
  <si>
    <t>5631</t>
  </si>
  <si>
    <t>5632</t>
  </si>
  <si>
    <t>5711</t>
  </si>
  <si>
    <t>5712</t>
  </si>
  <si>
    <t>5713</t>
  </si>
  <si>
    <t>572</t>
  </si>
  <si>
    <t>573</t>
  </si>
  <si>
    <t>581</t>
  </si>
  <si>
    <t>582</t>
  </si>
  <si>
    <t>583</t>
  </si>
  <si>
    <t>584</t>
  </si>
  <si>
    <t>585</t>
  </si>
  <si>
    <t>589</t>
  </si>
  <si>
    <t>5911</t>
  </si>
  <si>
    <t>5912</t>
  </si>
  <si>
    <t>5921</t>
  </si>
  <si>
    <t>5922</t>
  </si>
  <si>
    <t>6011</t>
  </si>
  <si>
    <t>6012</t>
  </si>
  <si>
    <t>6013</t>
  </si>
  <si>
    <t>6014</t>
  </si>
  <si>
    <t>6018</t>
  </si>
  <si>
    <t>6021</t>
  </si>
  <si>
    <t>6022</t>
  </si>
  <si>
    <t>6023</t>
  </si>
  <si>
    <t>6024</t>
  </si>
  <si>
    <t>6031</t>
  </si>
  <si>
    <t>6032</t>
  </si>
  <si>
    <t>6033</t>
  </si>
  <si>
    <t>6041</t>
  </si>
  <si>
    <t>6042</t>
  </si>
  <si>
    <t>60911</t>
  </si>
  <si>
    <t>60912</t>
  </si>
  <si>
    <t>60913</t>
  </si>
  <si>
    <t>60914</t>
  </si>
  <si>
    <t>60919</t>
  </si>
  <si>
    <t>60921</t>
  </si>
  <si>
    <t>60922</t>
  </si>
  <si>
    <t>60923</t>
  </si>
  <si>
    <t>60924</t>
  </si>
  <si>
    <t>60925</t>
  </si>
  <si>
    <t>6111</t>
  </si>
  <si>
    <t>6112</t>
  </si>
  <si>
    <t>6113</t>
  </si>
  <si>
    <t>6114</t>
  </si>
  <si>
    <t>6115</t>
  </si>
  <si>
    <t>6121</t>
  </si>
  <si>
    <t>6122</t>
  </si>
  <si>
    <t>6123</t>
  </si>
  <si>
    <t>6124</t>
  </si>
  <si>
    <t>6131</t>
  </si>
  <si>
    <t>6132</t>
  </si>
  <si>
    <t>6133</t>
  </si>
  <si>
    <t>6141</t>
  </si>
  <si>
    <t>6142</t>
  </si>
  <si>
    <t>6211</t>
  </si>
  <si>
    <t>6212</t>
  </si>
  <si>
    <t>6213</t>
  </si>
  <si>
    <t>6214</t>
  </si>
  <si>
    <t>6215</t>
  </si>
  <si>
    <t>622</t>
  </si>
  <si>
    <t>623</t>
  </si>
  <si>
    <t>624</t>
  </si>
  <si>
    <t>625</t>
  </si>
  <si>
    <t>626</t>
  </si>
  <si>
    <t>6271</t>
  </si>
  <si>
    <t>6272</t>
  </si>
  <si>
    <t>6273</t>
  </si>
  <si>
    <t>6274</t>
  </si>
  <si>
    <t>6275</t>
  </si>
  <si>
    <t>6276</t>
  </si>
  <si>
    <t>628</t>
  </si>
  <si>
    <t>6291</t>
  </si>
  <si>
    <t>6292</t>
  </si>
  <si>
    <t>6293</t>
  </si>
  <si>
    <t>63111</t>
  </si>
  <si>
    <t>63112</t>
  </si>
  <si>
    <t>6312</t>
  </si>
  <si>
    <t>6313</t>
  </si>
  <si>
    <t>6314</t>
  </si>
  <si>
    <t>6321</t>
  </si>
  <si>
    <t>6322</t>
  </si>
  <si>
    <t>6323</t>
  </si>
  <si>
    <t>633</t>
  </si>
  <si>
    <t>6351</t>
  </si>
  <si>
    <t>6352</t>
  </si>
  <si>
    <t>6353</t>
  </si>
  <si>
    <t>6354</t>
  </si>
  <si>
    <t>6356</t>
  </si>
  <si>
    <t>6361</t>
  </si>
  <si>
    <t>6362</t>
  </si>
  <si>
    <t>6363</t>
  </si>
  <si>
    <t>6364</t>
  </si>
  <si>
    <t>6365</t>
  </si>
  <si>
    <t>6366</t>
  </si>
  <si>
    <t>6367</t>
  </si>
  <si>
    <t>638</t>
  </si>
  <si>
    <t>6391</t>
  </si>
  <si>
    <t>6392</t>
  </si>
  <si>
    <t>0111. Bienes en préstamo, custodia y no capitalizables - Bienes en préstamo</t>
  </si>
  <si>
    <t>0112. Bienes en préstamo, custodia y no capitalizables - Bienes en custodia</t>
  </si>
  <si>
    <t>0121. Valores y bienes entregados en garantía - Cartas fianza</t>
  </si>
  <si>
    <t>0122. Valores y bienes entregados en garantía - Cuentas por cobrar</t>
  </si>
  <si>
    <t>0123. Valores y bienes entregados en garantía - Existencias</t>
  </si>
  <si>
    <t>0124. Valores y bienes entregados en garantía - Inversión mobiliaria</t>
  </si>
  <si>
    <t>0125. Valores y bienes entregados en garantía - Inversión inmobiliaria</t>
  </si>
  <si>
    <t>0126. Valores y bienes entregados en garantía - Inmuebles, maquinaria y equipo</t>
  </si>
  <si>
    <t>0127. Valores y bienes entregados en garantía - Intangibles</t>
  </si>
  <si>
    <t>0128. Valores y bienes entregados en garantía - Activos biológicos</t>
  </si>
  <si>
    <t>013. Activos realizables entregados en consignación</t>
  </si>
  <si>
    <t>0211</t>
  </si>
  <si>
    <t>0211. Primarios - Inversiones mantenidas para negociación</t>
  </si>
  <si>
    <t>0212</t>
  </si>
  <si>
    <t>0212. Primarios - Inversiones disponibles para la venta</t>
  </si>
  <si>
    <t>0213</t>
  </si>
  <si>
    <t>0213. Primarios - Inversiones a ser mantenidas hasta el vencimiento</t>
  </si>
  <si>
    <t>0221</t>
  </si>
  <si>
    <t>0221. Derivados - Contratos a futuro</t>
  </si>
  <si>
    <t>0222</t>
  </si>
  <si>
    <t>0222. Derivados - Contratos a término (forward)</t>
  </si>
  <si>
    <t>0223</t>
  </si>
  <si>
    <t>0223. Derivados - Permutas financieras (swap)</t>
  </si>
  <si>
    <t>0224</t>
  </si>
  <si>
    <t>0224. Derivados - Contratos de opción</t>
  </si>
  <si>
    <t>0311. Contratos aprobados - Contratos en ejecución</t>
  </si>
  <si>
    <t>0312. Contratos aprobados - Contratos en trámite</t>
  </si>
  <si>
    <t>0321. Bienes dados de baja - Suministros</t>
  </si>
  <si>
    <t>0322. Bienes dados de baja - Inmuebles, maquinaria y equipo</t>
  </si>
  <si>
    <t>039. Diversas</t>
  </si>
  <si>
    <t>04. Deudoras por contra</t>
  </si>
  <si>
    <t>0611. Bienes recibidos en préstamo y custodia - Bienes recibidos en préstamo</t>
  </si>
  <si>
    <t>0612. Bienes recibidos en préstamo y custodia - Bienes recibidos en custodia</t>
  </si>
  <si>
    <t>0621. Valores y bienes recibidos en garantía - Cartas fianza</t>
  </si>
  <si>
    <t>0622. Valores y bienes recibidos en garantía - Cuentas por cobrar</t>
  </si>
  <si>
    <t>0623. Valores y bienes recibidos en garantía - Existencias</t>
  </si>
  <si>
    <t>0624. Valores y bienes recibidos en garantía - Inversión mobiliaria</t>
  </si>
  <si>
    <t>0625. Valores y bienes recibidos en garantía - Inversión inmobiliaria</t>
  </si>
  <si>
    <t>0626. Valores y bienes recibidos en garantía - Inmuebles, maquinaria y equipo</t>
  </si>
  <si>
    <t>0627. Valores y bienes recibidos en garantía - Intangibles</t>
  </si>
  <si>
    <t>0628. Valores y bienes recibidos en garantía - Activos biológicos</t>
  </si>
  <si>
    <t>063. Activos realizables recibidos en consignación</t>
  </si>
  <si>
    <t>0711</t>
  </si>
  <si>
    <t>0711. Primarios - Inversiones mantenidas para negociación</t>
  </si>
  <si>
    <t>0712</t>
  </si>
  <si>
    <t>0712. Primarios - Inversiones disponibles para la venta</t>
  </si>
  <si>
    <t>0713</t>
  </si>
  <si>
    <t>0713. Primarios - Inversiones a ser mantenidas hasta el vencimiento</t>
  </si>
  <si>
    <t>0721</t>
  </si>
  <si>
    <t>0721. Derivados - Contratos a futuro</t>
  </si>
  <si>
    <t>0722</t>
  </si>
  <si>
    <t>0722. Derivados - Contratos a término (forward)</t>
  </si>
  <si>
    <t>0723</t>
  </si>
  <si>
    <t>0723. Derivados - Permutas financieras (swap)</t>
  </si>
  <si>
    <t>0724</t>
  </si>
  <si>
    <t>0724. Derivados - Contratos de opción</t>
  </si>
  <si>
    <t>089. Diversas</t>
  </si>
  <si>
    <t>09. Acreedoras por contra</t>
  </si>
  <si>
    <t>102. Fondos fijos</t>
  </si>
  <si>
    <t>103. Efectivo en tránsito</t>
  </si>
  <si>
    <t>1041. Cuentas corrientes en instituciones financieras - Cuentas corrientes operativas</t>
  </si>
  <si>
    <t>1042. Cuentas corrientes en instituciones financieras - Cuentas corrientes para fines específicos</t>
  </si>
  <si>
    <t>1051. Otros equivalentes de efectivo - Otros equivalentes de efectivo</t>
  </si>
  <si>
    <t>1061. Depósitos en instituciones financieras - Depósitos de ahorro</t>
  </si>
  <si>
    <t>1062. Depósitos en instituciones financieras - Depósitos a plazo</t>
  </si>
  <si>
    <t>1071. Fondos sujetos a restricción - Fondos Sujetos a Restricción</t>
  </si>
  <si>
    <t>11111</t>
  </si>
  <si>
    <t>11111. Inversiones mantenidas para negociación - Valores emitidos o garantizados por el Estado - Costo</t>
  </si>
  <si>
    <t>11112</t>
  </si>
  <si>
    <t>11112. Inversiones mantenidas para negociación - Valores emitidos o garantizados por el Estado - Valor Razonable</t>
  </si>
  <si>
    <t>11121</t>
  </si>
  <si>
    <t>11121. Inversiones mantenidas para negociación - Valores emitidos por el sistema financiero - Costo</t>
  </si>
  <si>
    <t>11122</t>
  </si>
  <si>
    <t>11122. Inversiones mantenidas para negociación - Valores emitidos por el sistema financiero - Valor Razonable</t>
  </si>
  <si>
    <t>11131</t>
  </si>
  <si>
    <t>11131. Inversiones mantenidas para negociación - Valores emitidos por empresa - Costo</t>
  </si>
  <si>
    <t>11132</t>
  </si>
  <si>
    <t>11132. Inversiones mantenidas para negociación - Valores emitidos por empresa - Valor Razonable</t>
  </si>
  <si>
    <t>11141</t>
  </si>
  <si>
    <t>11141. Inversiones mantenidas para negociación - Otros títulos representativos de deuda - Costo</t>
  </si>
  <si>
    <t>11142</t>
  </si>
  <si>
    <t>11142. Inversiones mantenidas para negociación - Otros títulos representativos de deuda - Valor Razonable</t>
  </si>
  <si>
    <t>11151</t>
  </si>
  <si>
    <t>11151. Inversiones mantenidas para negociación - Participaciones en entidades - Costo</t>
  </si>
  <si>
    <t>11152</t>
  </si>
  <si>
    <t>11152. Inversiones mantenidas para negociación - Participaciones en entidades - Valor Razonable</t>
  </si>
  <si>
    <t>11211</t>
  </si>
  <si>
    <t>11211. Inversiones disponibles para la venta - Valores emitidos o garantizados por el Estado - Costo</t>
  </si>
  <si>
    <t>11212</t>
  </si>
  <si>
    <t>11212. Inversiones disponibles para la venta - Valores emitidos o garantizados por el Estado - Valor Razonable</t>
  </si>
  <si>
    <t>11221</t>
  </si>
  <si>
    <t>11221. Inversiones disponibles para la venta - Valores emitidos por el sistema financiero - Costo</t>
  </si>
  <si>
    <t>11222</t>
  </si>
  <si>
    <t>11222. Inversiones disponibles para la venta - Valores emitidos por el sistema financiero - Valor Razonable</t>
  </si>
  <si>
    <t>11231</t>
  </si>
  <si>
    <t>11231. Inversiones disponibles para la venta - Valores emitidos por empresas - Costo</t>
  </si>
  <si>
    <t>11232</t>
  </si>
  <si>
    <t>11232. Inversiones disponibles para la venta - Valores emitidos por empresas - Valor Razonable</t>
  </si>
  <si>
    <t>11241</t>
  </si>
  <si>
    <t>11241. Inversiones disponibles para la venta - Otros títulos representativos de deuda - Costo</t>
  </si>
  <si>
    <t>11242</t>
  </si>
  <si>
    <t>11242. Inversiones disponibles para la venta - Otros títulos representativos de deuda - Valor Razonable</t>
  </si>
  <si>
    <t>11311</t>
  </si>
  <si>
    <t>11311. Activos financieros – Acuerdo de compra - Inversiones mantenidas para negociación – Acuerdo de compra - Costo</t>
  </si>
  <si>
    <t>11312</t>
  </si>
  <si>
    <t>11312. Activos financieros – Acuerdo de compra - Inversiones mantenidas para negociación – Acuerdo de compra - Valor Razonable</t>
  </si>
  <si>
    <t>11321</t>
  </si>
  <si>
    <t>11321. Activos financieros – Acuerdo de compra - Inversiones disponibles para la venta – Acuerdo de compra - Costo</t>
  </si>
  <si>
    <t>11322</t>
  </si>
  <si>
    <t>11322. Activos financieros – Acuerdo de compra - Inversiones disponibles para la venta – Acuerdo de compra - Valor Razonable</t>
  </si>
  <si>
    <t>1211. Facturas, boletas y otros comprobantes por cobrar - No emitidas</t>
  </si>
  <si>
    <t>1212. Facturas, boletas y otros comprobantes por cobrar - Emitidas en cartera</t>
  </si>
  <si>
    <t>1213. Facturas, boletas y otros comprobantes por cobrar - En cobranza</t>
  </si>
  <si>
    <t>1214. Facturas, boletas y otros comprobantes por cobrar - En descuento</t>
  </si>
  <si>
    <t>122. Anticipos de clientes</t>
  </si>
  <si>
    <t>1231. Letras por cobrar - En cartera</t>
  </si>
  <si>
    <t>1232. Letras por cobrar - En cobranza</t>
  </si>
  <si>
    <t>1233. Letras por cobrar - En descuento</t>
  </si>
  <si>
    <t>13111. Facturas, boletas y otros comprobantes por cobrar - No emitidas - Matriz</t>
  </si>
  <si>
    <t>13112. Facturas, boletas y otros comprobantes por cobrar - No emitidas - Subsidiarias</t>
  </si>
  <si>
    <t>13113. Facturas, boletas y otros comprobantes por cobrar - No emitidas - Asociadas</t>
  </si>
  <si>
    <t>13114. Facturas, boletas y otros comprobantes por cobrar - No emitidas - Sucursales</t>
  </si>
  <si>
    <t>13115</t>
  </si>
  <si>
    <t>13115. Facturas, boletas y otros comprobantes por cobrar - No emitidas - Otros</t>
  </si>
  <si>
    <t>13121. Facturas, boletas y otros comprobantes por cobrar - Emitidas en cartera - Matriz</t>
  </si>
  <si>
    <t>13122. Facturas, boletas y otros comprobantes por cobrar - Emitidas en cartera - Subsidiarias</t>
  </si>
  <si>
    <t>13123. Facturas, boletas y otros comprobantes por cobrar - Emitidas en cartera - Asociadas</t>
  </si>
  <si>
    <t>13124. Facturas, boletas y otros comprobantes por cobrar - Emitidas en cartera - Sucursales</t>
  </si>
  <si>
    <t>13125</t>
  </si>
  <si>
    <t>13125. Facturas, boletas y otros comprobantes por cobrar - Emitidas en cartera - Otros</t>
  </si>
  <si>
    <t>13131. Facturas, boletas y otros comprobantes por cobrar - En cobranza - Matriz</t>
  </si>
  <si>
    <t>13132. Facturas, boletas y otros comprobantes por cobrar - En cobranza - Subsidiarias</t>
  </si>
  <si>
    <t>13133. Facturas, boletas y otros comprobantes por cobrar - En cobranza - Asociadas</t>
  </si>
  <si>
    <t>13134. Facturas, boletas y otros comprobantes por cobrar - En cobranza - Sucursales</t>
  </si>
  <si>
    <t>13135</t>
  </si>
  <si>
    <t>13135. Facturas, boletas y otros comprobantes por cobrar - En cobranza - Otros</t>
  </si>
  <si>
    <t>13141. Facturas, boletas y otros comprobantes por cobrar - En descuento - Matriz</t>
  </si>
  <si>
    <t>13142. Facturas, boletas y otros comprobantes por cobrar - En descuento - Subsidiarias</t>
  </si>
  <si>
    <t>13143. Facturas, boletas y otros comprobantes por cobrar - En descuento - Asociadas</t>
  </si>
  <si>
    <t>13144. Facturas, boletas y otros comprobantes por cobrar - En descuento - Sucursales</t>
  </si>
  <si>
    <t>13145</t>
  </si>
  <si>
    <t>13145. Facturas, boletas y otros comprobantes por cobrar - En descuento - Otros</t>
  </si>
  <si>
    <t>13211</t>
  </si>
  <si>
    <t>13211. Anticipos recibidos - Anticipos recibidos - Matriz</t>
  </si>
  <si>
    <t>13212</t>
  </si>
  <si>
    <t>13212. Anticipos recibidos - Anticipos recibidos - Subsidiarias</t>
  </si>
  <si>
    <t>13213</t>
  </si>
  <si>
    <t>13213. Anticipos recibidos - Anticipos recibidos - Asociadas</t>
  </si>
  <si>
    <t>13214</t>
  </si>
  <si>
    <t>13214. Anticipos recibidos - Anticipos recibidos - Sucursales</t>
  </si>
  <si>
    <t>13215</t>
  </si>
  <si>
    <t>13215. Anticipos recibidos - Anticipos recibidos - Otros</t>
  </si>
  <si>
    <t>13311. Letras por cobrar - En cartera - Matriz</t>
  </si>
  <si>
    <t>13312. Letras por cobrar - En cartera - Subsidiarias</t>
  </si>
  <si>
    <t>13313. Letras por cobrar - En cartera - Asociadas</t>
  </si>
  <si>
    <t>13314. Letras por cobrar - En cartera - Sucursales</t>
  </si>
  <si>
    <t>13315</t>
  </si>
  <si>
    <t>13315. Letras por cobrar - En cartera - Otros</t>
  </si>
  <si>
    <t>13321. Letras por cobrar - En cobranza - Matriz</t>
  </si>
  <si>
    <t>13322. Letras por cobrar - En cobranza - Subsidiarias</t>
  </si>
  <si>
    <t>13323. Letras por cobrar - En cobranza - Asociadas</t>
  </si>
  <si>
    <t>13324. Letras por cobrar - En cobranza - Sucursales</t>
  </si>
  <si>
    <t>13325</t>
  </si>
  <si>
    <t>13325. Letras por cobrar - En cobranza - Otros</t>
  </si>
  <si>
    <t>13331. Letras por cobrar - En descuento - Matriz</t>
  </si>
  <si>
    <t>13332. Letras por cobrar - En descuento - Subsidiarias</t>
  </si>
  <si>
    <t>13333. Letras por cobrar - En descuento - Asociadas</t>
  </si>
  <si>
    <t>13334. Letras por cobrar - En descuento - Sucursales</t>
  </si>
  <si>
    <t>13335</t>
  </si>
  <si>
    <t>13335. Letras por cobrar - En descuento - Otros</t>
  </si>
  <si>
    <t>1411. Personal - Préstamos</t>
  </si>
  <si>
    <t>1412. Personal - Adelanto de remuneraciones</t>
  </si>
  <si>
    <t>1413. Personal - Entregas a rendir cuenta</t>
  </si>
  <si>
    <t>1419</t>
  </si>
  <si>
    <t>1419. Personal - Otras cuentas por cobrar al personal</t>
  </si>
  <si>
    <t>1421. Accionistas (o socios) - Suscripciones por cobrar a socios o accionistas</t>
  </si>
  <si>
    <t>1422. Accionistas (o socios) - Préstamos</t>
  </si>
  <si>
    <t>1431</t>
  </si>
  <si>
    <t>1431. Directores - Préstamos</t>
  </si>
  <si>
    <t>1432</t>
  </si>
  <si>
    <t>1432. Directores - Adelanto de dietas</t>
  </si>
  <si>
    <t>1433</t>
  </si>
  <si>
    <t>1433. Directores - Entregas a rendir cuenta</t>
  </si>
  <si>
    <t>1441</t>
  </si>
  <si>
    <t>1441. Gerentes - Préstamos</t>
  </si>
  <si>
    <t>1442</t>
  </si>
  <si>
    <t>1442. Gerentes - Adelanto de remuneraciones</t>
  </si>
  <si>
    <t>1443</t>
  </si>
  <si>
    <t>1443. Gerentes - Entregas a rendir cuenta</t>
  </si>
  <si>
    <t>148. Diversas</t>
  </si>
  <si>
    <t>1611. Préstamos - Con garantía</t>
  </si>
  <si>
    <t>1612. Préstamos - Sin garantía</t>
  </si>
  <si>
    <t>1621. Reclamaciones a terceros - Compañías aseguradoras</t>
  </si>
  <si>
    <t>1622. Reclamaciones a terceros - Transportadoras</t>
  </si>
  <si>
    <t>1623. Reclamaciones a terceros - Servicios públicos</t>
  </si>
  <si>
    <t>1624</t>
  </si>
  <si>
    <t>1624. Reclamaciones a terceros - Tributos</t>
  </si>
  <si>
    <t>1629</t>
  </si>
  <si>
    <t>1629. Reclamaciones a terceros - Otras</t>
  </si>
  <si>
    <t>1631. Intereses, regalías y dividendos - Intereses</t>
  </si>
  <si>
    <t>1632. Intereses, regalías y dividendos - Regalías</t>
  </si>
  <si>
    <t>1633. Intereses, regalías y dividendos - Dividendos</t>
  </si>
  <si>
    <t>1641. Depósitos otorgados en garantía - Préstamos de instituciones financieras</t>
  </si>
  <si>
    <t>1642. Depósitos otorgados en garantía - Préstamos de instituciones no financieras</t>
  </si>
  <si>
    <t>1644</t>
  </si>
  <si>
    <t>1644. Depósitos otorgados en garantía - Depósitos en garantía por alquileres</t>
  </si>
  <si>
    <t>1649</t>
  </si>
  <si>
    <t>1649. Depósitos otorgados en garantía - Otros depósitos en garantía</t>
  </si>
  <si>
    <t>1651. Venta de activo inmovilizado - Inversión mobiliaria</t>
  </si>
  <si>
    <t>1652. Venta de activo inmovilizado - Inversión inmobiliaria</t>
  </si>
  <si>
    <t>1653. Venta de activo inmovilizado - Inmuebles, maquinaria y equipo</t>
  </si>
  <si>
    <t>1654. Venta de activo inmovilizado - Intangibles</t>
  </si>
  <si>
    <t>1655. Venta de activo inmovilizado - Activos biológicos</t>
  </si>
  <si>
    <t>1661. Activos por instrumentos financieros - Instrumentos financieros primarios</t>
  </si>
  <si>
    <t>16621</t>
  </si>
  <si>
    <t>16621. Activos por instrumentos financieros - Instrumentos financieros derivados - Cartera de negociación</t>
  </si>
  <si>
    <t>16622</t>
  </si>
  <si>
    <t>16622. Activos por instrumentos financieros - Instrumentos financieros derivados - Instrumentos de cobertura</t>
  </si>
  <si>
    <t>1681</t>
  </si>
  <si>
    <t>1681. Otras cuentas por cobrar diversas - Entregas a rendir cuenta a terceros</t>
  </si>
  <si>
    <t>1682</t>
  </si>
  <si>
    <t>1682. Otras cuentas por cobrar diversas - Otras cuentas por cobrar diversas</t>
  </si>
  <si>
    <t>17111. Préstamos - Con garantía - Matriz</t>
  </si>
  <si>
    <t>17112. Préstamos - Con garantía - Subsidiarias</t>
  </si>
  <si>
    <t>17113. Préstamos - Con garantía - Asociadas</t>
  </si>
  <si>
    <t>17114. Préstamos - Con garantía - Sucursales</t>
  </si>
  <si>
    <t>17115</t>
  </si>
  <si>
    <t>17115. Préstamos - Con garantía - Otros</t>
  </si>
  <si>
    <t>17121. Préstamos - Sin garantía - Matriz</t>
  </si>
  <si>
    <t>17122. Préstamos - Sin garantía - Subsidiarias</t>
  </si>
  <si>
    <t>17123. Préstamos - Sin garantía - Asociadas</t>
  </si>
  <si>
    <t>17124. Préstamos - Sin garantía - Sucursales</t>
  </si>
  <si>
    <t>17125</t>
  </si>
  <si>
    <t>17125. Préstamos - Sin garantía - Otros</t>
  </si>
  <si>
    <t>17311</t>
  </si>
  <si>
    <t>17311. Intereses, regalías y dividendos - Intereses - Matriz</t>
  </si>
  <si>
    <t>17312</t>
  </si>
  <si>
    <t>17312. Intereses, regalías y dividendos - Intereses - Subsidiarias</t>
  </si>
  <si>
    <t>17313</t>
  </si>
  <si>
    <t>17313. Intereses, regalías y dividendos - Intereses - Asociadas</t>
  </si>
  <si>
    <t>17314</t>
  </si>
  <si>
    <t>17314. Intereses, regalías y dividendos - Intereses - Sucursales</t>
  </si>
  <si>
    <t>17315</t>
  </si>
  <si>
    <t>17315. Intereses, regalías y dividendos - Intereses - Otros</t>
  </si>
  <si>
    <t>17321</t>
  </si>
  <si>
    <t>17321. Intereses, regalías y dividendos - Regalías - Matriz</t>
  </si>
  <si>
    <t>17322</t>
  </si>
  <si>
    <t>17322. Intereses, regalías y dividendos - Regalías - Subsidiarias</t>
  </si>
  <si>
    <t>17323</t>
  </si>
  <si>
    <t>17323. Intereses, regalías y dividendos - Regalías - Asociadas</t>
  </si>
  <si>
    <t>17324</t>
  </si>
  <si>
    <t>17324. Intereses, regalías y dividendos - Regalías - Sucursales</t>
  </si>
  <si>
    <t>17325</t>
  </si>
  <si>
    <t>17325. Intereses, regalías y dividendos - Regalías - Otros</t>
  </si>
  <si>
    <t>17331</t>
  </si>
  <si>
    <t>17331. Intereses, regalías y dividendos - Dividendos - Matriz</t>
  </si>
  <si>
    <t>17332</t>
  </si>
  <si>
    <t>17332. Intereses, regalías y dividendos - Dividendos - Subsidiarias</t>
  </si>
  <si>
    <t>17333</t>
  </si>
  <si>
    <t>17333. Intereses, regalías y dividendos - Dividendos - Asociadas</t>
  </si>
  <si>
    <t>17334</t>
  </si>
  <si>
    <t>17334. Intereses, regalías y dividendos - Dividendos - Otros</t>
  </si>
  <si>
    <t>174</t>
  </si>
  <si>
    <t>174. Depósitos otorgados en garantía</t>
  </si>
  <si>
    <t>1751</t>
  </si>
  <si>
    <t>1751. Venta de activo inmovilizado - Inversión mobiliaria</t>
  </si>
  <si>
    <t>1752</t>
  </si>
  <si>
    <t>1752. Venta de activo inmovilizado - Inversión inmobiliaria</t>
  </si>
  <si>
    <t>1753</t>
  </si>
  <si>
    <t>1753. Venta de activo inmovilizado - Inmuebles, maquinaria y equipo</t>
  </si>
  <si>
    <t>1754</t>
  </si>
  <si>
    <t>1754. Venta de activo inmovilizado - Intangibles</t>
  </si>
  <si>
    <t>1755</t>
  </si>
  <si>
    <t>1755. Venta de activo inmovilizado - Activos biológicos</t>
  </si>
  <si>
    <t>176</t>
  </si>
  <si>
    <t>176. Activos por instrumentos financieros</t>
  </si>
  <si>
    <t>178. Otras cuentas por cobrar diversas</t>
  </si>
  <si>
    <t>181. Costos financieros</t>
  </si>
  <si>
    <t>182. Seguros</t>
  </si>
  <si>
    <t>183. Alquileres</t>
  </si>
  <si>
    <t>184. Primas pagadas por opciones</t>
  </si>
  <si>
    <t>185. Mantenimiento de activos inmovilizados</t>
  </si>
  <si>
    <t>189. Otros gastos contratados por anticipado</t>
  </si>
  <si>
    <t>1911. Cuentas por cobrar comerciales – Terceros - Facturas, boletas y otros comprobantes por cobrar</t>
  </si>
  <si>
    <t>1921. Cuentas por cobrar comerciales – Relacionadas - Facturas, boletas y otros comprobantes por cobrar</t>
  </si>
  <si>
    <t>1922. Cuentas por cobrar comerciales – Relacionadas - Letras por cobrar</t>
  </si>
  <si>
    <t>1931</t>
  </si>
  <si>
    <t>1931. Cuentas por cobrar al personal, a los accionistas (socios), directores y gerentes - Personal</t>
  </si>
  <si>
    <t>1932</t>
  </si>
  <si>
    <t>1932. Cuentas por cobrar al personal, a los accionistas (socios), directores y gerentes - Accionistas (o socios)</t>
  </si>
  <si>
    <t>1933</t>
  </si>
  <si>
    <t>1933. Cuentas por cobrar al personal, a los accionistas (socios), directores y gerentes - Directores</t>
  </si>
  <si>
    <t>1934</t>
  </si>
  <si>
    <t>1934. Cuentas por cobrar al personal, a los accionistas (socios), directores y gerentes - Gerentes</t>
  </si>
  <si>
    <t>1938</t>
  </si>
  <si>
    <t>1938. Cuentas por cobrar al personal, a los accionistas (socios), directores y gerentes - Diversas</t>
  </si>
  <si>
    <t>1941. Cuentas por cobrar diversas – Terceros - Préstamos</t>
  </si>
  <si>
    <t>1942. Cuentas por cobrar diversas – Terceros - Reclamaciones a terceros</t>
  </si>
  <si>
    <t>1943. Cuentas por cobrar diversas – Terceros - Intereses, regalías y dividendos</t>
  </si>
  <si>
    <t>1944. Cuentas por cobrar diversas – Terceros - Depósitos otorgados en garantía</t>
  </si>
  <si>
    <t>1945. Cuentas por cobrar diversas – Terceros - Venta de activo inmovilizado</t>
  </si>
  <si>
    <t>1946</t>
  </si>
  <si>
    <t>1946. Cuentas por cobrar diversas – Terceros - Activos por instrumentos financieros</t>
  </si>
  <si>
    <t>1949. Cuentas por cobrar diversas – Terceros - Otras cuentas por cobrar diversas</t>
  </si>
  <si>
    <t>1951</t>
  </si>
  <si>
    <t>1951. Cuentas por cobrar diversas – Relacionadas - Préstamos</t>
  </si>
  <si>
    <t>1953</t>
  </si>
  <si>
    <t>1953. Cuentas por cobrar diversas – Relacionadas - Intereses, regalías y dividendos</t>
  </si>
  <si>
    <t>1954</t>
  </si>
  <si>
    <t>1954. Cuentas por cobrar diversas – Relacionadas - Depósitos otorgados en garantía</t>
  </si>
  <si>
    <t>1955</t>
  </si>
  <si>
    <t>1955. Cuentas por cobrar diversas – Relacionadas - Venta de activo inmovilizado</t>
  </si>
  <si>
    <t>1956</t>
  </si>
  <si>
    <t>1956. Cuentas por cobrar diversas – Relacionadas - Activos por instrumentos financieros</t>
  </si>
  <si>
    <t>1958</t>
  </si>
  <si>
    <t>1958. Cuentas por cobrar diversas – Relacionadas - Otras cuentas por cobrar diversas</t>
  </si>
  <si>
    <t>20111. Mercaderías manufacturadas - Mercaderías manufacturadas - Costo</t>
  </si>
  <si>
    <t>20112. Mercaderías manufacturadas - Mercaderías manufacturadas - Valor razonable</t>
  </si>
  <si>
    <t>202. Mercaderías de extracción</t>
  </si>
  <si>
    <t>2031. Mercaderías agropecuarias y piscícolas - De origen animal</t>
  </si>
  <si>
    <t>2032. Mercaderías agropecuarias y piscícolas - De origen vegetal</t>
  </si>
  <si>
    <t>204. Mercaderías inmuebles</t>
  </si>
  <si>
    <t>208. Otras mercaderías</t>
  </si>
  <si>
    <t>211. Productos manufacturados</t>
  </si>
  <si>
    <t>212. Productos de extracción terminados</t>
  </si>
  <si>
    <t>21311. Productos agropecuarios y piscícolas terminados - De origen animal - Costo</t>
  </si>
  <si>
    <t>21312. Productos agropecuarios y piscícolas terminados - De origen animal - Valor razonable</t>
  </si>
  <si>
    <t>21321. Productos agropecuarios y piscícolas terminados - De origen vegetal - Costo</t>
  </si>
  <si>
    <t>21322. Productos agropecuarios y piscícolas terminados - De origen vegetal - Valor razonable</t>
  </si>
  <si>
    <t>214. Productos inmuebles</t>
  </si>
  <si>
    <t>215. Existencias de servicios terminados</t>
  </si>
  <si>
    <t>217. Otros productos terminados</t>
  </si>
  <si>
    <t>218. Costos de financiación – Productos terminados</t>
  </si>
  <si>
    <t>221. Subproductos</t>
  </si>
  <si>
    <t>222. Desechos y desperdicios</t>
  </si>
  <si>
    <t>231. Productos en proceso de manufactura</t>
  </si>
  <si>
    <t>232. Productos extraídos en proceso de transformación</t>
  </si>
  <si>
    <t>23311. Productos agropecuarios y piscícolas en proceso - De origen animal - Costo</t>
  </si>
  <si>
    <t>23312. Productos agropecuarios y piscícolas en proceso - De origen animal - Valor razonable</t>
  </si>
  <si>
    <t>23321. Productos agropecuarios y piscícolas en proceso - De origen vegetal - Costo</t>
  </si>
  <si>
    <t>23322. Productos agropecuarios y piscícolas en proceso - De origen vegetal - Valor razonable</t>
  </si>
  <si>
    <t>234. Productos inmuebles en proceso</t>
  </si>
  <si>
    <t>235. Existencias de servicios en proceso</t>
  </si>
  <si>
    <t>237. Otros productos en proceso</t>
  </si>
  <si>
    <t>238. Costos de financiación – Productos en proceso</t>
  </si>
  <si>
    <t>241. Materias primas para productos manufacturados</t>
  </si>
  <si>
    <t>242. Materias primas para productos de extracción</t>
  </si>
  <si>
    <t>243. Materias primas para productos agropecuarios y piscícolas</t>
  </si>
  <si>
    <t>244. Materias primas para productos inmuebles</t>
  </si>
  <si>
    <t>251. Materiales auxiliares</t>
  </si>
  <si>
    <t>2521. Suministros - Combustibles</t>
  </si>
  <si>
    <t>2522. Suministros - Lubricantes</t>
  </si>
  <si>
    <t>2523. Suministros - Energía</t>
  </si>
  <si>
    <t>2524. Suministros - Otros suministros</t>
  </si>
  <si>
    <t>253. Repuestos</t>
  </si>
  <si>
    <t>261. Envases</t>
  </si>
  <si>
    <t>262. Embalajes</t>
  </si>
  <si>
    <t>27111</t>
  </si>
  <si>
    <t>27111. Inversiones inmobiliarias - Terrenos - Valor razonable</t>
  </si>
  <si>
    <t>27112</t>
  </si>
  <si>
    <t>27112. Inversiones inmobiliarias - Terrenos - Costo</t>
  </si>
  <si>
    <t>27113</t>
  </si>
  <si>
    <t>27113. Inversiones inmobiliarias - Terrenos - Revaluación</t>
  </si>
  <si>
    <t>27121</t>
  </si>
  <si>
    <t>27121. Inversiones inmobiliarias - Edificaciones - Valor razonable</t>
  </si>
  <si>
    <t>27122</t>
  </si>
  <si>
    <t>27122. Inversiones inmobiliarias - Edificaciones - Costo</t>
  </si>
  <si>
    <t>27123</t>
  </si>
  <si>
    <t>27123. Inversiones inmobiliarias - Edificaciones - Revaluación</t>
  </si>
  <si>
    <t>27124</t>
  </si>
  <si>
    <t>27124. Inversiones inmobiliarias - Edificaciones - Costos de financiación</t>
  </si>
  <si>
    <t>27211</t>
  </si>
  <si>
    <t>27211. Inmuebles, maquinaria y equipo - Terrenos - Valor razonable</t>
  </si>
  <si>
    <t>27212</t>
  </si>
  <si>
    <t>27212. Inmuebles, maquinaria y equipo - Terrenos - Costo</t>
  </si>
  <si>
    <t>27213</t>
  </si>
  <si>
    <t>27213. Inmuebles, maquinaria y equipo - Terrenos - Revaluación</t>
  </si>
  <si>
    <t>27221</t>
  </si>
  <si>
    <t>27221. Inmuebles, maquinaria y equipo - Edificaciones - Costo de adquisición o construcción</t>
  </si>
  <si>
    <t>27222</t>
  </si>
  <si>
    <t>27222. Inmuebles, maquinaria y equipo - Edificaciones - Revaluación</t>
  </si>
  <si>
    <t>27223</t>
  </si>
  <si>
    <t>27223. Inmuebles, maquinaria y equipo - Edificaciones - Costo de financiación</t>
  </si>
  <si>
    <t>27231</t>
  </si>
  <si>
    <t>27231. Inmuebles, maquinaria y equipo - Maquinarias y equipos de explotación - Costo de adquisición o construcción</t>
  </si>
  <si>
    <t>27232</t>
  </si>
  <si>
    <t>27232. Inmuebles, maquinaria y equipo - Maquinarias y equipos de explotación - Revaluación</t>
  </si>
  <si>
    <t>27233</t>
  </si>
  <si>
    <t>27233. Inmuebles, maquinaria y equipo - Maquinarias y equipos de explotación - Costo de financiación</t>
  </si>
  <si>
    <t>27241</t>
  </si>
  <si>
    <t>27241. Inmuebles, maquinaria y equipo - Equipo de transporte - Costo</t>
  </si>
  <si>
    <t>27242</t>
  </si>
  <si>
    <t>27242. Inmuebles, maquinaria y equipo - Equipo de transporte - Revaluación</t>
  </si>
  <si>
    <t>27251</t>
  </si>
  <si>
    <t>27251. Inmuebles, maquinaria y equipo - Muebles y enseres - Costo</t>
  </si>
  <si>
    <t>27252</t>
  </si>
  <si>
    <t>27252. Inmuebles, maquinaria y equipo - Muebles y enseres - Revaluación</t>
  </si>
  <si>
    <t>27261</t>
  </si>
  <si>
    <t>27261. Inmuebles, maquinaria y equipo - Equipos diversos - Costo</t>
  </si>
  <si>
    <t>27262</t>
  </si>
  <si>
    <t>27262. Inmuebles, maquinaria y equipo - Equipos diversos - Revaluación</t>
  </si>
  <si>
    <t>27271</t>
  </si>
  <si>
    <t>27271. Inmuebles, maquinaria y equipo - Herramientas y unidades de reemplazo - Costo</t>
  </si>
  <si>
    <t>27272</t>
  </si>
  <si>
    <t>27272. Inmuebles, maquinaria y equipo - Herramientas y unidades de reemplazo - Revaluación</t>
  </si>
  <si>
    <t>27311</t>
  </si>
  <si>
    <t>27311. Intangibles - Concesiones, licencias y derechos - Costo</t>
  </si>
  <si>
    <t>27312</t>
  </si>
  <si>
    <t>27312. Intangibles - Concesiones, licencias y derechos - Revaluación</t>
  </si>
  <si>
    <t>27321</t>
  </si>
  <si>
    <t>27321. Intangibles - Patentes y propiedad industrial - Costo</t>
  </si>
  <si>
    <t>27322</t>
  </si>
  <si>
    <t>27322. Intangibles - Patentes y propiedad industrial - Revaluación</t>
  </si>
  <si>
    <t>27331</t>
  </si>
  <si>
    <t>27331. Intangibles - Programas de computadora (software) - Costo</t>
  </si>
  <si>
    <t>27332</t>
  </si>
  <si>
    <t>27332. Intangibles - Programas de computadora (software) - Revaluación</t>
  </si>
  <si>
    <t>27341</t>
  </si>
  <si>
    <t>27341. Intangibles - Costos de exploración y desarrollo - Costo</t>
  </si>
  <si>
    <t>27342</t>
  </si>
  <si>
    <t>27342. Intangibles - Costos de exploración y desarrollo - Revaluación</t>
  </si>
  <si>
    <t>27351</t>
  </si>
  <si>
    <t>27351. Intangibles - Fórmulas, diseños y prototipos - Costo</t>
  </si>
  <si>
    <t>27352</t>
  </si>
  <si>
    <t>27352. Intangibles - Fórmulas, diseños y prototipos - Revaluación</t>
  </si>
  <si>
    <t>27361</t>
  </si>
  <si>
    <t>27361. Intangibles - Reservas de recursos extraíbles - Costo</t>
  </si>
  <si>
    <t>27362</t>
  </si>
  <si>
    <t>27362. Intangibles - Reservas de recursos extraíbles - Revaluación</t>
  </si>
  <si>
    <t>27391</t>
  </si>
  <si>
    <t>27391. Intangibles - Otros activos intangibles - Costo</t>
  </si>
  <si>
    <t>27392</t>
  </si>
  <si>
    <t>27392. Intangibles - Otros activos intangibles - Revaluación</t>
  </si>
  <si>
    <t>27411</t>
  </si>
  <si>
    <t>27411. Activos biológicos - Activos biológicos en producción - Valor razonable</t>
  </si>
  <si>
    <t>27412</t>
  </si>
  <si>
    <t>27412. Activos biológicos - Activos biológicos en producción - Costo</t>
  </si>
  <si>
    <t>27413</t>
  </si>
  <si>
    <t>27413. Activos biológicos - Activos biológicos en producción - Costos de financiación</t>
  </si>
  <si>
    <t>27421</t>
  </si>
  <si>
    <t>27421. Activos biológicos - Activos biológicos en desarrollo - Valor razonable</t>
  </si>
  <si>
    <t>27422</t>
  </si>
  <si>
    <t>27422. Activos biológicos - Activos biológicos en desarrollo - Costo</t>
  </si>
  <si>
    <t>27423</t>
  </si>
  <si>
    <t>27423. Activos biológicos - Activos biológicos en desarrollo - Costos de financiación</t>
  </si>
  <si>
    <t>27521</t>
  </si>
  <si>
    <t>27521. Depreciación acumulada – Inversión inmobiliaria - Edificaciones - Valor razonable</t>
  </si>
  <si>
    <t>27522</t>
  </si>
  <si>
    <t>27522. Depreciación acumulada – Inversión inmobiliaria - Edificaciones - Costo</t>
  </si>
  <si>
    <t>27523</t>
  </si>
  <si>
    <t>27523. Depreciación acumulada – Inversión inmobiliaria - Edificaciones - Revaluación</t>
  </si>
  <si>
    <t>27621</t>
  </si>
  <si>
    <t>27621. Depreciación acumulada – Inmuebles, maquinaria y equipo - Edificaciones - Costo de adquisición o construcción</t>
  </si>
  <si>
    <t>27622</t>
  </si>
  <si>
    <t>27622. Depreciación acumulada – Inmuebles, maquinaria y equipo - Edificaciones - Revaluación</t>
  </si>
  <si>
    <t>27623</t>
  </si>
  <si>
    <t>27623. Depreciación acumulada – Inmuebles, maquinaria y equipo - Edificaciones - Costo de financiación</t>
  </si>
  <si>
    <t>27631</t>
  </si>
  <si>
    <t>27631. Depreciación acumulada – Inmuebles, maquinaria y equipo - Maquinarias y equipos de explotación - Costo de adquisición o construcción</t>
  </si>
  <si>
    <t>27632</t>
  </si>
  <si>
    <t>27632. Depreciación acumulada – Inmuebles, maquinaria y equipo - Maquinarias y equipos de explotación - Revaluación</t>
  </si>
  <si>
    <t>27633</t>
  </si>
  <si>
    <t>27633. Depreciación acumulada – Inmuebles, maquinaria y equipo - Maquinarias y equipos de explotación - Costo de financiación</t>
  </si>
  <si>
    <t>27641</t>
  </si>
  <si>
    <t>27641. Depreciación acumulada – Inmuebles, maquinaria y equipo - Equipo de transporte - Costo</t>
  </si>
  <si>
    <t>27642</t>
  </si>
  <si>
    <t>27642. Depreciación acumulada – Inmuebles, maquinaria y equipo - Equipo de transporte - Revaluación</t>
  </si>
  <si>
    <t>27651</t>
  </si>
  <si>
    <t>27651. Depreciación acumulada – Inmuebles, maquinaria y equipo - Muebles y enseres - Costo</t>
  </si>
  <si>
    <t>27652</t>
  </si>
  <si>
    <t>27652. Depreciación acumulada – Inmuebles, maquinaria y equipo - Muebles y enseres - Revaluación</t>
  </si>
  <si>
    <t>27661</t>
  </si>
  <si>
    <t>27661. Depreciación acumulada – Inmuebles, maquinaria y equipo - Equipos diversos - Costo</t>
  </si>
  <si>
    <t>27662</t>
  </si>
  <si>
    <t>27662. Depreciación acumulada – Inmuebles, maquinaria y equipo - Equipos diversos - Revaluación</t>
  </si>
  <si>
    <t>27671</t>
  </si>
  <si>
    <t>27671. Depreciación acumulada – Inmuebles, maquinaria y equipo - Herramientas y unidades de reemplazo - Costo</t>
  </si>
  <si>
    <t>27672</t>
  </si>
  <si>
    <t>27672. Depreciación acumulada – Inmuebles, maquinaria y equipo - Herramientas y unidades de reemplazo - Revaluación</t>
  </si>
  <si>
    <t>27711</t>
  </si>
  <si>
    <t>27711. Amortización acumulada – Intangibles - Concesiones, licencias y derechos - Costo</t>
  </si>
  <si>
    <t>27712</t>
  </si>
  <si>
    <t>27712. Amortización acumulada – Intangibles - Concesiones, licencias y derechos - Revaluación</t>
  </si>
  <si>
    <t>27721</t>
  </si>
  <si>
    <t>27721. Amortización acumulada – Intangibles - Patentes y propiedad industrial - Costo</t>
  </si>
  <si>
    <t>27722</t>
  </si>
  <si>
    <t>27722. Amortización acumulada – Intangibles - Patentes y propiedad industrial - Revaluación</t>
  </si>
  <si>
    <t>27731</t>
  </si>
  <si>
    <t>27731. Amortización acumulada – Intangibles - Programas de computadora (software) - Costo</t>
  </si>
  <si>
    <t>27732</t>
  </si>
  <si>
    <t>27732. Amortización acumulada – Intangibles - Programas de computadora (software) - Revaluación</t>
  </si>
  <si>
    <t>27741</t>
  </si>
  <si>
    <t>27741. Amortización acumulada – Intangibles - Costos de exploración y desarrollo - Costo</t>
  </si>
  <si>
    <t>27742</t>
  </si>
  <si>
    <t>27742. Amortización acumulada – Intangibles - Costos de exploración y desarrollo - Revaluación</t>
  </si>
  <si>
    <t>27751</t>
  </si>
  <si>
    <t>27751. Amortización acumulada – Intangibles - Fórmulas, diseños y prototipos - Costo</t>
  </si>
  <si>
    <t>27752</t>
  </si>
  <si>
    <t>27752. Amortización acumulada – Intangibles - Fórmulas, diseños y prototipos - Revaluación</t>
  </si>
  <si>
    <t>27761</t>
  </si>
  <si>
    <t>27761. Amortización acumulada – Intangibles - Reservas de recursos extraíbles - Costo</t>
  </si>
  <si>
    <t>27762</t>
  </si>
  <si>
    <t>27762. Amortización acumulada – Intangibles - Reservas de recursos extraíbles - Revaluación</t>
  </si>
  <si>
    <t>27791</t>
  </si>
  <si>
    <t>27791. Amortización acumulada – Intangibles - Otros activos intangibles - Costo</t>
  </si>
  <si>
    <t>27792</t>
  </si>
  <si>
    <t>27792. Amortización acumulada – Intangibles - Otros activos intangibles - Revaluación</t>
  </si>
  <si>
    <t>27911</t>
  </si>
  <si>
    <t>27911. Desvalorización acumulada - Inversión inmobiliaria - Terrenos</t>
  </si>
  <si>
    <t>27912</t>
  </si>
  <si>
    <t>27912. Desvalorización acumulada - Inversión inmobiliaria - Edificaciones</t>
  </si>
  <si>
    <t>27931</t>
  </si>
  <si>
    <t>27931. Desvalorización acumulada - Inmuebles, maquinaria y equipo - Terrenos</t>
  </si>
  <si>
    <t>27932</t>
  </si>
  <si>
    <t>27932. Desvalorización acumulada - Inmuebles, maquinaria y equipo - Edificaciones</t>
  </si>
  <si>
    <t>27933</t>
  </si>
  <si>
    <t>27933. Desvalorización acumulada - Inmuebles, maquinaria y equipo - Maquinarias y equipos de explotación</t>
  </si>
  <si>
    <t>27934</t>
  </si>
  <si>
    <t>27934. Desvalorización acumulada - Inmuebles, maquinaria y equipo - Equipo de transporte</t>
  </si>
  <si>
    <t>27935</t>
  </si>
  <si>
    <t>27935. Desvalorización acumulada - Inmuebles, maquinaria y equipo - Muebles y enseres</t>
  </si>
  <si>
    <t>27936</t>
  </si>
  <si>
    <t>27936. Desvalorización acumulada - Inmuebles, maquinaria y equipo - Equipos diversos</t>
  </si>
  <si>
    <t>27937</t>
  </si>
  <si>
    <t>27937. Desvalorización acumulada - Inmuebles, maquinaria y equipo - Herramientas y unidades de reemplazo</t>
  </si>
  <si>
    <t>27941</t>
  </si>
  <si>
    <t>27941. Desvalorización acumulada - Intangibles - Concesiones, licencias y otros derechos</t>
  </si>
  <si>
    <t>27942</t>
  </si>
  <si>
    <t>27942. Desvalorización acumulada - Intangibles - Patentes y propiedad industrial</t>
  </si>
  <si>
    <t>27943</t>
  </si>
  <si>
    <t>27943. Desvalorización acumulada - Intangibles - Programas de computadora (software)</t>
  </si>
  <si>
    <t>27944</t>
  </si>
  <si>
    <t>27944. Desvalorización acumulada - Intangibles - Costos de exploración y desarrollo</t>
  </si>
  <si>
    <t>27945</t>
  </si>
  <si>
    <t>27945. Desvalorización acumulada - Intangibles - Fórmulas, diseños y prototipos</t>
  </si>
  <si>
    <t>27946</t>
  </si>
  <si>
    <t>27946. Desvalorización acumulada - Intangibles - Reservas de recursos extraíbles</t>
  </si>
  <si>
    <t>27951</t>
  </si>
  <si>
    <t>27951. Desvalorización acumulada - Activos biológicos - Activos biológicos en producción</t>
  </si>
  <si>
    <t>27952</t>
  </si>
  <si>
    <t>27952. Desvalorización acumulada - Activos biológicos - Activos biológicos en desarrollo</t>
  </si>
  <si>
    <t>281. Mercaderías</t>
  </si>
  <si>
    <t>284. Materias primas</t>
  </si>
  <si>
    <t>285. Materiales auxiliares, suministros y repuestos</t>
  </si>
  <si>
    <t>286. Envases y embalajes</t>
  </si>
  <si>
    <t>2911. Mercaderías - Mercaderías manufacturadas</t>
  </si>
  <si>
    <t>2912. Mercaderías - Mercaderías de extracción</t>
  </si>
  <si>
    <t>2913. Mercaderías - Mercaderías agropecuarias y piscícolas</t>
  </si>
  <si>
    <t>2914. Mercaderías - Mercaderías inmuebles</t>
  </si>
  <si>
    <t>2918. Mercaderías - Otras mercaderías</t>
  </si>
  <si>
    <t>2921. Productos terminados - Productos manufacturados</t>
  </si>
  <si>
    <t>2922. Productos terminados - Productos de extracción terminados</t>
  </si>
  <si>
    <t>2923. Productos terminados - Productos agropecuarios y piscícolas terminados</t>
  </si>
  <si>
    <t>2924. Productos terminados - Productos inmuebles</t>
  </si>
  <si>
    <t>2925. Productos terminados - Existencias de servicios terminados</t>
  </si>
  <si>
    <t>2927. Productos terminados - Otros productos terminados</t>
  </si>
  <si>
    <t>2928. Productos terminados - Costos de financiación – Productos terminados</t>
  </si>
  <si>
    <t>2931. Subproductos, desechos y desperdicios - Subproductos</t>
  </si>
  <si>
    <t>2932. Subproductos, desechos y desperdicios - Desechos y desperdicios</t>
  </si>
  <si>
    <t>2941. Productos en proceso - Productos en proceso de manufactura</t>
  </si>
  <si>
    <t>2942. Productos en proceso - Productos extraídos en proceso de transformación</t>
  </si>
  <si>
    <t>2943. Productos en proceso - Productos agropecuarios y piscícolas en proceso</t>
  </si>
  <si>
    <t>2944. Productos en proceso - Productos inmuebles en proceso</t>
  </si>
  <si>
    <t>2945. Productos en proceso - Existencias de servicios en proceso</t>
  </si>
  <si>
    <t>2947. Productos en proceso - Otros productos en proceso</t>
  </si>
  <si>
    <t>2948. Productos en proceso - Costos de financiación – Productos en proceso</t>
  </si>
  <si>
    <t>2951. Materias primas - Materias primas para productos manufacturados</t>
  </si>
  <si>
    <t>2952. Materias primas - Materias primas para productos de extracción</t>
  </si>
  <si>
    <t>2953. Materias primas - Materias primas para productos agropecuarios y piscícolas</t>
  </si>
  <si>
    <t>2954. Materias primas - Materias primas para productos inmuebles</t>
  </si>
  <si>
    <t>2961. Materiales auxiliares, suministros y repuestos - Materiales auxiliares</t>
  </si>
  <si>
    <t>2962. Materiales auxiliares, suministros y repuestos - Suministros</t>
  </si>
  <si>
    <t>2963. Materiales auxiliares, suministros y repuestos - Repuestos</t>
  </si>
  <si>
    <t>2971. Envases y embalajes - Envases</t>
  </si>
  <si>
    <t>2972. Envases y embalajes - Embalajes</t>
  </si>
  <si>
    <t>2981. Existencias por recibir - Mercaderías</t>
  </si>
  <si>
    <t>2982. Existencias por recibir - Materias primas</t>
  </si>
  <si>
    <t>2983. Existencias por recibir - Materiales auxiliares, suministros y repuestos</t>
  </si>
  <si>
    <t>2984. Existencias por recibir - Envases y embalajes</t>
  </si>
  <si>
    <t>30111. Inversiones a ser mantenidas hasta el vencimiento - Instrumentos financieros representativos de deuda - Valores emitidos o garantizados por el Estado</t>
  </si>
  <si>
    <t>30112. Inversiones a ser mantenidas hasta el vencimiento - Instrumentos financieros representativos de deuda - Valores emitidos por el sistema financiero</t>
  </si>
  <si>
    <t>30113. Inversiones a ser mantenidas hasta el vencimiento - Instrumentos financieros representativos de deuda - Valores emitidos por las empresas</t>
  </si>
  <si>
    <t>30114. Inversiones a ser mantenidas hasta el vencimiento - Instrumentos financieros representativos de deuda - Valores emitidos por otras entidades</t>
  </si>
  <si>
    <t>3021. Instrumentos financieros representativos de derecho patrimonial - Certificados de suscripción preferente</t>
  </si>
  <si>
    <t>30221</t>
  </si>
  <si>
    <t>30221. Instrumentos financieros representativos de derecho patrimonial - Acciones representativas de capital social – Comunes - Costo</t>
  </si>
  <si>
    <t>30222</t>
  </si>
  <si>
    <t>30222. Instrumentos financieros representativos de derecho patrimonial - Acciones representativas de capital social – Comunes - Valor razonable</t>
  </si>
  <si>
    <t>30223</t>
  </si>
  <si>
    <t>30223. Instrumentos financieros representativos de derecho patrimonial - Acciones representativas de capital social – Comunes - Participación patrimonial</t>
  </si>
  <si>
    <t>30231. Instrumentos financieros representativos de derecho patrimonial - Acciones representativas de capital social – Preferentes - Costo</t>
  </si>
  <si>
    <t>30232. Instrumentos financieros representativos de derecho patrimonial - Acciones representativas de capital social – Preferentes - Valor razonable</t>
  </si>
  <si>
    <t>30233</t>
  </si>
  <si>
    <t>30233. Instrumentos financieros representativos de derecho patrimonial - Acciones representativas de capital social – Preferentes - Participación patrimonial</t>
  </si>
  <si>
    <t>30241. Instrumentos financieros representativos de derecho patrimonial - Acciones de inversión - Costo</t>
  </si>
  <si>
    <t>30242. Instrumentos financieros representativos de derecho patrimonial - Acciones de inversión - Valor razonable</t>
  </si>
  <si>
    <t>30243</t>
  </si>
  <si>
    <t>30243. Instrumentos financieros representativos de derecho patrimonial - Acciones de inversión - Participación patrimonial</t>
  </si>
  <si>
    <t>30251</t>
  </si>
  <si>
    <t>30251. Instrumentos financieros representativos de derecho patrimonial - Certificados de participación de fondos de inversión - Costo</t>
  </si>
  <si>
    <t>30252</t>
  </si>
  <si>
    <t>30252. Instrumentos financieros representativos de derecho patrimonial - Certificados de participación de fondos de inversión - Valor razonable</t>
  </si>
  <si>
    <t>30261</t>
  </si>
  <si>
    <t>30261. Instrumentos financieros representativos de derecho patrimonial - Certificados de participación de fondos mutuos - Costo</t>
  </si>
  <si>
    <t>30262</t>
  </si>
  <si>
    <t>30262. Instrumentos financieros representativos de derecho patrimonial - Certificados de participación de fondos mutuos - Valor razonable</t>
  </si>
  <si>
    <t>30271</t>
  </si>
  <si>
    <t>30271. Instrumentos financieros representativos de derecho patrimonial - Participaciones en asociaciones en participación y consorcios - Costo</t>
  </si>
  <si>
    <t>30272</t>
  </si>
  <si>
    <t>30272. Instrumentos financieros representativos de derecho patrimonial - Participaciones en asociaciones en participación y consorcios - Valor razonable</t>
  </si>
  <si>
    <t>30273</t>
  </si>
  <si>
    <t>30273. Instrumentos financieros representativos de derecho patrimonial - Participaciones en asociaciones en participación y consorcios - Participación patrimonial</t>
  </si>
  <si>
    <t>30281</t>
  </si>
  <si>
    <t>30281. Instrumentos financieros representativos de derecho patrimonial - Otros títulos representativos de patrimonio - Costo</t>
  </si>
  <si>
    <t>30282</t>
  </si>
  <si>
    <t>30282. Instrumentos financieros representativos de derecho patrimonial - Otros títulos representativos de patrimonio - Valor razonable</t>
  </si>
  <si>
    <t>3081</t>
  </si>
  <si>
    <t>3081. Inversiones mobiliarias – Acuerdos de compra - Inversiones a ser mantenidas hasta el vencimiento – Acuerdo de compra</t>
  </si>
  <si>
    <t>3082</t>
  </si>
  <si>
    <t>3082. Inversiones mobiliarias – Acuerdos de compra - Instrumentos financieros representativos de derecho patrimonial – Acuerdo de compra</t>
  </si>
  <si>
    <t>31111. Terrenos - Urbanos - Valor razonable</t>
  </si>
  <si>
    <t>31112. Terrenos - Urbanos - Costo</t>
  </si>
  <si>
    <t>31113. Terrenos - Urbanos - Revaluación</t>
  </si>
  <si>
    <t>31121. Terrenos - Rurales - Valor razonable</t>
  </si>
  <si>
    <t>31122. Terrenos - Rurales - Costo</t>
  </si>
  <si>
    <t>31123. Terrenos - Rurales - Revaluación</t>
  </si>
  <si>
    <t>31211. Edificaciones - Edificaciones - Valor razonable</t>
  </si>
  <si>
    <t>31212. Edificaciones - Edificaciones - Costo</t>
  </si>
  <si>
    <t>31213. Edificaciones - Edificaciones - Revaluación</t>
  </si>
  <si>
    <t>31214. Edificaciones - Edificaciones - Costos de financiación – Inversiones inmobiliarias</t>
  </si>
  <si>
    <t>3211. Inversiones inmobiliarias - Terrenos</t>
  </si>
  <si>
    <t>3212. Inversiones inmobiliarias - Edificaciones</t>
  </si>
  <si>
    <t>3221. Inmuebles, maquinaria y equipo - Terrenos</t>
  </si>
  <si>
    <t>3222. Inmuebles, maquinaria y equipo - Edificaciones</t>
  </si>
  <si>
    <t>3223. Inmuebles, maquinaria y equipo - Maquinarias y equipos de explotación</t>
  </si>
  <si>
    <t>3224. Inmuebles, maquinaria y equipo - Equipo de transporte</t>
  </si>
  <si>
    <t>3225. Inmuebles, maquinaria y equipo - Muebles y enseres</t>
  </si>
  <si>
    <t>3226. Inmuebles, maquinaria y equipo - Equipos diversos</t>
  </si>
  <si>
    <t>3227. Inmuebles, maquinaria y equipo - Herramientas y unidades de reemplazo</t>
  </si>
  <si>
    <t>33111. Terrenos - Terrenos - Costo</t>
  </si>
  <si>
    <t>33112. Terrenos - Terrenos - Revaluación</t>
  </si>
  <si>
    <t>33211. Edificaciones - Edificaciones administrativas - Costo de adquisición o construcción</t>
  </si>
  <si>
    <t>33212. Edificaciones - Edificaciones administrativas - Revaluación</t>
  </si>
  <si>
    <t>33213. Edificaciones - Edificaciones administrativas - Costo de financiación – Edificaciones</t>
  </si>
  <si>
    <t>33221. Edificaciones - Almacenes - Costo de adquisición o construcción</t>
  </si>
  <si>
    <t>33222. Edificaciones - Almacenes - Revaluación</t>
  </si>
  <si>
    <t>33223. Edificaciones - Almacenes - Costo de financiación – Almacenes</t>
  </si>
  <si>
    <t>33231. Edificaciones - Edificaciones para producción - Costo de adquisición o construcción</t>
  </si>
  <si>
    <t>33232. Edificaciones - Edificaciones para producción - Revaluación</t>
  </si>
  <si>
    <t>33233. Edificaciones - Edificaciones para producción - Costo de financiación – Edificaciones para producción</t>
  </si>
  <si>
    <t>33241. Edificaciones - Instalaciones - Costo de adquisición o construcción</t>
  </si>
  <si>
    <t>33242. Edificaciones - Instalaciones - Revaluación</t>
  </si>
  <si>
    <t>33243. Edificaciones - Instalaciones - Costo de financiación – Instalaciones</t>
  </si>
  <si>
    <t>33311. Maquinarias y equipos de explotación - Maquinarias y equipos de explotación - Costo de adquisición o construcción</t>
  </si>
  <si>
    <t>33312. Maquinarias y equipos de explotación - Maquinarias y equipos de explotación - Revaluación</t>
  </si>
  <si>
    <t>33313. Maquinarias y equipos de explotación - Maquinarias y equipos de explotación - Costo de financiación – Maquinarias y equipos de explotación</t>
  </si>
  <si>
    <t>33411. Unidades de transporte - Vehículos motorizados - Costo</t>
  </si>
  <si>
    <t>33412. Unidades de transporte - Vehículos motorizados - Revaluación</t>
  </si>
  <si>
    <t>33421. Unidades de transporte - Vehículos no motorizados - Costo</t>
  </si>
  <si>
    <t>33422. Unidades de transporte - Vehículos no motorizados - Revaluación</t>
  </si>
  <si>
    <t>33511. Muebles y enseres - Muebles - Costo</t>
  </si>
  <si>
    <t>33512. Muebles y enseres - Muebles - Revaluación</t>
  </si>
  <si>
    <t>33521. Muebles y enseres - Enseres - Costo</t>
  </si>
  <si>
    <t>33522. Muebles y enseres - Enseres - Revaluación</t>
  </si>
  <si>
    <t>33611. Equipos diversos - Equipo para procesamiento de información (de cómputo) - Costo</t>
  </si>
  <si>
    <t>33612. Equipos diversos - Equipo para procesamiento de información (de cómputo) - Revaluación</t>
  </si>
  <si>
    <t>33621. Equipos diversos - Equipo de comunicación - Costo</t>
  </si>
  <si>
    <t>33622. Equipos diversos - Equipo de comunicación - Revaluación</t>
  </si>
  <si>
    <t>33631. Equipos diversos - Equipo de seguridad - Costo</t>
  </si>
  <si>
    <t>33632. Equipos diversos - Equipo de seguridad - Revaluación</t>
  </si>
  <si>
    <t>33691. Equipos diversos - Otros equipos - Costo</t>
  </si>
  <si>
    <t>33692. Equipos diversos - Otros equipos - Revaluación</t>
  </si>
  <si>
    <t>33711. Herramientas y unidades de reemplazo - Herramientas - Costo</t>
  </si>
  <si>
    <t>33712. Herramientas y unidades de reemplazo - Herramientas - Revaluación</t>
  </si>
  <si>
    <t>33721. Herramientas y unidades de reemplazo - Unidades de reemplazo - Costo</t>
  </si>
  <si>
    <t>33722. Herramientas y unidades de reemplazo - Unidades de reemplazo - Revaluación</t>
  </si>
  <si>
    <t>3381. Unidades por recibir - Maquinarias y equipos de explotación</t>
  </si>
  <si>
    <t>3382. Unidades por recibir - Equipo de transporte</t>
  </si>
  <si>
    <t>3383. Unidades por recibir - Muebles y enseres</t>
  </si>
  <si>
    <t>3386. Unidades por recibir - Equipos diversos</t>
  </si>
  <si>
    <t>3387. Unidades por recibir - Herramientas y unidades de reemplazo</t>
  </si>
  <si>
    <t>3391. Construcciones y obras en curso - Adaptación de terrenos</t>
  </si>
  <si>
    <t>3392. Construcciones y obras en curso - Construcciones en curso</t>
  </si>
  <si>
    <t>3393. Construcciones y obras en curso - Maquinaria en montaje</t>
  </si>
  <si>
    <t>3394. Construcciones y obras en curso - Inversión inmobiliaria en curso</t>
  </si>
  <si>
    <t>33971. Construcciones y obras en curso - Costo de financiación – Inversiones inmobiliarias - Costo de financiación – Edificaciones</t>
  </si>
  <si>
    <t>33981. Construcciones y obras en curso - Costo de financiación – Inmuebles, maquinaria y equipo - Costo de financiación – Edificaciones</t>
  </si>
  <si>
    <t>33982. Construcciones y obras en curso - Costo de financiación – Inmuebles, maquinaria y equipo - Costo de financiación – Maquinarias y equipos de explotación</t>
  </si>
  <si>
    <t>34111. Concesiones, licencias y otros derechos - Concesiones - Costo</t>
  </si>
  <si>
    <t>34112. Concesiones, licencias y otros derechos - Concesiones - Revaluación</t>
  </si>
  <si>
    <t>34121. Concesiones, licencias y otros derechos - Licencias - Costo</t>
  </si>
  <si>
    <t>34122. Concesiones, licencias y otros derechos - Licencias - Revaluación</t>
  </si>
  <si>
    <t>34191. Concesiones, licencias y otros derechos - Otros derechos - Costo</t>
  </si>
  <si>
    <t>34192. Concesiones, licencias y otros derechos - Otros derechos - Revaluación</t>
  </si>
  <si>
    <t>34211. Patentes y propiedad industrial - Patentes - Costo</t>
  </si>
  <si>
    <t>34212. Patentes y propiedad industrial - Patentes - Revaluación</t>
  </si>
  <si>
    <t>34221. Patentes y propiedad industrial - Marcas - Costo</t>
  </si>
  <si>
    <t>34222. Patentes y propiedad industrial - Marcas - Revaluación</t>
  </si>
  <si>
    <t>34311. Programas de computadora (software) - Aplicaciones informáticas - Costo</t>
  </si>
  <si>
    <t>34312. Programas de computadora (software) - Aplicaciones informáticas - Revaluación</t>
  </si>
  <si>
    <t>34411. Costos de exploración y desarrollo - Costos de exploración - Costo</t>
  </si>
  <si>
    <t>34412</t>
  </si>
  <si>
    <t>34412. Costos de exploración y desarrollo - Costos de exploración - Revaluación</t>
  </si>
  <si>
    <t>34413</t>
  </si>
  <si>
    <t>34413. Costos de exploración y desarrollo - Costos de exploración - Costo de financiación</t>
  </si>
  <si>
    <t>34421. Costos de exploración y desarrollo - Costos de desarrollo - Costo</t>
  </si>
  <si>
    <t>34422</t>
  </si>
  <si>
    <t>34422. Costos de exploración y desarrollo - Costos de desarrollo - Revaluación</t>
  </si>
  <si>
    <t>34423</t>
  </si>
  <si>
    <t>34423. Costos de exploración y desarrollo - Costos de desarrollo - Costo de financiación</t>
  </si>
  <si>
    <t>34511. Fórmulas, diseños y prototipos - Fórmulas - Costo</t>
  </si>
  <si>
    <t>34512. Fórmulas, diseños y prototipos - Fórmulas - Revaluación</t>
  </si>
  <si>
    <t>34521. Fórmulas, diseños y prototipos - Diseños y prototipos - Costo</t>
  </si>
  <si>
    <t>34522. Fórmulas, diseños y prototipos - Diseños y prototipos - Revaluación</t>
  </si>
  <si>
    <t>34611</t>
  </si>
  <si>
    <t>34611. Reservas de recursos extraíbles - Minerales - Costo</t>
  </si>
  <si>
    <t>34612</t>
  </si>
  <si>
    <t>34612. Reservas de recursos extraíbles - Minerales - Revaluación</t>
  </si>
  <si>
    <t>34621</t>
  </si>
  <si>
    <t>34621. Reservas de recursos extraíbles - Petróleo y gas - Costo</t>
  </si>
  <si>
    <t>34622</t>
  </si>
  <si>
    <t>34622. Reservas de recursos extraíbles - Petróleo y gas - Revaluación</t>
  </si>
  <si>
    <t>34631</t>
  </si>
  <si>
    <t>34631. Reservas de recursos extraíbles - Madera - Costo</t>
  </si>
  <si>
    <t>34632</t>
  </si>
  <si>
    <t>34632. Reservas de recursos extraíbles - Madera - Revaluación</t>
  </si>
  <si>
    <t>34691</t>
  </si>
  <si>
    <t>34691. Reservas de recursos extraíbles - Otros recursos extraíbles - Costo</t>
  </si>
  <si>
    <t>34692</t>
  </si>
  <si>
    <t>34692. Reservas de recursos extraíbles - Otros recursos extraíbles - Revaluación</t>
  </si>
  <si>
    <t>3471. Plusvalía mercantil - Plusvalía mercantil</t>
  </si>
  <si>
    <t>34911</t>
  </si>
  <si>
    <t>34911. Otros activos intangibles - Otros activos intangibles - Costo</t>
  </si>
  <si>
    <t>34912</t>
  </si>
  <si>
    <t>34912. Otros activos intangibles - Otros activos intangibles - Revaluación</t>
  </si>
  <si>
    <t>35111. Activos biológicos en producción - De origen animal - Valor razonable</t>
  </si>
  <si>
    <t>35112. Activos biológicos en producción - De origen animal - Costo</t>
  </si>
  <si>
    <t>35113</t>
  </si>
  <si>
    <t>35113. Activos biológicos en producción - De origen animal - Costo de financiación</t>
  </si>
  <si>
    <t>35121. Activos biológicos en producción - De origen vegetal - Valor razonable</t>
  </si>
  <si>
    <t>35122. Activos biológicos en producción - De origen vegetal - Costo</t>
  </si>
  <si>
    <t>35123</t>
  </si>
  <si>
    <t>35123. Activos biológicos en producción - De origen vegetal - Costo de financiación</t>
  </si>
  <si>
    <t>35211. Activos biológicos en desarrollo - De origen animal - Valor razonable</t>
  </si>
  <si>
    <t>35212. Activos biológicos en desarrollo - De origen animal - Costo</t>
  </si>
  <si>
    <t>35213. Activos biológicos en desarrollo - De origen animal - Costo de financiación</t>
  </si>
  <si>
    <t>35221. Activos biológicos en desarrollo - De origen vegetal - Valor razonable</t>
  </si>
  <si>
    <t>35222. Activos biológicos en desarrollo - De origen vegetal - Costo</t>
  </si>
  <si>
    <t>35223. Activos biológicos en desarrollo - De origen vegetal - Costo de financiación</t>
  </si>
  <si>
    <t>3611. Desvalorización de inversiones inmobiliarias - Terrenos</t>
  </si>
  <si>
    <t>36121. Desvalorización de inversiones inmobiliarias - Edificaciones - Edificaciones – Costo de adquisición o construcción</t>
  </si>
  <si>
    <t>36122. Desvalorización de inversiones inmobiliarias - Edificaciones - Edificaciones – Costo de financiación</t>
  </si>
  <si>
    <t>3631. Desvalorización de inmuebles, maquinaria y equipo - Terrenos</t>
  </si>
  <si>
    <t>36321. Desvalorización de inmuebles, maquinaria y equipo - Edificaciones - Edificaciones – Costo de adquisición o construcción</t>
  </si>
  <si>
    <t>36322. Desvalorización de inmuebles, maquinaria y equipo - Edificaciones - Edificaciones – Costo de financiación</t>
  </si>
  <si>
    <t>36331. Desvalorización de inmuebles, maquinaria y equipo - Maquinarias y equipos de explotación - Maquinarias y equipos de explotación – Costo de adquisición o construcción</t>
  </si>
  <si>
    <t>36332. Desvalorización de inmuebles, maquinaria y equipo - Maquinarias y equipos de explotación - Maquinarias y equipos de explotación – Costo de financiación</t>
  </si>
  <si>
    <t>3634. Desvalorización de inmuebles, maquinaria y equipo - Equipo de transporte</t>
  </si>
  <si>
    <t>3635. Desvalorización de inmuebles, maquinaria y equipo - Muebles y enseres</t>
  </si>
  <si>
    <t>3636. Desvalorización de inmuebles, maquinaria y equipo - Equipos diversos</t>
  </si>
  <si>
    <t>3637. Desvalorización de inmuebles, maquinaria y equipo - Herramientas y unidades de reemplazo</t>
  </si>
  <si>
    <t>3641. Desvalorización de intangibles - Concesiones, licencias y otros derechos</t>
  </si>
  <si>
    <t>3642. Desvalorización de intangibles - Patentes y propiedad industrial</t>
  </si>
  <si>
    <t>3643. Desvalorización de intangibles - Programas de computadora (software)</t>
  </si>
  <si>
    <t>36441</t>
  </si>
  <si>
    <t>36441. Desvalorización de intangibles - Costos de exploración y desarrollo - Costo</t>
  </si>
  <si>
    <t>36442</t>
  </si>
  <si>
    <t>36442. Desvalorización de intangibles - Costos de exploración y desarrollo - Costo de financiación</t>
  </si>
  <si>
    <t>3645. Desvalorización de intangibles - Fórmulas, diseños y prototipos</t>
  </si>
  <si>
    <t>3647</t>
  </si>
  <si>
    <t>3647. Desvalorización de intangibles - Plusvalía mercantil</t>
  </si>
  <si>
    <t>3649. Desvalorización de intangibles - Otros activos intangibles</t>
  </si>
  <si>
    <t>36511</t>
  </si>
  <si>
    <t>36511. Desvalorización de activos biológicos - Activos biológicos en producción - Costo</t>
  </si>
  <si>
    <t>36512</t>
  </si>
  <si>
    <t>36512. Desvalorización de activos biológicos - Activos biológicos en producción - Costo de financiación</t>
  </si>
  <si>
    <t>36521. Desvalorización de activos biológicos - Activos biológicos en desarrollo - Costo</t>
  </si>
  <si>
    <t>36522. Desvalorización de activos biológicos - Activos biológicos en desarrollo - Costo de financiación</t>
  </si>
  <si>
    <t>3661</t>
  </si>
  <si>
    <t>3661. Desvalorización de inversiones mobiliarias - Inversiones a ser mantenidas hasta el vencimiento</t>
  </si>
  <si>
    <t>3662</t>
  </si>
  <si>
    <t>3662. Desvalorización de inversiones mobiliarias - Inversiones financieras representativas de derecho patrimonial</t>
  </si>
  <si>
    <t>3711</t>
  </si>
  <si>
    <t>3711. Impuesto a la renta diferido - Impuesto a la renta diferido – Patrimonio</t>
  </si>
  <si>
    <t>3712</t>
  </si>
  <si>
    <t>3712. Impuesto a la renta diferido - Impuesto a la renta diferido – Resultados</t>
  </si>
  <si>
    <t>3721</t>
  </si>
  <si>
    <t>3721. Participaciones de los trabajadores diferidas - Participaciones de los trabajadores diferidas – Patrimonio</t>
  </si>
  <si>
    <t>3722</t>
  </si>
  <si>
    <t>3722. Participaciones de los trabajadores diferidas - Participaciones de los trabajadores diferidas – Resultados</t>
  </si>
  <si>
    <t>3731. Intereses diferidos - Intereses no devengados en transacciones con terceros</t>
  </si>
  <si>
    <t>3732. Intereses diferidos - Intereses no devengados en medición a valor descontado</t>
  </si>
  <si>
    <t>3811. Bienes de arte y cultura - Obras de arte</t>
  </si>
  <si>
    <t>3812. Bienes de arte y cultura - Biblioteca</t>
  </si>
  <si>
    <t>3813. Bienes de arte y cultura - Otros</t>
  </si>
  <si>
    <t>3821. Diversos - Monedas y joyas</t>
  </si>
  <si>
    <t>3822. Diversos - Bienes entregados en comodato</t>
  </si>
  <si>
    <t>3823. Diversos - Bienes recibidos en pago (adjudicados y realizables)</t>
  </si>
  <si>
    <t>3829</t>
  </si>
  <si>
    <t>3829. Diversos - Otros</t>
  </si>
  <si>
    <t>39111. Depreciación acumulada - Inversiones Inmobiliarias - Edificaciones – Costo de adquisición o construcción</t>
  </si>
  <si>
    <t>39112. Depreciación acumulada - Inversiones Inmobiliarias - Edificaciones – Revaluación</t>
  </si>
  <si>
    <t>39113</t>
  </si>
  <si>
    <t>39113. Depreciación acumulada - Inversiones Inmobiliarias - Edificaciones – Costo de financiación</t>
  </si>
  <si>
    <t>39121. Depreciación acumulada - Activos adquiridos en arrendamiento financiero - Inversiones inmobiliarias – Edificaciones</t>
  </si>
  <si>
    <t>39122. Depreciación acumulada - Activos adquiridos en arrendamiento financiero - Inmuebles, maquinaria y equipo – Edificaciones</t>
  </si>
  <si>
    <t>39123. Depreciación acumulada - Activos adquiridos en arrendamiento financiero - Inmuebles, maquinaria y equipo – Maquinarias y equipos de explotación</t>
  </si>
  <si>
    <t>39124. Depreciación acumulada - Activos adquiridos en arrendamiento financiero - Inmuebles, maquinaria y equipo – Equipos de transporte</t>
  </si>
  <si>
    <t>39126. Depreciación acumulada - Activos adquiridos en arrendamiento financiero - Inmuebles, maquinaria y equipo – Equipos diversos</t>
  </si>
  <si>
    <t>39131. Depreciación acumulada - Inmuebles, maquinaria y equipo – Costo - Edificaciones</t>
  </si>
  <si>
    <t>39132. Depreciación acumulada - Inmuebles, maquinaria y equipo – Costo - Maquinarias y equipos de explotación</t>
  </si>
  <si>
    <t>39133. Depreciación acumulada - Inmuebles, maquinaria y equipo – Costo - Equipo de transporte</t>
  </si>
  <si>
    <t>39134. Depreciación acumulada - Inmuebles, maquinaria y equipo – Costo - Muebles y enseres</t>
  </si>
  <si>
    <t>39135. Depreciación acumulada - Inmuebles, maquinaria y equipo – Costo - Equipos diversos</t>
  </si>
  <si>
    <t>39136. Depreciación acumulada - Inmuebles, maquinaria y equipo – Costo - Herramientas y unidades de reemplazo</t>
  </si>
  <si>
    <t>39141. Depreciación acumulada - Inmuebles, maquinaria y equipo – Revaluación - Edificaciones</t>
  </si>
  <si>
    <t>39142. Depreciación acumulada - Inmuebles, maquinaria y equipo – Revaluación - Maquinarias y equipos de explotación</t>
  </si>
  <si>
    <t>39143. Depreciación acumulada - Inmuebles, maquinaria y equipo – Revaluación - Equipo de transporte</t>
  </si>
  <si>
    <t>39144. Depreciación acumulada - Inmuebles, maquinaria y equipo – Revaluación - Muebles y enseres</t>
  </si>
  <si>
    <t>39145. Depreciación acumulada - Inmuebles, maquinaria y equipo – Revaluación - Equipos diversos</t>
  </si>
  <si>
    <t>39146. Depreciación acumulada - Inmuebles, maquinaria y equipo – Revaluación - Herramientas y unidades de reemplazo</t>
  </si>
  <si>
    <t>39151. Depreciación acumulada - Inmuebles, maquinaria y equipo – Costo de financiación - Edificaciones</t>
  </si>
  <si>
    <t>39152. Depreciación acumulada - Inmuebles, maquinaria y equipo – Costo de financiación - Maquinarias y equipos de explotación</t>
  </si>
  <si>
    <t>39161. Depreciación acumulada - Activos biológicos en producción – Costo - Activos biológicos de origen animal</t>
  </si>
  <si>
    <t>39162. Depreciación acumulada - Activos biológicos en producción – Costo - Activos biológicos de origen vegetal</t>
  </si>
  <si>
    <t>39171. Depreciación acumulada - Activos biológicos en producción – Costo de financiación - Activos biológicos de origen animal</t>
  </si>
  <si>
    <t>39172. Depreciación acumulada - Activos biológicos en producción – Costo de financiación - Activos biológicos de origen vegetal</t>
  </si>
  <si>
    <t>39211. Amortización acumulada - Intangibles – Costo - Concesiones, licencias y otros derechos</t>
  </si>
  <si>
    <t>39212. Amortización acumulada - Intangibles – Costo - Patentes y propiedad industrial</t>
  </si>
  <si>
    <t>39213. Amortización acumulada - Intangibles – Costo - Programas de computadora (software)</t>
  </si>
  <si>
    <t>39214. Amortización acumulada - Intangibles – Costo - Costos de exploración y desarrollo</t>
  </si>
  <si>
    <t>39215. Amortización acumulada - Intangibles – Costo - Fórmulas, diseños y prototipos</t>
  </si>
  <si>
    <t>39219. Amortización acumulada - Intangibles – Costo - Otros activos intangibles</t>
  </si>
  <si>
    <t>39221. Amortización acumulada - Intangibles – Revaluación - Concesiones, licencias y otros derechos</t>
  </si>
  <si>
    <t>39222. Amortización acumulada - Intangibles – Revaluación - Patentes y propiedad industrial</t>
  </si>
  <si>
    <t>39223. Amortización acumulada - Intangibles – Revaluación - Programas de computadora (software)</t>
  </si>
  <si>
    <t>39224</t>
  </si>
  <si>
    <t>39224. Amortización acumulada - Intangibles – Revaluación - Costos de exploración y desarrollo</t>
  </si>
  <si>
    <t>39225. Amortización acumulada - Intangibles – Revaluación - Fórmulas, diseños y prototipos</t>
  </si>
  <si>
    <t>39229. Amortización acumulada - Intangibles – Revaluación - Otros activos intangibles</t>
  </si>
  <si>
    <t>39234</t>
  </si>
  <si>
    <t>39234. Amortización acumulada - Intangibles – Costos de financiación - Costos de exploración y desarrollo</t>
  </si>
  <si>
    <t>3931. Agotamiento acumulado - Agotamiento de reservas de recursos extraíbles</t>
  </si>
  <si>
    <t>40111. Gobierno central - Impuesto general a las ventas - IGV – Cuenta propia</t>
  </si>
  <si>
    <t>40112. Gobierno central - Impuesto general a las ventas - IGV – Servicios prestados por no domiciliados</t>
  </si>
  <si>
    <t>40113. Gobierno central - Impuesto general a las ventas - IGV – Régimen de percepciones</t>
  </si>
  <si>
    <t>40114. Gobierno central - Impuesto general a las ventas - IGV – Régimen de retenciones</t>
  </si>
  <si>
    <t>4012. Gobierno central - Impuesto selectivo al consumo</t>
  </si>
  <si>
    <t>40151. Gobierno central - Derechos aduaneros - Derechos arancelarios</t>
  </si>
  <si>
    <t>40152. Gobierno central - Derechos aduaneros - Derechos aduaneros por ventas</t>
  </si>
  <si>
    <t>40171. Gobierno central - Impuesto a la renta - Renta de tercera categoría</t>
  </si>
  <si>
    <t>40172. Gobierno central - Impuesto a la renta - Renta de cuarta categoría</t>
  </si>
  <si>
    <t>40173. Gobierno central - Impuesto a la renta - Renta de quinta categoría</t>
  </si>
  <si>
    <t>40174. Gobierno central - Impuesto a la renta - Renta de no domiciliados</t>
  </si>
  <si>
    <t>40175</t>
  </si>
  <si>
    <t>40175. Gobierno central - Impuesto a la renta - Otras retenciones</t>
  </si>
  <si>
    <t>40181. Gobierno central - Otros impuestos y contraprestaciones - Impuesto a las transacciones financieras</t>
  </si>
  <si>
    <t>40182. Gobierno central - Otros impuestos y contraprestaciones - Impuesto a los juegos de casino y tragamonedas</t>
  </si>
  <si>
    <t>40183. Gobierno central - Otros impuestos y contraprestaciones - Tasas por la prestación de servicios públicos</t>
  </si>
  <si>
    <t>40184. Gobierno central - Otros impuestos y contraprestaciones - Regalías</t>
  </si>
  <si>
    <t>40185. Gobierno central - Otros impuestos y contraprestaciones - Impuesto a los dividendos</t>
  </si>
  <si>
    <t>40186</t>
  </si>
  <si>
    <t>40186. Gobierno central - Otros impuestos y contraprestaciones - Impuesto temporal a los activos netos</t>
  </si>
  <si>
    <t>40189</t>
  </si>
  <si>
    <t>40189. Gobierno central - Otros impuestos y contraprestaciones - Otros impuestos</t>
  </si>
  <si>
    <t>402. Certificados tributarios</t>
  </si>
  <si>
    <t>4031. Instituciones públicas - ESSALUD</t>
  </si>
  <si>
    <t>4032. Instituciones públicas - ONP</t>
  </si>
  <si>
    <t>4033. Instituciones públicas - Contribución al SENATI</t>
  </si>
  <si>
    <t>4034. Instituciones públicas - Contribución al SENCICO</t>
  </si>
  <si>
    <t>4039. Instituciones públicas - Otras instituciones</t>
  </si>
  <si>
    <t>405. Gobiernos regionales</t>
  </si>
  <si>
    <t>40611. Gobiernos locales - Impuestos - Impuesto al patrimonio vehicular</t>
  </si>
  <si>
    <t>40612. Gobiernos locales - Impuestos - Impuesto a las apuestas</t>
  </si>
  <si>
    <t>40613. Gobiernos locales - Impuestos - Impuesto a los juegos</t>
  </si>
  <si>
    <t>40614. Gobiernos locales - Impuestos - Impuesto de alcabala</t>
  </si>
  <si>
    <t>40615. Gobiernos locales - Impuestos - Impuesto predial</t>
  </si>
  <si>
    <t>40616. Gobiernos locales - Impuestos - Impuesto a los espectáculos públicos no deportivos</t>
  </si>
  <si>
    <t>4062. Gobiernos locales - Contribuciones</t>
  </si>
  <si>
    <t>40631. Gobiernos locales - Tasas - Licencia de apertura de establecimientos</t>
  </si>
  <si>
    <t>40632. Gobiernos locales - Tasas - Transporte público</t>
  </si>
  <si>
    <t>40633. Gobiernos locales - Tasas - Estacionamiento de vehículos</t>
  </si>
  <si>
    <t>40634. Gobiernos locales - Tasas - Servicios públicos o arbitrios</t>
  </si>
  <si>
    <t>40635. Gobiernos locales - Tasas - Servicios administrativos o derechos</t>
  </si>
  <si>
    <t>407. Administradoras de fondos de pensiones</t>
  </si>
  <si>
    <t>4081. Empresas prestadoras de servicios de salud - Cuenta propia</t>
  </si>
  <si>
    <t>4082. Empresas prestadoras de servicios de salud - Cuenta de terceros</t>
  </si>
  <si>
    <t>409. Otros costos administrativos e intereses</t>
  </si>
  <si>
    <t>4111. Remuneraciones por pagar - Sueldos y salarios por pagar</t>
  </si>
  <si>
    <t>4112. Remuneraciones por pagar - Comisiones por pagar</t>
  </si>
  <si>
    <t>4113. Remuneraciones por pagar - Remuneraciones en especie por pagar</t>
  </si>
  <si>
    <t>4114. Remuneraciones por pagar - Gratificaciones por pagar</t>
  </si>
  <si>
    <t>4115. Remuneraciones por pagar - Vacaciones por pagar</t>
  </si>
  <si>
    <t>413. Participaciones de los trabajadores por pagar</t>
  </si>
  <si>
    <t>4151. Beneficios sociales de los trabajadores por pagar - Compensación por tiempo de servicios</t>
  </si>
  <si>
    <t>4152. Beneficios sociales de los trabajadores por pagar - Adelanto de compensación por tiempo de servicios</t>
  </si>
  <si>
    <t>4153. Beneficios sociales de los trabajadores por pagar - Pensiones y jubilaciones</t>
  </si>
  <si>
    <t>4211. Facturas, boletas y otros comprobantes por pagar - No emitidas</t>
  </si>
  <si>
    <t>4212. Facturas, boletas y otros comprobantes por pagar - Emitidas</t>
  </si>
  <si>
    <t>422. Anticipos a proveedores</t>
  </si>
  <si>
    <t>423. Letras por pagar</t>
  </si>
  <si>
    <t>424. Honorarios por pagar</t>
  </si>
  <si>
    <t>43111</t>
  </si>
  <si>
    <t>43111. Facturas, boletas y otros comprobantes por pagar - No emitidas - Matriz</t>
  </si>
  <si>
    <t>43112</t>
  </si>
  <si>
    <t>43112. Facturas, boletas y otros comprobantes por pagar - No emitidas - Subsidiarias</t>
  </si>
  <si>
    <t>43113</t>
  </si>
  <si>
    <t>43113. Facturas, boletas y otros comprobantes por pagar - No emitidas - Asociadas</t>
  </si>
  <si>
    <t>43114</t>
  </si>
  <si>
    <t>43114. Facturas, boletas y otros comprobantes por pagar - No emitidas - Sucursales</t>
  </si>
  <si>
    <t>43115</t>
  </si>
  <si>
    <t>43115. Facturas, boletas y otros comprobantes por pagar - No emitidas - Otros</t>
  </si>
  <si>
    <t>43121</t>
  </si>
  <si>
    <t>43121. Facturas, boletas y otros comprobantes por pagar - Emitidas - Matriz</t>
  </si>
  <si>
    <t>43122</t>
  </si>
  <si>
    <t>43122. Facturas, boletas y otros comprobantes por pagar - Emitidas - Subsidiarias</t>
  </si>
  <si>
    <t>43123</t>
  </si>
  <si>
    <t>43123. Facturas, boletas y otros comprobantes por pagar - Emitidas - Asociadas</t>
  </si>
  <si>
    <t>43124</t>
  </si>
  <si>
    <t>43124. Facturas, boletas y otros comprobantes por pagar - Emitidas - Sucursales</t>
  </si>
  <si>
    <t>43125</t>
  </si>
  <si>
    <t>43125. Facturas, boletas y otros comprobantes por pagar - Emitidas - Otros</t>
  </si>
  <si>
    <t>43211</t>
  </si>
  <si>
    <t>43211. Anticipos otorgados - Anticipos otorgados - Matriz</t>
  </si>
  <si>
    <t>43212</t>
  </si>
  <si>
    <t>43212. Anticipos otorgados - Anticipos otorgados - Subsidiarias</t>
  </si>
  <si>
    <t>43213</t>
  </si>
  <si>
    <t>43213. Anticipos otorgados - Anticipos otorgados - Asociadas</t>
  </si>
  <si>
    <t>43214</t>
  </si>
  <si>
    <t>43214. Anticipos otorgados - Anticipos otorgados - Sucursales</t>
  </si>
  <si>
    <t>43215</t>
  </si>
  <si>
    <t>43215. Anticipos otorgados - Anticipos otorgados - Otros</t>
  </si>
  <si>
    <t>43311</t>
  </si>
  <si>
    <t>43311. Letras por pagar - Letras por pagar - Matriz</t>
  </si>
  <si>
    <t>43312</t>
  </si>
  <si>
    <t>43312. Letras por pagar - Letras por pagar - Subsidiarias</t>
  </si>
  <si>
    <t>43313</t>
  </si>
  <si>
    <t>43313. Letras por pagar - Letras por pagar - Asociadas</t>
  </si>
  <si>
    <t>43314</t>
  </si>
  <si>
    <t>43314. Letras por pagar - Letras por pagar - Sucursales</t>
  </si>
  <si>
    <t>43315</t>
  </si>
  <si>
    <t>43315. Letras por pagar - Letras por pagar - Otros</t>
  </si>
  <si>
    <t>43411</t>
  </si>
  <si>
    <t>43411. Honorarios por pagar - Honorarios por pagar - Matriz</t>
  </si>
  <si>
    <t>43412</t>
  </si>
  <si>
    <t>43412. Honorarios por pagar - Honorarios por pagar - Subsidiarias</t>
  </si>
  <si>
    <t>43413</t>
  </si>
  <si>
    <t>43413. Honorarios por pagar - Honorarios por pagar - Asociadas</t>
  </si>
  <si>
    <t>43414</t>
  </si>
  <si>
    <t>43414. Honorarios por pagar - Honorarios por pagar - Sucursales</t>
  </si>
  <si>
    <t>43415</t>
  </si>
  <si>
    <t>43415. Honorarios por pagar - Honorarios por pagar - Otros</t>
  </si>
  <si>
    <t>4411. Accionistas (o socios) - Préstamos</t>
  </si>
  <si>
    <t>4412. Accionistas (o socios) - Dividendos</t>
  </si>
  <si>
    <t>4419. Accionistas (o socios) - Otras cuentas por pagar</t>
  </si>
  <si>
    <t>4421. Directores - Dietas</t>
  </si>
  <si>
    <t>4429. Directores - Otras cuentas por pagar</t>
  </si>
  <si>
    <t>443. Gerentes</t>
  </si>
  <si>
    <t>4511. Préstamos de instituciones financieras y otras entidades - Instituciones financieras</t>
  </si>
  <si>
    <t>4512. Préstamos de instituciones financieras y otras entidades - Otras entidades</t>
  </si>
  <si>
    <t>452. Contratos de arrendamiento financiero</t>
  </si>
  <si>
    <t>4531</t>
  </si>
  <si>
    <t>4531. Obligaciones emitidas - Bonos emitidos</t>
  </si>
  <si>
    <t>4532</t>
  </si>
  <si>
    <t>4532. Obligaciones emitidas - Bonos titulizados</t>
  </si>
  <si>
    <t>4533</t>
  </si>
  <si>
    <t>4533. Obligaciones emitidas - Papeles comerciales</t>
  </si>
  <si>
    <t>4539</t>
  </si>
  <si>
    <t>4539. Obligaciones emitidas - Otras obligaciones</t>
  </si>
  <si>
    <t>4541. Otros Instrumentos financieros por pagar - Letras</t>
  </si>
  <si>
    <t>4542. Otros Instrumentos financieros por pagar - Papeles comerciales</t>
  </si>
  <si>
    <t>4543. Otros Instrumentos financieros por pagar - Bonos</t>
  </si>
  <si>
    <t>4544. Otros Instrumentos financieros por pagar - Pagarés</t>
  </si>
  <si>
    <t>4545. Otros Instrumentos financieros por pagar - Facturas conformadas</t>
  </si>
  <si>
    <t>4549. Otros Instrumentos financieros por pagar - Otras obligaciones financieras</t>
  </si>
  <si>
    <t>45511. Costos de financiación por pagar - Préstamos de instituciones financieras y otras entidades - Instituciones financieras</t>
  </si>
  <si>
    <t>45512. Costos de financiación por pagar - Préstamos de instituciones financieras y otras entidades - Otras entidades</t>
  </si>
  <si>
    <t>4552. Costos de financiación por pagar - Contratos de arrendamiento financiero</t>
  </si>
  <si>
    <t>45531. Costos de financiación por pagar - Obligaciones emitidas - Bonos emitidos</t>
  </si>
  <si>
    <t>45532. Costos de financiación por pagar - Obligaciones emitidas - Bonos titulizados</t>
  </si>
  <si>
    <t>45533. Costos de financiación por pagar - Obligaciones emitidas - Papeles comerciales</t>
  </si>
  <si>
    <t>45539. Costos de financiación por pagar - Obligaciones emitidas - Otras obligaciones</t>
  </si>
  <si>
    <t>45541</t>
  </si>
  <si>
    <t>45541. Costos de financiación por pagar - Otros instrumentos financieros por pagar - Letras</t>
  </si>
  <si>
    <t>45542</t>
  </si>
  <si>
    <t>45542. Costos de financiación por pagar - Otros instrumentos financieros por pagar - Papeles comerciales</t>
  </si>
  <si>
    <t>45543</t>
  </si>
  <si>
    <t>45543. Costos de financiación por pagar - Otros instrumentos financieros por pagar - Bonos</t>
  </si>
  <si>
    <t>45544</t>
  </si>
  <si>
    <t>45544. Costos de financiación por pagar - Otros instrumentos financieros por pagar - Pagarés</t>
  </si>
  <si>
    <t>45545</t>
  </si>
  <si>
    <t>45545. Costos de financiación por pagar - Otros instrumentos financieros por pagar - Facturas conformadas</t>
  </si>
  <si>
    <t>45549</t>
  </si>
  <si>
    <t>45549. Costos de financiación por pagar - Otros instrumentos financieros por pagar - Otras obligaciones financieras</t>
  </si>
  <si>
    <t>456. Préstamos con compromisos de recompra</t>
  </si>
  <si>
    <t>461. Reclamaciones de terceros</t>
  </si>
  <si>
    <t>4641. Pasivos por instrumentos financieros - Instrumentos financieros primarios</t>
  </si>
  <si>
    <t>46421</t>
  </si>
  <si>
    <t>46421. Pasivos por instrumentos financieros - Instrumentos financieros derivados - Cartera de negociación</t>
  </si>
  <si>
    <t>46422</t>
  </si>
  <si>
    <t>46422. Pasivos por instrumentos financieros - Instrumentos financieros derivados - Instrumentos de cobertura</t>
  </si>
  <si>
    <t>4651</t>
  </si>
  <si>
    <t>4651. Pasivos por compra de activo inmovilizado - Inversiones mobiliarias</t>
  </si>
  <si>
    <t>4652</t>
  </si>
  <si>
    <t>4652. Pasivos por compra de activo inmovilizado - Inversiones inmobiliarias</t>
  </si>
  <si>
    <t>4653</t>
  </si>
  <si>
    <t>4653. Pasivos por compra de activo inmovilizado - Activos adquiridos en arrendamiento financiero</t>
  </si>
  <si>
    <t>4654</t>
  </si>
  <si>
    <t>4654. Pasivos por compra de activo inmovilizado - Inmuebles, maquinaria y equipo</t>
  </si>
  <si>
    <t>4655</t>
  </si>
  <si>
    <t>4655. Pasivos por compra de activo inmovilizado - Intangibles</t>
  </si>
  <si>
    <t>4656</t>
  </si>
  <si>
    <t>4656. Pasivos por compra de activo inmovilizado - Activos biológicos</t>
  </si>
  <si>
    <t>467. Depósitos recibidos en garantía</t>
  </si>
  <si>
    <t>4691. Otras cuentas por pagar diversas - Subsidios gubernamentales</t>
  </si>
  <si>
    <t>4692</t>
  </si>
  <si>
    <t>4692. Otras cuentas por pagar diversas - Donaciones condicionadas</t>
  </si>
  <si>
    <t>4699</t>
  </si>
  <si>
    <t>4699. Otras cuentas por pagar diversas - Otras cuentas por pagar</t>
  </si>
  <si>
    <t>4711. Préstamos - Matriz</t>
  </si>
  <si>
    <t>4712. Préstamos - Subsidiarias</t>
  </si>
  <si>
    <t>4713. Préstamos - Asociadas</t>
  </si>
  <si>
    <t>4714. Préstamos - Sucursales</t>
  </si>
  <si>
    <t>4715</t>
  </si>
  <si>
    <t>4715. Préstamos - Otras</t>
  </si>
  <si>
    <t>4721. Costos de financiación - Matriz</t>
  </si>
  <si>
    <t>4722. Costos de financiación - Subsidiarias</t>
  </si>
  <si>
    <t>4723. Costos de financiación - Asociadas</t>
  </si>
  <si>
    <t>4724. Costos de financiación - Sucursales</t>
  </si>
  <si>
    <t>4725</t>
  </si>
  <si>
    <t>4725. Costos de financiación - Otras</t>
  </si>
  <si>
    <t>4731. Anticipos recibidos - Matriz</t>
  </si>
  <si>
    <t>4732. Anticipos recibidos - Subsidiarias</t>
  </si>
  <si>
    <t>4733. Anticipos recibidos - Asociadas</t>
  </si>
  <si>
    <t>4734. Anticipos recibidos - Sucursales</t>
  </si>
  <si>
    <t>4735</t>
  </si>
  <si>
    <t>4735. Anticipos recibidos - Otras</t>
  </si>
  <si>
    <t>4741. Regalías - Matriz</t>
  </si>
  <si>
    <t>4742. Regalías - Subsidiarias</t>
  </si>
  <si>
    <t>4743. Regalías - Asociadas</t>
  </si>
  <si>
    <t>4744. Regalías - Sucursales</t>
  </si>
  <si>
    <t>4745</t>
  </si>
  <si>
    <t>4745. Regalías - Otras</t>
  </si>
  <si>
    <t>4751. Dividendos - Matriz</t>
  </si>
  <si>
    <t>4752. Dividendos - Subsidiarias</t>
  </si>
  <si>
    <t>4753. Dividendos - Asociadas</t>
  </si>
  <si>
    <t>4754. Dividendos - Sucursales</t>
  </si>
  <si>
    <t>4755</t>
  </si>
  <si>
    <t>4755. Dividendos - Otras</t>
  </si>
  <si>
    <t>47711</t>
  </si>
  <si>
    <t>47711. Pasivo por compra de activo inmovilizado - Inversiones mobiliarias - Matriz</t>
  </si>
  <si>
    <t>47712</t>
  </si>
  <si>
    <t>47712. Pasivo por compra de activo inmovilizado - Inversiones mobiliarias - Subsidiarias</t>
  </si>
  <si>
    <t>47713</t>
  </si>
  <si>
    <t>47713. Pasivo por compra de activo inmovilizado - Inversiones mobiliarias - Asociadas</t>
  </si>
  <si>
    <t>47714</t>
  </si>
  <si>
    <t>47714. Pasivo por compra de activo inmovilizado - Inversiones mobiliarias - Sucursales</t>
  </si>
  <si>
    <t>47715</t>
  </si>
  <si>
    <t>47715. Pasivo por compra de activo inmovilizado - Inversiones mobiliarias - Otras</t>
  </si>
  <si>
    <t>47721</t>
  </si>
  <si>
    <t>47721. Pasivo por compra de activo inmovilizado - Inversiones inmobiliarias - Matriz</t>
  </si>
  <si>
    <t>47722</t>
  </si>
  <si>
    <t>47722. Pasivo por compra de activo inmovilizado - Inversiones inmobiliarias - Subsidiarias</t>
  </si>
  <si>
    <t>47723</t>
  </si>
  <si>
    <t>47723. Pasivo por compra de activo inmovilizado - Inversiones inmobiliarias - Asociadas</t>
  </si>
  <si>
    <t>47724</t>
  </si>
  <si>
    <t>47724. Pasivo por compra de activo inmovilizado - Inversiones inmobiliarias - Sucursales</t>
  </si>
  <si>
    <t>47725</t>
  </si>
  <si>
    <t>47725. Pasivo por compra de activo inmovilizado - Inversiones inmobiliarias - Otras</t>
  </si>
  <si>
    <t>47731</t>
  </si>
  <si>
    <t>47731. Pasivo por compra de activo inmovilizado - Activos adquiridos en arrendamiento financiero - Matriz</t>
  </si>
  <si>
    <t>47732</t>
  </si>
  <si>
    <t>47732. Pasivo por compra de activo inmovilizado - Activos adquiridos en arrendamiento financiero - Subsidiarias</t>
  </si>
  <si>
    <t>47733</t>
  </si>
  <si>
    <t>47733. Pasivo por compra de activo inmovilizado - Activos adquiridos en arrendamiento financiero - Asociadas</t>
  </si>
  <si>
    <t>47734</t>
  </si>
  <si>
    <t>47734. Pasivo por compra de activo inmovilizado - Activos adquiridos en arrendamiento financiero - Sucursales</t>
  </si>
  <si>
    <t>47735</t>
  </si>
  <si>
    <t>47735. Pasivo por compra de activo inmovilizado - Activos adquiridos en arrendamiento financiero - Otras</t>
  </si>
  <si>
    <t>47741</t>
  </si>
  <si>
    <t>47741. Pasivo por compra de activo inmovilizado - Inmuebles, maquinaria y equipo - Matriz</t>
  </si>
  <si>
    <t>47742</t>
  </si>
  <si>
    <t>47742. Pasivo por compra de activo inmovilizado - Inmuebles, maquinaria y equipo - Subsidiarias</t>
  </si>
  <si>
    <t>47743</t>
  </si>
  <si>
    <t>47743. Pasivo por compra de activo inmovilizado - Inmuebles, maquinaria y equipo - Asociadas</t>
  </si>
  <si>
    <t>47744</t>
  </si>
  <si>
    <t>47744. Pasivo por compra de activo inmovilizado - Inmuebles, maquinaria y equipo - Sucursales</t>
  </si>
  <si>
    <t>47745</t>
  </si>
  <si>
    <t>47745. Pasivo por compra de activo inmovilizado - Inmuebles, maquinaria y equipo - Otras</t>
  </si>
  <si>
    <t>47751</t>
  </si>
  <si>
    <t>47751. Pasivo por compra de activo inmovilizado - Intangibles - Matriz</t>
  </si>
  <si>
    <t>47752</t>
  </si>
  <si>
    <t>47752. Pasivo por compra de activo inmovilizado - Intangibles - Subsidiarias</t>
  </si>
  <si>
    <t>47753</t>
  </si>
  <si>
    <t>47753. Pasivo por compra de activo inmovilizado - Intangibles - Asociadas</t>
  </si>
  <si>
    <t>47754</t>
  </si>
  <si>
    <t>47754. Pasivo por compra de activo inmovilizado - Intangibles - Sucursales</t>
  </si>
  <si>
    <t>47755</t>
  </si>
  <si>
    <t>47755. Pasivo por compra de activo inmovilizado - Intangibles - Otras</t>
  </si>
  <si>
    <t>47761</t>
  </si>
  <si>
    <t>47761. Pasivo por compra de activo inmovilizado - Activos biológicos - Matriz</t>
  </si>
  <si>
    <t>47762</t>
  </si>
  <si>
    <t>47762. Pasivo por compra de activo inmovilizado - Activos biológicos - Subsidiarias</t>
  </si>
  <si>
    <t>47763</t>
  </si>
  <si>
    <t>47763. Pasivo por compra de activo inmovilizado - Activos biológicos - Asociadas</t>
  </si>
  <si>
    <t>47764</t>
  </si>
  <si>
    <t>47764. Pasivo por compra de activo inmovilizado - Activos biológicos - Sucursales</t>
  </si>
  <si>
    <t>47765</t>
  </si>
  <si>
    <t>47765. Pasivo por compra de activo inmovilizado - Activos biológicos - Otras</t>
  </si>
  <si>
    <t>47911</t>
  </si>
  <si>
    <t>47911. Otras cuentas por pagar diversas - Otras cuentas por pagar diversas - Matriz</t>
  </si>
  <si>
    <t>47912</t>
  </si>
  <si>
    <t>47912. Otras cuentas por pagar diversas - Otras cuentas por pagar diversas - Subsidiarias</t>
  </si>
  <si>
    <t>47913</t>
  </si>
  <si>
    <t>47913. Otras cuentas por pagar diversas - Otras cuentas por pagar diversas - Asociadas</t>
  </si>
  <si>
    <t>47914</t>
  </si>
  <si>
    <t>47914. Otras cuentas por pagar diversas - Otras cuentas por pagar diversas - Sucursales</t>
  </si>
  <si>
    <t>47915</t>
  </si>
  <si>
    <t>47915. Otras cuentas por pagar diversas - Otras cuentas por pagar diversas - Otras</t>
  </si>
  <si>
    <t>481. Provisión para litigios</t>
  </si>
  <si>
    <t>482. Provisión por desmantelamiento, retiro o rehabilitación del inmovilizado</t>
  </si>
  <si>
    <t>483. Provisión para reestructuraciones</t>
  </si>
  <si>
    <t>484. Provisión para protección y remediación del medio ambiente</t>
  </si>
  <si>
    <t>485. Provisión para gastos de responsabilidad social</t>
  </si>
  <si>
    <t>486</t>
  </si>
  <si>
    <t>486. Provisión para garantías</t>
  </si>
  <si>
    <t>489. Otras provisiones</t>
  </si>
  <si>
    <t>4911. Impuesto a la renta diferido - Impuesto a la renta diferido – Patrimonio</t>
  </si>
  <si>
    <t>4912. Impuesto a la renta diferido - Impuesto a la renta diferido – Resultados</t>
  </si>
  <si>
    <t>4921. Participaciones de los trabajadores diferidas - Participaciones de los trabajadores diferidas – Patrimonio</t>
  </si>
  <si>
    <t>4922. Participaciones de los trabajadores diferidas - Participaciones de los trabajadores diferidas – Resultados</t>
  </si>
  <si>
    <t>4931. Intereses diferidos - Intereses no devengados en transacciones con terceros</t>
  </si>
  <si>
    <t>4932. Intereses diferidos - Intereses no devengados en medición a valor descontado</t>
  </si>
  <si>
    <t>494</t>
  </si>
  <si>
    <t>494. Ganancia en venta con arrendamiento financiero paralelo</t>
  </si>
  <si>
    <t>495</t>
  </si>
  <si>
    <t>495. Subsidios recibidos diferidos</t>
  </si>
  <si>
    <t>496</t>
  </si>
  <si>
    <t>496. Ingresos diferidos</t>
  </si>
  <si>
    <t>497</t>
  </si>
  <si>
    <t>497. Costos diferidos</t>
  </si>
  <si>
    <t>5011. Capital social - Acciones</t>
  </si>
  <si>
    <t>5012. Capital social - Participaciones</t>
  </si>
  <si>
    <t>502. Acciones en tesorería</t>
  </si>
  <si>
    <t>511. Acciones de inversión</t>
  </si>
  <si>
    <t>512. Acciones de inversión en tesorería</t>
  </si>
  <si>
    <t>521. Primas (descuento) de acciones</t>
  </si>
  <si>
    <t>5221. Capitalizaciones en trámite - Aportes</t>
  </si>
  <si>
    <t>5222. Capitalizaciones en trámite - Reservas</t>
  </si>
  <si>
    <t>5223. Capitalizaciones en trámite - Acreencias</t>
  </si>
  <si>
    <t>5224. Capitalizaciones en trámite - Utilidades</t>
  </si>
  <si>
    <t>523. Reducciones de capital pendientes de formalización</t>
  </si>
  <si>
    <t>561. Diferencia en cambio de inversiones permanentes en entidades extranjeras</t>
  </si>
  <si>
    <t>562. Instrumentos financieros – Cobertura de flujo de efectivo</t>
  </si>
  <si>
    <t>5631. Ganancia o pérdida en activos o pasivos financieros disponibles para la venta - Ganancia</t>
  </si>
  <si>
    <t>5632. Ganancia o pérdida en activos o pasivos financieros disponibles para la venta - Pérdida</t>
  </si>
  <si>
    <t>5641</t>
  </si>
  <si>
    <t>5641. Ganancia o pérdida en activos o pasivos financieros disponibles para la venta – Compra o venta convencional fecha de liquidación - Ganancia</t>
  </si>
  <si>
    <t>5642</t>
  </si>
  <si>
    <t>5642. Ganancia o pérdida en activos o pasivos financieros disponibles para la venta – Compra o venta convencional fecha de liquidación - Pérdida</t>
  </si>
  <si>
    <t>5711. Excedente de revaluación - Inversiones inmobiliarias</t>
  </si>
  <si>
    <t>5712. Excedente de revaluación - Inmuebles, maquinaria y equipos</t>
  </si>
  <si>
    <t>5713. Excedente de revaluación - Intangibles</t>
  </si>
  <si>
    <t>572. Excedente de revaluación – Acciones liberadas recibidas</t>
  </si>
  <si>
    <t>573. Participación en excedente de revaluación – Inversiones en entidades relacionadas</t>
  </si>
  <si>
    <t>581. Reinversión</t>
  </si>
  <si>
    <t>582. Legal</t>
  </si>
  <si>
    <t>583. Contractuales</t>
  </si>
  <si>
    <t>584. Estatutarias</t>
  </si>
  <si>
    <t>585. Facultativas</t>
  </si>
  <si>
    <t>5911. Utilidades no distribuidas - Utilidades acumuladas</t>
  </si>
  <si>
    <t>5912. Utilidades no distribuidas - Ingresos de años anteriores</t>
  </si>
  <si>
    <t>5921. Pérdidas acumuladas - Pérdidas acumuladas</t>
  </si>
  <si>
    <t>5922. Pérdidas acumuladas - Gastos de años anteriores</t>
  </si>
  <si>
    <t>6011. Mercaderías - Mercaderías manufacturadas</t>
  </si>
  <si>
    <t>6012. Mercaderías - Mercaderías de extracción</t>
  </si>
  <si>
    <t>6013. Mercaderías - Mercaderías agropecuarias y piscícolas</t>
  </si>
  <si>
    <t>6014. Mercaderías - Mercaderías inmuebles</t>
  </si>
  <si>
    <t>6018. Mercaderías - Otras mercaderías</t>
  </si>
  <si>
    <t>6021. Materias primas - Materias primas para productos manufacturados</t>
  </si>
  <si>
    <t>6022. Materias primas - Materias primas para productos de extracción</t>
  </si>
  <si>
    <t>6023. Materias primas - Materias primas para productos agropecuarios y piscícolas</t>
  </si>
  <si>
    <t>6024. Materias primas - Materias primas para productos inmuebles</t>
  </si>
  <si>
    <t>6031. Materiales auxiliares, suministros y repuestos - Materiales auxiliares</t>
  </si>
  <si>
    <t>6032. Materiales auxiliares, suministros y repuestos - Suministros</t>
  </si>
  <si>
    <t>6033. Materiales auxiliares, suministros y repuestos - Repuestos</t>
  </si>
  <si>
    <t>6041. Envases y embalajes - Envases</t>
  </si>
  <si>
    <t>6042. Envases y embalajes - Embalajes</t>
  </si>
  <si>
    <t>60911. Costos vinculados con las compras - Costos vinculados con las compras de mercaderías - Transporte</t>
  </si>
  <si>
    <t>60912. Costos vinculados con las compras - Costos vinculados con las compras de mercaderías - Seguros</t>
  </si>
  <si>
    <t>60913. Costos vinculados con las compras - Costos vinculados con las compras de mercaderías - Derechos aduaneros</t>
  </si>
  <si>
    <t>60914. Costos vinculados con las compras - Costos vinculados con las compras de mercaderías - Comisiones</t>
  </si>
  <si>
    <t>60919. Costos vinculados con las compras - Costos vinculados con las compras de mercaderías - Otros costos vinculados con las compras de mercaderías</t>
  </si>
  <si>
    <t>60921. Costos vinculados con las compras - Costos vinculados con las compras de materias primas - Transporte</t>
  </si>
  <si>
    <t>60922. Costos vinculados con las compras - Costos vinculados con las compras de materias primas - Seguros</t>
  </si>
  <si>
    <t>60923. Costos vinculados con las compras - Costos vinculados con las compras de materias primas - Derechos aduaneros</t>
  </si>
  <si>
    <t>60924. Costos vinculados con las compras - Costos vinculados con las compras de materias primas - Comisiones</t>
  </si>
  <si>
    <t>60925. Costos vinculados con las compras - Costos vinculados con las compras de materias primas - Otros costos vinculados con las compras de materias primas</t>
  </si>
  <si>
    <t>60931</t>
  </si>
  <si>
    <t>60931. Costos vinculados con las compras - Costos vinculados con las compras de materiales, suministros y repuestos - Transporte</t>
  </si>
  <si>
    <t>60932</t>
  </si>
  <si>
    <t>60932. Costos vinculados con las compras - Costos vinculados con las compras de materiales, suministros y repuestos - Seguros</t>
  </si>
  <si>
    <t>60933</t>
  </si>
  <si>
    <t>60933. Costos vinculados con las compras - Costos vinculados con las compras de materiales, suministros y repuestos - Derechos aduaneros</t>
  </si>
  <si>
    <t>60934</t>
  </si>
  <si>
    <t>60934. Costos vinculados con las compras - Costos vinculados con las compras de materiales, suministros y repuestos - Comisiones</t>
  </si>
  <si>
    <t>60935</t>
  </si>
  <si>
    <t>60935. Costos vinculados con las compras - Costos vinculados con las compras de materiales, suministros y repuestos - Otros costos vinculados con las compras de materiales, suministros y repuestos</t>
  </si>
  <si>
    <t>60941</t>
  </si>
  <si>
    <t>60941. Costos vinculados con las compras - Costos vinculados con las compras de envases y embalajes - Transporte</t>
  </si>
  <si>
    <t>60942</t>
  </si>
  <si>
    <t>60942. Costos vinculados con las compras - Costos vinculados con las compras de envases y embalajes - Seguros</t>
  </si>
  <si>
    <t>60943</t>
  </si>
  <si>
    <t>60943. Costos vinculados con las compras - Costos vinculados con las compras de envases y embalajes - Derechos aduaneros</t>
  </si>
  <si>
    <t>60944</t>
  </si>
  <si>
    <t>60944. Costos vinculados con las compras - Costos vinculados con las compras de envases y embalajes - Comisiones</t>
  </si>
  <si>
    <t>60945</t>
  </si>
  <si>
    <t>60945. Costos vinculados con las compras - Costos vinculados con las compras de envases y embalajes - Otros costos vinculados con las compras de envases y embalajes</t>
  </si>
  <si>
    <t>6111. Mercaderías - Mercaderías manufacturadas</t>
  </si>
  <si>
    <t>6112. Mercaderías - Mercaderías de extracción</t>
  </si>
  <si>
    <t>6113. Mercaderías - Mercaderías agropecuarias y piscícolas</t>
  </si>
  <si>
    <t>6114. Mercaderías - Mercaderías inmuebles</t>
  </si>
  <si>
    <t>6115. Mercaderías - Otras mercaderías</t>
  </si>
  <si>
    <t>6121. Materias primas - Materias primas para productos manufacturados</t>
  </si>
  <si>
    <t>6122. Materias primas - Materias primas para productos de extracción</t>
  </si>
  <si>
    <t>6123. Materias primas - Materias primas para productos agropecuarios y piscícolas</t>
  </si>
  <si>
    <t>6124. Materias primas - Materias primas para productos inmuebles</t>
  </si>
  <si>
    <t>6131. Materiales auxiliares, suministros y repuestos - Materiales auxiliares</t>
  </si>
  <si>
    <t>6132. Materiales auxiliares, suministros y repuestos - Suministros</t>
  </si>
  <si>
    <t>6133. Materiales auxiliares, suministros y repuestos - Repuestos</t>
  </si>
  <si>
    <t>6141. Envases y embalajes - Envases</t>
  </si>
  <si>
    <t>6142. Envases y embalajes - Embalajes</t>
  </si>
  <si>
    <t>6211. Remuneraciones - Sueldos y salarios</t>
  </si>
  <si>
    <t>6212. Remuneraciones - Comisiones</t>
  </si>
  <si>
    <t>6213. Remuneraciones - Remuneraciones en especie</t>
  </si>
  <si>
    <t>6214. Remuneraciones - Gratificaciones</t>
  </si>
  <si>
    <t>6215. Remuneraciones - Vacaciones</t>
  </si>
  <si>
    <t>622. Otras remuneraciones</t>
  </si>
  <si>
    <t>623. Indemnizaciones al personal</t>
  </si>
  <si>
    <t>624. Capacitación</t>
  </si>
  <si>
    <t>625. Atención al personal</t>
  </si>
  <si>
    <t>626. Gerentes</t>
  </si>
  <si>
    <t>6271. Seguridad, previsión social y otras contribuciones - Régimen de prestaciones de salud</t>
  </si>
  <si>
    <t>6272. Seguridad, previsión social y otras contribuciones - Régimen de pensiones</t>
  </si>
  <si>
    <t>6273. Seguridad, previsión social y otras contribuciones - Seguro complementario de trabajo de riesgo, accidentes de trabajo y enfermedades profesionales</t>
  </si>
  <si>
    <t>6274. Seguridad, previsión social y otras contribuciones - Seguro de vida</t>
  </si>
  <si>
    <t>6275. Seguridad, previsión social y otras contribuciones - Seguros particulares de prestaciones de salud – EPS y otros particulares</t>
  </si>
  <si>
    <t>6276. Seguridad, previsión social y otras contribuciones - Caja de beneficios de seguridad social del pescador</t>
  </si>
  <si>
    <t>6277</t>
  </si>
  <si>
    <t>6277. Seguridad, previsión social y otras contribuciones - Contribuciones al SENCICO y el SENATI</t>
  </si>
  <si>
    <t>628. Retribuciones al directorio</t>
  </si>
  <si>
    <t>6291. Beneficios sociales de los trabajadores - Compensación por tiempo de servicio</t>
  </si>
  <si>
    <t>6292. Beneficios sociales de los trabajadores - Pensiones y jubilaciones</t>
  </si>
  <si>
    <t>6293. Beneficios sociales de los trabajadores - Otros beneficios post-empleo</t>
  </si>
  <si>
    <t>63111. Transporte, correos y gastos de viaje - Transporte - De carga</t>
  </si>
  <si>
    <t>63112. Transporte, correos y gastos de viaje - Transporte - De pasajeros</t>
  </si>
  <si>
    <t>6312. Transporte, correos y gastos de viaje - Correos</t>
  </si>
  <si>
    <t>6313. Transporte, correos y gastos de viaje - Alojamiento</t>
  </si>
  <si>
    <t>6314. Transporte, correos y gastos de viaje - Alimentación</t>
  </si>
  <si>
    <t>6315</t>
  </si>
  <si>
    <t>6315. Transporte, correos y gastos de viaje - Otros gastos de viaje</t>
  </si>
  <si>
    <t>6321. Asesoría y consultoría - Administrativa</t>
  </si>
  <si>
    <t>6322. Asesoría y consultoría - Legal y tributaria</t>
  </si>
  <si>
    <t>6323. Asesoría y consultoría - Auditoría y contable</t>
  </si>
  <si>
    <t>6324</t>
  </si>
  <si>
    <t>6324. Asesoría y consultoría - Mercadotecnia</t>
  </si>
  <si>
    <t>6325</t>
  </si>
  <si>
    <t>6325. Asesoría y consultoría - Medioambiental</t>
  </si>
  <si>
    <t>6326</t>
  </si>
  <si>
    <t>6326. Asesoría y consultoría - Investigación y desarrollo</t>
  </si>
  <si>
    <t>6327</t>
  </si>
  <si>
    <t>6327. Asesoría y consultoría - Producción</t>
  </si>
  <si>
    <t>6329</t>
  </si>
  <si>
    <t>6329. Asesoría y consultoría - Otros</t>
  </si>
  <si>
    <t>6341</t>
  </si>
  <si>
    <t>6341. Mantenimiento y reparaciones - Inversión inmobiliaria</t>
  </si>
  <si>
    <t>6342</t>
  </si>
  <si>
    <t>6342. Mantenimiento y reparaciones - Activos adquiridos en arrendamiento financiero</t>
  </si>
  <si>
    <t>6343</t>
  </si>
  <si>
    <t>6343. Mantenimiento y reparaciones - Inmuebles, maquinaria y equipo</t>
  </si>
  <si>
    <t>6344</t>
  </si>
  <si>
    <t>6344. Mantenimiento y reparaciones - Intangibles</t>
  </si>
  <si>
    <t>6345</t>
  </si>
  <si>
    <t>6345. Mantenimiento y reparaciones - Activos biológicos</t>
  </si>
  <si>
    <t>6351. Alquileres - Terrenos</t>
  </si>
  <si>
    <t>6352. Alquileres - Edificaciones</t>
  </si>
  <si>
    <t>6353. Alquileres - Maquinarias y equipos de explotación</t>
  </si>
  <si>
    <t>6354. Alquileres - Equipo de transporte</t>
  </si>
  <si>
    <t>6356. Alquileres - Equipos diversos</t>
  </si>
  <si>
    <t>6361. Servicios básicos - Energía eléctrica</t>
  </si>
  <si>
    <t>6362. Servicios básicos - Gas</t>
  </si>
  <si>
    <t>6363. Servicios básicos - Agua</t>
  </si>
  <si>
    <t>6364. Servicios básicos - Teléfono</t>
  </si>
  <si>
    <t>6365. Servicios básicos - Internet</t>
  </si>
  <si>
    <t>6366. Servicios básicos - Radio</t>
  </si>
  <si>
    <t>6367. Servicios básicos - Cable</t>
  </si>
  <si>
    <t>6371</t>
  </si>
  <si>
    <t>6371. Publicidad, publicaciones, relaciones públicas - Publicidad</t>
  </si>
  <si>
    <t>6372</t>
  </si>
  <si>
    <t>6372. Publicidad, publicaciones, relaciones públicas - Publicaciones</t>
  </si>
  <si>
    <t>6373</t>
  </si>
  <si>
    <t>6373. Publicidad, publicaciones, relaciones públicas - Relaciones públicas</t>
  </si>
  <si>
    <t>638. Servicios de contratistas</t>
  </si>
  <si>
    <t>6391. Otros servicios prestados por terceros - Gastos bancarios</t>
  </si>
  <si>
    <t>6392. Otros servicios prestados por terceros - Gastos de laboratorio</t>
  </si>
  <si>
    <t>6411</t>
  </si>
  <si>
    <t>6411. Gobierno central - Impuesto general a las ventas y selectivo al consumo</t>
  </si>
  <si>
    <t>6412</t>
  </si>
  <si>
    <t>6412. Gobierno central - Impuesto a las transacciones financieras</t>
  </si>
  <si>
    <t>6413</t>
  </si>
  <si>
    <t>6413. Gobierno central - Impuesto temporal a los activos netos</t>
  </si>
  <si>
    <t>6414</t>
  </si>
  <si>
    <t>6414. Gobierno central - Impuesto a los juegos de casino y máquinas tragamonedas</t>
  </si>
  <si>
    <t>6415</t>
  </si>
  <si>
    <t>6415. Gobierno central - Regalías mineras</t>
  </si>
  <si>
    <t>6416</t>
  </si>
  <si>
    <t>6416. Gobierno central - Cánones</t>
  </si>
  <si>
    <t>6419</t>
  </si>
  <si>
    <t>6419. Gobierno central - Otros</t>
  </si>
  <si>
    <t>642. Gobierno regional</t>
  </si>
  <si>
    <t>6431</t>
  </si>
  <si>
    <t>6431. Gobierno local - Impuesto predial</t>
  </si>
  <si>
    <t>6432</t>
  </si>
  <si>
    <t>6432. Gobierno local - Arbitrios municipales y seguridad ciudadana</t>
  </si>
  <si>
    <t>6433</t>
  </si>
  <si>
    <t>6433. Gobierno local - Impuesto al patrimonio vehicular</t>
  </si>
  <si>
    <t>6434</t>
  </si>
  <si>
    <t>6434. Gobierno local - Licencia de funcionamiento</t>
  </si>
  <si>
    <t>6439</t>
  </si>
  <si>
    <t>6439. Gobierno local - Otros</t>
  </si>
  <si>
    <t>6441</t>
  </si>
  <si>
    <t>6441. Otros gastos por tributos - Contribución al SENATI</t>
  </si>
  <si>
    <t>6442</t>
  </si>
  <si>
    <t>6442. Otros gastos por tributos - Contribución al SENCICO</t>
  </si>
  <si>
    <t>6443</t>
  </si>
  <si>
    <t>6443. Otros gastos por tributos - Otros</t>
  </si>
  <si>
    <t>653. Suscripciones</t>
  </si>
  <si>
    <t>654. Licencias y derechos de vigencia</t>
  </si>
  <si>
    <t>65511. Costo neto de enajenación de activos inmovilizados y operaciones discontinuadas - Costo neto de enajenación de activos inmovilizados - Inversiones inmobiliarias</t>
  </si>
  <si>
    <t>65512. Costo neto de enajenación de activos inmovilizados y operaciones discontinuadas - Costo neto de enajenación de activos inmovilizados - Activos adquiridos en arrendamiento financiero</t>
  </si>
  <si>
    <t>65513. Costo neto de enajenación de activos inmovilizados y operaciones discontinuadas - Costo neto de enajenación de activos inmovilizados - Inmuebles, maquinaria y equipo</t>
  </si>
  <si>
    <t>65514. Costo neto de enajenación de activos inmovilizados y operaciones discontinuadas - Costo neto de enajenación de activos inmovilizados - Intangibles</t>
  </si>
  <si>
    <t>65515. Costo neto de enajenación de activos inmovilizados y operaciones discontinuadas - Costo neto de enajenación de activos inmovilizados - Activos biológicos</t>
  </si>
  <si>
    <t>65521</t>
  </si>
  <si>
    <t>65521. Costo neto de enajenación de activos inmovilizados y operaciones discontinuadas - Operaciones discontinuadas – Abandono de activos - Inversiones inmobiliarias</t>
  </si>
  <si>
    <t>65522</t>
  </si>
  <si>
    <t>65522. Costo neto de enajenación de activos inmovilizados y operaciones discontinuadas - Operaciones discontinuadas – Abandono de activos - Activos adquiridos en arrendamiento financiero</t>
  </si>
  <si>
    <t>65523</t>
  </si>
  <si>
    <t>65523. Costo neto de enajenación de activos inmovilizados y operaciones discontinuadas - Operaciones discontinuadas – Abandono de activos - Inmuebles, maquinaria y equipo</t>
  </si>
  <si>
    <t>65524</t>
  </si>
  <si>
    <t>65524. Costo neto de enajenación de activos inmovilizados y operaciones discontinuadas - Operaciones discontinuadas – Abandono de activos - Intangibles</t>
  </si>
  <si>
    <t>65525</t>
  </si>
  <si>
    <t>65525. Costo neto de enajenación de activos inmovilizados y operaciones discontinuadas - Operaciones discontinuadas – Abandono de activos - Activos biológicos</t>
  </si>
  <si>
    <t>656. Suministros</t>
  </si>
  <si>
    <t>658. Gestión medioambiental</t>
  </si>
  <si>
    <t>6591. Otros gastos de gestión - Donaciones</t>
  </si>
  <si>
    <t>6611. Activo realizable - Mercaderías</t>
  </si>
  <si>
    <t>6612. Activo realizable - Productos terminados</t>
  </si>
  <si>
    <t>66131</t>
  </si>
  <si>
    <t>66131. Activo realizable - Activos no corrientes mantenidos para la venta - Inversión inmobiliaria</t>
  </si>
  <si>
    <t>66132</t>
  </si>
  <si>
    <t>66132. Activo realizable - Activos no corrientes mantenidos para la venta - Inmuebles, maquinaria y equipo</t>
  </si>
  <si>
    <t>66133</t>
  </si>
  <si>
    <t>66133. Activo realizable - Activos no corrientes mantenidos para la venta - Intangibles</t>
  </si>
  <si>
    <t>66134</t>
  </si>
  <si>
    <t>66134. Activo realizable - Activos no corrientes mantenidos para la venta - Activos biológicos</t>
  </si>
  <si>
    <t>6621. Activo inmovilizado - Inversiones inmobiliarias</t>
  </si>
  <si>
    <t>6622. Activo inmovilizado - Activos biológicos</t>
  </si>
  <si>
    <t>6711. Gastos en operaciones de endeudamiento y otros - Préstamos de instituciones financieras y otras entidades</t>
  </si>
  <si>
    <t>6712. Gastos en operaciones de endeudamiento y otros - Contratos de arrendamiento financiero</t>
  </si>
  <si>
    <t>6713. Gastos en operaciones de endeudamiento y otros - Emisión y colocación de instrumentos representativos de deuda y patrimonio</t>
  </si>
  <si>
    <t>6714. Gastos en operaciones de endeudamiento y otros - Documentos vendidos o descontados</t>
  </si>
  <si>
    <t>672. Pérdida por instrumentos financieros derivados</t>
  </si>
  <si>
    <t>67311. Intereses por préstamos y otras obligaciones - Préstamos de instituciones financieras y otras entidades - Instituciones financieras</t>
  </si>
  <si>
    <t>6732. Intereses por préstamos y otras obligaciones - Contratos de arrendamiento financiero</t>
  </si>
  <si>
    <t>6733. Intereses por préstamos y otras obligaciones - Otros instrumentos financieros por pagar</t>
  </si>
  <si>
    <t>6734. Intereses por préstamos y otras obligaciones - Documentos vendidos o descontados</t>
  </si>
  <si>
    <t>6735. Intereses por préstamos y otras obligaciones - Obligaciones emitidas</t>
  </si>
  <si>
    <t>6736. Intereses por préstamos y otras obligaciones - Obligaciones comerciales</t>
  </si>
  <si>
    <t>6741</t>
  </si>
  <si>
    <t>6741. Gastos en operaciones de factoraje (factoring) - Gastos por menor valor</t>
  </si>
  <si>
    <t>676. Diferencia de cambio</t>
  </si>
  <si>
    <t>6771</t>
  </si>
  <si>
    <t>6771. Pérdida por medición de activos y pasivos financieros al valor razonable - Inversiones para negociación</t>
  </si>
  <si>
    <t>6772</t>
  </si>
  <si>
    <t>6772. Pérdida por medición de activos y pasivos financieros al valor razonable - Inversiones disponibles para la venta</t>
  </si>
  <si>
    <t>6773</t>
  </si>
  <si>
    <t>6773. Pérdida por medición de activos y pasivos financieros al valor razonable - Otros</t>
  </si>
  <si>
    <t>6781</t>
  </si>
  <si>
    <t>6781. Participación en resultados de entidades relacionadas - Participación en los resultados de subsidiarias y asociadas bajo el método del valor patrimonial</t>
  </si>
  <si>
    <t>6782</t>
  </si>
  <si>
    <t>6782. Participación en resultados de entidades relacionadas - Participaciones en negocios conjuntos</t>
  </si>
  <si>
    <t>6791. Otros gastos financieros - Primas por opciones</t>
  </si>
  <si>
    <t>6792. Otros gastos financieros - Gastos financieros en medición a valor descontado</t>
  </si>
  <si>
    <t>68111. Depreciación - Depreciación de inversiones inmobiliarias - Edificaciones – Costo</t>
  </si>
  <si>
    <t>68112. Depreciación - Depreciación de inversiones inmobiliarias - Edificaciones – Revaluación</t>
  </si>
  <si>
    <t>68113. Depreciación - Depreciación de inversiones inmobiliarias - Edificaciones – Costo de financiación</t>
  </si>
  <si>
    <t>68121. Depreciación - Depreciación de activos adquiridos en arrendamiento financiero – Inversiones inmobiliarias - Edificaciones</t>
  </si>
  <si>
    <t>68131. Depreciación - Depreciación de activos adquiridos en arrendamiento financiero – Inmuebles, maquinaria y equipo - Edificaciones</t>
  </si>
  <si>
    <t>68132. Depreciación - Depreciación de activos adquiridos en arrendamiento financiero – Inmuebles, maquinaria y equipo - Maquinarias y equipos de explotación</t>
  </si>
  <si>
    <t>68133. Depreciación - Depreciación de activos adquiridos en arrendamiento financiero – Inmuebles, maquinaria y equipo - Equipo de transporte</t>
  </si>
  <si>
    <t>68134. Depreciación - Depreciación de activos adquiridos en arrendamiento financiero – Inmuebles, maquinaria y equipo - Equipos diversos</t>
  </si>
  <si>
    <t>68141. Depreciación - Depreciación de inmuebles, maquinaria y equipo – Costo - Edificaciones</t>
  </si>
  <si>
    <t>68142. Depreciación - Depreciación de inmuebles, maquinaria y equipo – Costo - Maquinarias y equipos de explotación</t>
  </si>
  <si>
    <t>68143. Depreciación - Depreciación de inmuebles, maquinaria y equipo – Costo - Equipo de transporte</t>
  </si>
  <si>
    <t>68144. Depreciación - Depreciación de inmuebles, maquinaria y equipo – Costo - Muebles y enseres</t>
  </si>
  <si>
    <t>68145. Depreciación - Depreciación de inmuebles, maquinaria y equipo – Costo - Equipos diversos</t>
  </si>
  <si>
    <t>68146. Depreciación - Depreciación de inmuebles, maquinaria y equipo – Costo - Herramientas y unidades de reemplazo</t>
  </si>
  <si>
    <t>68151. Depreciación - Depreciación de inmuebles, maquinaria y equipo – Revaluación - Edificaciones</t>
  </si>
  <si>
    <t>68152. Depreciación - Depreciación de inmuebles, maquinaria y equipo – Revaluación - Maquinarias y equipos de explotación</t>
  </si>
  <si>
    <t>68153. Depreciación - Depreciación de inmuebles, maquinaria y equipo – Revaluación - Equipo de transporte</t>
  </si>
  <si>
    <t>68154. Depreciación - Depreciación de inmuebles, maquinaria y equipo – Revaluación - Muebles y enseres</t>
  </si>
  <si>
    <t>68155. Depreciación - Depreciación de inmuebles, maquinaria y equipo – Revaluación - Equipos diversos</t>
  </si>
  <si>
    <t>68156. Depreciación - Depreciación de inmuebles, maquinaria y equipo – Revaluación - Herramientas y unidades de reemplazo</t>
  </si>
  <si>
    <t>68161. Depreciación - Depreciación de inmuebles, maquinaria y equipo – Costos de financiación - Edificaciones</t>
  </si>
  <si>
    <t>68162. Depreciación - Depreciación de inmuebles, maquinaria y equipo – Costos de financiación - Maquinarias y equipos de explotación</t>
  </si>
  <si>
    <t>68171. Depreciación - Depreciación de activos biológicos en producción – Costo - Activos biológicos de origen animal</t>
  </si>
  <si>
    <t>68172. Depreciación - Depreciación de activos biológicos en producción – Costo - Activos biológicos de origen vegetal</t>
  </si>
  <si>
    <t>68181. Depreciación - Depreciación de activos biológicos en producción – Costo de financiación - Activos biológicos de origen animal</t>
  </si>
  <si>
    <t>68182. Depreciación - Depreciación de activos biológicos en producción – Costo de financiación - Activos biológicos de origen vegetal</t>
  </si>
  <si>
    <t>68211. Amortización de intangibles - Amortización de intangibles – Costo - Concesiones, licencias y otros derechos</t>
  </si>
  <si>
    <t>68212. Amortización de intangibles - Amortización de intangibles – Costo - Patentes y propiedad industrial</t>
  </si>
  <si>
    <t>68213. Amortización de intangibles - Amortización de intangibles – Costo - Programas de computadora (software)</t>
  </si>
  <si>
    <t>68214. Amortización de intangibles - Amortización de intangibles – Costo - Costos de exploración y desarrollo</t>
  </si>
  <si>
    <t>68215. Amortización de intangibles - Amortización de intangibles – Costo - Fórmulas, diseños y prototipos</t>
  </si>
  <si>
    <t>68219. Amortización de intangibles - Amortización de intangibles – Costo - Otros activos intangibles</t>
  </si>
  <si>
    <t>68221. Amortización de intangibles - Amortización de intangibles – Revaluación - Concesiones, licencias y otros derechos</t>
  </si>
  <si>
    <t>68222. Amortización de intangibles - Amortización de intangibles – Revaluación - Patentes y propiedad industrial</t>
  </si>
  <si>
    <t>68223. Amortización de intangibles - Amortización de intangibles – Revaluación - Programas de computadora (software)</t>
  </si>
  <si>
    <t>68224. Amortización de intangibles - Amortización de intangibles – Revaluación - Costos de exploración y desarrollo</t>
  </si>
  <si>
    <t>68225. Amortización de intangibles - Amortización de intangibles – Revaluación - Fórmulas, diseños y prototipos</t>
  </si>
  <si>
    <t>68229. Amortización de intangibles - Amortización de intangibles – Revaluación - Otros activos intangibles</t>
  </si>
  <si>
    <t>6831. Agotamiento - Agotamiento de recursos naturales adquiridos</t>
  </si>
  <si>
    <t>68411</t>
  </si>
  <si>
    <t>68411. Valuación de activos - Estimación de cuentas de cobranza dudosa - Cuentas por cobrar comerciales – Terceros</t>
  </si>
  <si>
    <t>68412</t>
  </si>
  <si>
    <t>68412. Valuación de activos - Estimación de cuentas de cobranza dudosa - Cuentas por cobrar comerciales – Relacionadas</t>
  </si>
  <si>
    <t>68413</t>
  </si>
  <si>
    <t>68413. Valuación de activos - Estimación de cuentas de cobranza dudosa - Cuentas por cobrar al personal, a los accionistas (socios), directores y gerentes</t>
  </si>
  <si>
    <t>68414</t>
  </si>
  <si>
    <t>68414. Valuación de activos - Estimación de cuentas de cobranza dudosa - Cuentas por cobrar diversas – Terceros</t>
  </si>
  <si>
    <t>68415</t>
  </si>
  <si>
    <t>68415. Valuación de activos - Estimación de cuentas de cobranza dudosa - Cuentas por cobrar diversas – Relacionadas</t>
  </si>
  <si>
    <t>68431</t>
  </si>
  <si>
    <t>68431. Valuación de activos - Desvalorización de inversiones mobiliarias - Inversiones a ser mantenidas hasta el vencimiento</t>
  </si>
  <si>
    <t>68432</t>
  </si>
  <si>
    <t>68432. Valuación de activos - Desvalorización de inversiones mobiliarias - Instrumentos financieros representativos de derecho patrimonial</t>
  </si>
  <si>
    <t>68511. Deterioro del valor de los activos - Desvalorización de inversiones inmobiliarias - Edificaciones</t>
  </si>
  <si>
    <t>68521. Deterioro del valor de los activos - Desvalorización de inmuebles maquinaria y equipo - Edificaciones</t>
  </si>
  <si>
    <t>68522. Deterioro del valor de los activos - Desvalorización de inmuebles maquinaria y equipo - Maquinarias y equipos de explotación</t>
  </si>
  <si>
    <t>68523. Deterioro del valor de los activos - Desvalorización de inmuebles maquinaria y equipo - Equipo de transporte</t>
  </si>
  <si>
    <t>68524. Deterioro del valor de los activos - Desvalorización de inmuebles maquinaria y equipo - Muebles y enseres</t>
  </si>
  <si>
    <t>68525. Deterioro del valor de los activos - Desvalorización de inmuebles maquinaria y equipo - Equipos diversos</t>
  </si>
  <si>
    <t>68526. Deterioro del valor de los activos - Desvalorización de inmuebles maquinaria y equipo - Herramientas y unidades de reemplazo</t>
  </si>
  <si>
    <t>68531. Deterioro del valor de los activos - Desvalorización de intangibles - Concesiones, licencias y otros derechos</t>
  </si>
  <si>
    <t>68532. Deterioro del valor de los activos - Desvalorización de intangibles - Patentes y propiedad industrial</t>
  </si>
  <si>
    <t>68533. Deterioro del valor de los activos - Desvalorización de intangibles - Programas de computadora (software)</t>
  </si>
  <si>
    <t>68534. Deterioro del valor de los activos - Desvalorización de intangibles - Costos de exploración y desarrollo</t>
  </si>
  <si>
    <t>68535. Deterioro del valor de los activos - Desvalorización de intangibles - Fórmulas, diseños y prototipos</t>
  </si>
  <si>
    <t>68536. Deterioro del valor de los activos - Desvalorización de intangibles - Otros activos intangibles</t>
  </si>
  <si>
    <t>68537</t>
  </si>
  <si>
    <t>68537. Deterioro del valor de los activos - Desvalorización de intangibles - Plusvalía mercantil</t>
  </si>
  <si>
    <t>68541. Deterioro del valor de los activos - Desvalorización de activos biológicos en producción - Activos biológicos de origen animal</t>
  </si>
  <si>
    <t>68542. Deterioro del valor de los activos - Desvalorización de activos biológicos en producción - Activos biológicos de origen vegetal</t>
  </si>
  <si>
    <t>68611. Provisiones - Provisión para litigios - Provisión para litigios – Costo</t>
  </si>
  <si>
    <t>68612. Provisiones - Provisión para litigios - Provisión para litigios – Actualización financiera</t>
  </si>
  <si>
    <t>68621. Provisiones - Provisión por desmantelamiento, retiro o rehabilitación del inmovilizado - Provisión por desmantelamiento, retiro o rehabilitación del inmovilizado – Costo</t>
  </si>
  <si>
    <t>68622. Provisiones - Provisión por desmantelamiento, retiro o rehabilitación del inmovilizado - Provisión por desmantelamiento, retiro o rehabilitación del inmovilizado – Actualización financiera</t>
  </si>
  <si>
    <t>6863. Provisiones - Provisión para reestructuraciones</t>
  </si>
  <si>
    <t>68641</t>
  </si>
  <si>
    <t>68641. Provisiones - Provisión para protección y remediación del medio ambiente - Provisión para protección y remediación del medio ambiente – Costo</t>
  </si>
  <si>
    <t>68642</t>
  </si>
  <si>
    <t>68642. Provisiones - Provisión para protección y remediación del medio ambiente - Provisión para protección y remediación del medio ambiente – Actualización financiera</t>
  </si>
  <si>
    <t>68661</t>
  </si>
  <si>
    <t>68661. Provisiones - Provisión para garantías - Provisión para garantías – Costo</t>
  </si>
  <si>
    <t>68662</t>
  </si>
  <si>
    <t>68662. Provisiones - Provisión para garantías - Provisión para garantías – Actualización financiera</t>
  </si>
  <si>
    <t>6869. Provisiones - Otras provisiones</t>
  </si>
  <si>
    <t>69111. Mercaderías - Mercaderías manufacturadas - Terceros</t>
  </si>
  <si>
    <t>69112. Mercaderías - Mercaderías manufacturadas - Relacionadas</t>
  </si>
  <si>
    <t>69121. Mercaderías - Mercaderías de extracción - Terceros</t>
  </si>
  <si>
    <t>69122. Mercaderías - Mercaderías de extracción - Relacionadas</t>
  </si>
  <si>
    <t>69131. Mercaderías - Mercaderías agropecuarias y piscícolas - Terceros</t>
  </si>
  <si>
    <t>69132. Mercaderías - Mercaderías agropecuarias y piscícolas - Relacionadas</t>
  </si>
  <si>
    <t>69141. Mercaderías - Mercaderías inmuebles - Terceros</t>
  </si>
  <si>
    <t>69142. Mercaderías - Mercaderías inmuebles - Relacionadas</t>
  </si>
  <si>
    <t>69151. Mercaderías - Otras mercaderías - Terceros</t>
  </si>
  <si>
    <t>69152. Mercaderías - Otras mercaderías - Relacionadas</t>
  </si>
  <si>
    <t>69211. Productos terminados - Productos manufacturados - Terceros</t>
  </si>
  <si>
    <t>69212. Productos terminados - Productos manufacturados - Relacionadas</t>
  </si>
  <si>
    <t>69221. Productos terminados - Productos de extracción terminados - Terceros</t>
  </si>
  <si>
    <t>69222. Productos terminados - Productos de extracción terminados - Relacionadas</t>
  </si>
  <si>
    <t>69231. Productos terminados - Productos agropecuarios y piscícolas terminados - Terceros</t>
  </si>
  <si>
    <t>69232. Productos terminados - Productos agropecuarios y piscícolas terminados - Relacionadas</t>
  </si>
  <si>
    <t>69241. Productos terminados - Productos inmuebles terminados - Terceros</t>
  </si>
  <si>
    <t>69242. Productos terminados - Productos inmuebles terminados - Relacionadas</t>
  </si>
  <si>
    <t>69251. Productos terminados - Existencias de servicios terminados - Terceros</t>
  </si>
  <si>
    <t>69252. Productos terminados - Existencias de servicios terminados - Relacionadas</t>
  </si>
  <si>
    <t>69261. Productos terminados - Costos de financiación – Productos terminados - Terceros</t>
  </si>
  <si>
    <t>69262. Productos terminados - Costos de financiación – Productos terminados - Relacionadas</t>
  </si>
  <si>
    <t>6927</t>
  </si>
  <si>
    <t>6927. Productos terminados - Costos de producción no absorbido – Productos terminados</t>
  </si>
  <si>
    <t>6928</t>
  </si>
  <si>
    <t>6928. Productos terminados - Costo de ineficiencia – Productos terminados</t>
  </si>
  <si>
    <t>69311. Subproductos, desechos y desperdicios - Subproductos - Terceros</t>
  </si>
  <si>
    <t>69312. Subproductos, desechos y desperdicios - Subproductos - Relacionadas</t>
  </si>
  <si>
    <t>69321. Subproductos, desechos y desperdicios - Desechos y desperdicios - Terceros</t>
  </si>
  <si>
    <t>69322. Subproductos, desechos y desperdicios - Desechos y desperdicios - Relacionadas</t>
  </si>
  <si>
    <t>6941. Servicios - Terceros</t>
  </si>
  <si>
    <t>6942. Servicios - Relacionadas</t>
  </si>
  <si>
    <t>6951</t>
  </si>
  <si>
    <t>6951. Gastos por desvalorización de existencias - Mercaderías</t>
  </si>
  <si>
    <t>6952</t>
  </si>
  <si>
    <t>6952. Gastos por desvalorización de existencias - Productos terminados</t>
  </si>
  <si>
    <t>6953</t>
  </si>
  <si>
    <t>6953. Gastos por desvalorización de existencias - Subproductos, desechos y desperdicios</t>
  </si>
  <si>
    <t>6954</t>
  </si>
  <si>
    <t>6954. Gastos por desvalorización de existencias - Productos en proceso</t>
  </si>
  <si>
    <t>6955</t>
  </si>
  <si>
    <t>6955. Gastos por desvalorización de existencias - Materias primas</t>
  </si>
  <si>
    <t>6956</t>
  </si>
  <si>
    <t>6956. Gastos por desvalorización de existencias - Materiales auxiliares, suministros y repuestos</t>
  </si>
  <si>
    <t>6957</t>
  </si>
  <si>
    <t>6957. Gastos por desvalorización de existencias - Envases y embalajes</t>
  </si>
  <si>
    <t>6958</t>
  </si>
  <si>
    <t>6958. Gastos por desvalorización de existencias - Existencias por recibir</t>
  </si>
  <si>
    <t>70111. Mercaderías - Mercaderías manufacturadas - Terceros</t>
  </si>
  <si>
    <t>70112. Mercaderías - Mercaderías manufacturadas - Relacionadas</t>
  </si>
  <si>
    <t>70121. Mercaderías - Mercaderías de extracción - Terceros</t>
  </si>
  <si>
    <t>70122. Mercaderías - Mercaderías de extracción - Relacionadas</t>
  </si>
  <si>
    <t>70131. Mercaderías - Mercaderías agropecuarias y piscícolas - Terceros</t>
  </si>
  <si>
    <t>70132. Mercaderías - Mercaderías agropecuarias y piscícolas - Relacionadas</t>
  </si>
  <si>
    <t>70141. Mercaderías - Mercaderías inmuebles - Terceros</t>
  </si>
  <si>
    <t>70142. Mercaderías - Mercaderías inmuebles - Relacionadas</t>
  </si>
  <si>
    <t>70151. Mercaderías - Mercaderías – Otras - Terceros</t>
  </si>
  <si>
    <t>70152. Mercaderías - Mercaderías – Otras - Relacionadas</t>
  </si>
  <si>
    <t>70211. Productos terminados - Productos manufacturados - Terceros</t>
  </si>
  <si>
    <t>70212. Productos terminados - Productos manufacturados - Relacionadas</t>
  </si>
  <si>
    <t>70221. Productos terminados - Productos de extracción terminados - Terceros</t>
  </si>
  <si>
    <t>70222. Productos terminados - Productos de extracción terminados - Relacionadas</t>
  </si>
  <si>
    <t>70231. Productos terminados - Productos agropecuarios y piscícolas terminados - Terceros</t>
  </si>
  <si>
    <t>70232. Productos terminados - Productos agropecuarios y piscícolas terminados - Relacionadas</t>
  </si>
  <si>
    <t>70241. Productos terminados - Productos inmuebles terminados - Terceros</t>
  </si>
  <si>
    <t>70242. Productos terminados - Productos inmuebles terminados - Relacionadas</t>
  </si>
  <si>
    <t>70251. Productos terminados - Existencias de servicios terminados - Terceros</t>
  </si>
  <si>
    <t>70252. Productos terminados - Existencias de servicios terminados - Relacionadas</t>
  </si>
  <si>
    <t>70311. Subproductos, desechos y desperdicios - Subproductos - Terceros</t>
  </si>
  <si>
    <t>70312. Subproductos, desechos y desperdicios - Subproductos - Relacionadas</t>
  </si>
  <si>
    <t>70321. Subproductos, desechos y desperdicios - Desechos y desperdicios - Terceros</t>
  </si>
  <si>
    <t>70322. Subproductos, desechos y desperdicios - Desechos y desperdicios - Relacionadas</t>
  </si>
  <si>
    <t>7041. Prestación de servicios - Terceros</t>
  </si>
  <si>
    <t>7042. Prestación de servicios - Relacionadas</t>
  </si>
  <si>
    <t>70911. Devoluciones sobre ventas - Mercaderías – Terceros - Mercaderías manufacturadas</t>
  </si>
  <si>
    <t>70912. Devoluciones sobre ventas - Mercaderías – Terceros - Mercaderías de extracción</t>
  </si>
  <si>
    <t>70913. Devoluciones sobre ventas - Mercaderías – Terceros - Mercaderías agropecuarias y piscícolas</t>
  </si>
  <si>
    <t>70914. Devoluciones sobre ventas - Mercaderías – Terceros - Mercaderías inmuebles</t>
  </si>
  <si>
    <t>70915. Devoluciones sobre ventas - Mercaderías – Terceros - Mercaderías – Otras</t>
  </si>
  <si>
    <t>70921. Devoluciones sobre ventas - Mercaderías – Relacionadas - Mercaderías manufacturadas</t>
  </si>
  <si>
    <t>70922. Devoluciones sobre ventas - Mercaderías – Relacionadas - Mercaderías de extracción</t>
  </si>
  <si>
    <t>70923. Devoluciones sobre ventas - Mercaderías – Relacionadas - Mercaderías agropecuarias y piscícolas</t>
  </si>
  <si>
    <t>70924. Devoluciones sobre ventas - Mercaderías – Relacionadas - Mercaderías inmuebles</t>
  </si>
  <si>
    <t>70925. Devoluciones sobre ventas - Mercaderías – Relacionadas - Mercaderías – Otras</t>
  </si>
  <si>
    <t>70931. Devoluciones sobre ventas - Productos terminados – Terceros - Productos manufacturados</t>
  </si>
  <si>
    <t>70932. Devoluciones sobre ventas - Productos terminados – Terceros - Productos de extracción terminados</t>
  </si>
  <si>
    <t>70933. Devoluciones sobre ventas - Productos terminados – Terceros - Productos agropecuarios y piscícolas terminados</t>
  </si>
  <si>
    <t>70934. Devoluciones sobre ventas - Productos terminados – Terceros - Productos inmuebles terminados</t>
  </si>
  <si>
    <t>70935. Devoluciones sobre ventas - Productos terminados – Terceros - Existencias de servicios terminados</t>
  </si>
  <si>
    <t>70941. Devoluciones sobre ventas - Productos terminados – Relacionadas - Productos manufacturados</t>
  </si>
  <si>
    <t>70942. Devoluciones sobre ventas - Productos terminados – Relacionadas - Productos de extracción terminados</t>
  </si>
  <si>
    <t>70943. Devoluciones sobre ventas - Productos terminados – Relacionadas - Productos agropecuarios y piscícolas terminados</t>
  </si>
  <si>
    <t>70944. Devoluciones sobre ventas - Productos terminados – Relacionadas - Productos inmuebles terminados</t>
  </si>
  <si>
    <t>70945. Devoluciones sobre ventas - Productos terminados – Relacionadas - Existencias de servicios terminados</t>
  </si>
  <si>
    <t>70951. Devoluciones sobre ventas - Subproductos, desechos y desperdicios – Terceros - Subproductos</t>
  </si>
  <si>
    <t>70952. Devoluciones sobre ventas - Subproductos, desechos y desperdicios – Terceros - Desechos y desperdicios</t>
  </si>
  <si>
    <t>70961. Devoluciones sobre ventas - Subproductos, desechos y desperdicios – Relacionadas - Subproductos</t>
  </si>
  <si>
    <t>70962. Devoluciones sobre ventas - Subproductos, desechos y desperdicios – Relacionadas - Desechos y desperdicios</t>
  </si>
  <si>
    <t>7111. Variación de productos terminados - Productos manufacturados</t>
  </si>
  <si>
    <t>7112. Variación de productos terminados - Productos de extracción terminados</t>
  </si>
  <si>
    <t>7113. Variación de productos terminados - Productos agropecuarios y piscícolas terminados</t>
  </si>
  <si>
    <t>7114. Variación de productos terminados - Productos inmuebles terminados</t>
  </si>
  <si>
    <t>7115. Variación de productos terminados - Existencias de servicios terminados</t>
  </si>
  <si>
    <t>7121. Variación de subproductos, desechos y desperdicios - Subproductos</t>
  </si>
  <si>
    <t>7122. Variación de subproductos, desechos y desperdicios - Desechos y desperdicios</t>
  </si>
  <si>
    <t>7131. Variación de productos en proceso - Productos en proceso de manufactura</t>
  </si>
  <si>
    <t>7132. Variación de productos en proceso - Productos extraídos en proceso de transformación</t>
  </si>
  <si>
    <t>7133. Variación de productos en proceso - Productos agropecuarios y piscícolas en proceso</t>
  </si>
  <si>
    <t>7134. Variación de productos en proceso - Productos inmuebles en proceso</t>
  </si>
  <si>
    <t>7135. Variación de productos en proceso - Existencias de servicios en proceso</t>
  </si>
  <si>
    <t>7138. Variación de productos en proceso - Otros productos en proceso</t>
  </si>
  <si>
    <t>7141. Variación de envases y embalajes - Envases</t>
  </si>
  <si>
    <t>7142. Variación de envases y embalajes - Embalajes</t>
  </si>
  <si>
    <t>715. Variación de existencias de servicios</t>
  </si>
  <si>
    <t>7211. Inversiones inmobiliarias - Edificaciones</t>
  </si>
  <si>
    <t>7221. Inmuebles, maquinaria y equipo - Edificaciones</t>
  </si>
  <si>
    <t>7222. Inmuebles, maquinaria y equipo - Maquinarias y otros equipos de explotación</t>
  </si>
  <si>
    <t>7223. Inmuebles, maquinaria y equipo - Equipo de transporte</t>
  </si>
  <si>
    <t>7224. Inmuebles, maquinaria y equipo - Muebles y enseres</t>
  </si>
  <si>
    <t>7225. Inmuebles, maquinaria y equipo - Equipos diversos</t>
  </si>
  <si>
    <t>7231. Intangibles - Programas de computadora (software)</t>
  </si>
  <si>
    <t>7232. Intangibles - Costos de exploración y desarrollo</t>
  </si>
  <si>
    <t>7233. Intangibles - Fórmulas, diseños y prototipos</t>
  </si>
  <si>
    <t>7241. Activos biológicos - Activos biológicos en desarrollo de origen animal</t>
  </si>
  <si>
    <t>7242. Activos biológicos - Activos biológicos en desarrollo de origen vegetal</t>
  </si>
  <si>
    <t>72511. Costos de financiación capitalizados - Costos de financiación – Inversiones inmobiliarias - Edificaciones</t>
  </si>
  <si>
    <t>72521. Costos de financiación capitalizados - Costos de financiación – Inmuebles, maquinaria y equipo - Edificaciones</t>
  </si>
  <si>
    <t>72522. Costos de financiación capitalizados - Costos de financiación – Inmuebles, maquinaria y equipo - Maquinarias y otros equipos de explotación</t>
  </si>
  <si>
    <t>7253. Costos de financiación capitalizados - Costos de financiación – Intangibles</t>
  </si>
  <si>
    <t>72541. Costos de financiación capitalizados - Costos de financiación – Activos biológicos en desarrollo - Activos biológicos de origen animal</t>
  </si>
  <si>
    <t>72542. Costos de financiación capitalizados - Costos de financiación – Activos biológicos en desarrollo - Activos biológicos de origen vegetal</t>
  </si>
  <si>
    <t>7311. Descuentos, rebajas y bonificaciones obtenidos - Terceros</t>
  </si>
  <si>
    <t>7312. Descuentos, rebajas y bonificaciones obtenidos - Relacionadas</t>
  </si>
  <si>
    <t>7411. Descuentos, rebajas y bonificaciones concedidos - Terceros</t>
  </si>
  <si>
    <t>7412. Descuentos, rebajas y bonificaciones concedidos - Relacionadas</t>
  </si>
  <si>
    <t>751. Servicios en beneficio del personal</t>
  </si>
  <si>
    <t>7541. Alquileres - Terrenos</t>
  </si>
  <si>
    <t>7542. Alquileres - Edificaciones</t>
  </si>
  <si>
    <t>7543. Alquileres - Maquinarias y equipos de explotación</t>
  </si>
  <si>
    <t>7544. Alquileres - Equipo de transporte</t>
  </si>
  <si>
    <t>7545. Alquileres - Equipos diversos</t>
  </si>
  <si>
    <t>7551. Recuperación de cuentas de valuación - Recuperación – Cuentas de cobranza dudosa</t>
  </si>
  <si>
    <t>7552. Recuperación de cuentas de valuación - Recuperación – Desvalorización de existencias</t>
  </si>
  <si>
    <t>7553. Recuperación de cuentas de valuación - Recuperación – Desvalorización de inversiones mobiliarias</t>
  </si>
  <si>
    <t>7561. Enajenación de activos inmovilizados - Inversiones mobiliarias</t>
  </si>
  <si>
    <t>7562. Enajenación de activos inmovilizados - Inversiones inmobiliarias</t>
  </si>
  <si>
    <t>7563. Enajenación de activos inmovilizados - Activos adquiridos en arrendamiento financiero</t>
  </si>
  <si>
    <t>7564. Enajenación de activos inmovilizados - Inmuebles, maquinaria y equipo</t>
  </si>
  <si>
    <t>7565. Enajenación de activos inmovilizados - Intangibles</t>
  </si>
  <si>
    <t>7566</t>
  </si>
  <si>
    <t>7566. Enajenación de activos inmovilizados - Activos biológicos</t>
  </si>
  <si>
    <t>7571</t>
  </si>
  <si>
    <t>7571. Recuperación de deterioro de cuentas de activos inmovilizados - Recuperación de deterioro de inversiones inmobiliarias</t>
  </si>
  <si>
    <t>7572</t>
  </si>
  <si>
    <t>7572. Recuperación de deterioro de cuentas de activos inmovilizados - Recuperación de deterioro de inmuebles, maquinaria y equipo</t>
  </si>
  <si>
    <t>7573</t>
  </si>
  <si>
    <t>7573. Recuperación de deterioro de cuentas de activos inmovilizados - Recuperación de deterioro de intangibles</t>
  </si>
  <si>
    <t>7574</t>
  </si>
  <si>
    <t>7574. Recuperación de deterioro de cuentas de activos inmovilizados - Recuperación de deterioro de activos biológicos</t>
  </si>
  <si>
    <t>7591. Otros ingresos de gestión - Subsidios gubernamentales</t>
  </si>
  <si>
    <t>7592</t>
  </si>
  <si>
    <t>7592. Otros ingresos de gestión - Reclamos al seguro</t>
  </si>
  <si>
    <t>7593</t>
  </si>
  <si>
    <t>7593. Otros ingresos de gestión - Donaciones</t>
  </si>
  <si>
    <t>7599. Otros ingresos de gestión - Otros ingresos de gestión</t>
  </si>
  <si>
    <t>7611. Activo realizable - Mercaderías</t>
  </si>
  <si>
    <t>7612. Activo realizable - Productos terminados</t>
  </si>
  <si>
    <t>76131</t>
  </si>
  <si>
    <t>76131. Activo realizable - Activos no corrientes mantenidos para la venta - Inversiones inmobiliarias</t>
  </si>
  <si>
    <t>76132</t>
  </si>
  <si>
    <t>76132. Activo realizable - Activos no corrientes mantenidos para la venta - Inmuebles, maquinaria y equipo</t>
  </si>
  <si>
    <t>76133</t>
  </si>
  <si>
    <t>76133. Activo realizable - Activos no corrientes mantenidos para la venta - Intangibles</t>
  </si>
  <si>
    <t>76134</t>
  </si>
  <si>
    <t>76134. Activo realizable - Activos no corrientes mantenidos para la venta - Activos biológicos</t>
  </si>
  <si>
    <t>7621. Activo inmovilizado - Inversiones inmobiliarias</t>
  </si>
  <si>
    <t>7622. Activo inmovilizado - Activos biológicos</t>
  </si>
  <si>
    <t>771. Ganancia por instrumento financiero derivado</t>
  </si>
  <si>
    <t>7721. Rendimientos ganados - Depósitos en instituciones financieras</t>
  </si>
  <si>
    <t>7722. Rendimientos ganados - Cuentas por cobrar comerciales</t>
  </si>
  <si>
    <t>7723. Rendimientos ganados - Préstamos otorgados</t>
  </si>
  <si>
    <t>7724. Rendimientos ganados - Inversiones a ser mantenidas hasta el vencimiento</t>
  </si>
  <si>
    <t>7725. Rendimientos ganados - Instrumentos financieros representativos de derecho patrimonial</t>
  </si>
  <si>
    <t>773. Dividendos</t>
  </si>
  <si>
    <t>774. Ingresos en operaciones de factoraje (factoring)</t>
  </si>
  <si>
    <t>776. Diferencia en cambio</t>
  </si>
  <si>
    <t>7771</t>
  </si>
  <si>
    <t>7771. Ganancia por medición de activos y pasivos financieros al valor razonable - Inversiones mantenidas para negociación</t>
  </si>
  <si>
    <t>7772</t>
  </si>
  <si>
    <t>7772. Ganancia por medición de activos y pasivos financieros al valor razonable - Inversiones disponibles para la venta</t>
  </si>
  <si>
    <t>7773</t>
  </si>
  <si>
    <t>7773. Ganancia por medición de activos y pasivos financieros al valor razonable - Otras</t>
  </si>
  <si>
    <t>7781</t>
  </si>
  <si>
    <t>7781. Participación en resultados de entidades relacionadas - Participación en los resultados de subsidiarias y asociadas bajo el método del valor patrimonial</t>
  </si>
  <si>
    <t>7782</t>
  </si>
  <si>
    <t>7782. Participación en resultados de entidades relacionadas - Ingresos por participaciones en negocios conjuntos</t>
  </si>
  <si>
    <t>7792. Otros ingresos financieros - Ingresos financieros en medición a valor descontado</t>
  </si>
  <si>
    <t>791. Cargas imputables a cuentas de costos y gastos</t>
  </si>
  <si>
    <t>792. Gastos financieros imputables a cuentas de existencias</t>
  </si>
  <si>
    <t>871. Participación de los trabajadores – Corriente</t>
  </si>
  <si>
    <t>872. Participación de los trabajadores – Diferida</t>
  </si>
  <si>
    <t>881. Impuesto a la renta – Corriente</t>
  </si>
  <si>
    <t>882. Impuesto a la renta – Diferido</t>
  </si>
  <si>
    <t>1913. Cuentas por cobrar comerciales – Terceros - Letras por cobrar</t>
  </si>
  <si>
    <t>27812. Depreciación acumulada – Activos biológicos - Activos biológicos en producción - Costo</t>
  </si>
  <si>
    <t>27822. Depreciación acumulada – Activos biológicos - Activos biológicos en desarrollo - Costo</t>
  </si>
  <si>
    <t>7598. REI Positivo</t>
  </si>
  <si>
    <t>65921. Otros gastos de gestión-Sanciones Administrativas-SUNAT-Multas</t>
  </si>
  <si>
    <t>65922. Otros gastos de gestión-Sanciones Administrativas-SUNAT-Derechos Antidumping y Otros</t>
  </si>
  <si>
    <t>65929. Otros gastos de gestión-Sanciones Administrativas-Otras Entidades del Sector Público Nacional</t>
  </si>
  <si>
    <t>6599. Otros gastos de gestión-Gastos Diversos</t>
  </si>
  <si>
    <t>673121. Intereses por préstamos y otras obligaciones-otras entidades-empresas vinculadas</t>
  </si>
  <si>
    <t>673123. Intereses por préstamos y otras obligaciones-otras entidades-gerentes</t>
  </si>
  <si>
    <t>673129. Intereses por préstamos y otras obligaciones-otras entidades-otros</t>
  </si>
  <si>
    <t>67371. Intereses por préstamos y otras obligaciones-Obligaciones tributarias-SUNAT-Intereses Moratorios</t>
  </si>
  <si>
    <t>67372. Intereses por préstamos y otras obligaciones-Obligaciones tributarias-SUNAT-Intereses Compensatorios</t>
  </si>
  <si>
    <t>67379. Intereses por préstamos y otras obligaciones-Obligaciones tributarias-Otras entidades del Sector Público Nacional</t>
  </si>
  <si>
    <t>673122. Intereses por préstamos y otras obligaciones-otras entidades-accionistas( o socios)</t>
  </si>
  <si>
    <t>65921</t>
  </si>
  <si>
    <t>65922</t>
  </si>
  <si>
    <t>65929</t>
  </si>
  <si>
    <t>6599</t>
  </si>
  <si>
    <t>673121</t>
  </si>
  <si>
    <t>673122</t>
  </si>
  <si>
    <t>673123</t>
  </si>
  <si>
    <t>673129</t>
  </si>
  <si>
    <t>67371</t>
  </si>
  <si>
    <t>67372</t>
  </si>
  <si>
    <t>67379</t>
  </si>
  <si>
    <t>7598</t>
  </si>
  <si>
    <t>BALANCE DE COMPROBACIÓN HISTÓRICO - PLAN CONTABLE GENERAL EMPRESARIAL - 2014</t>
  </si>
  <si>
    <t>BALANCE DE COMPROBACIÓN 2014 - HISTÓRICO</t>
  </si>
  <si>
    <t>SALDOS AL 31.12.2014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</si>
</sst>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 #,##0.00_ ;_ * \-#,##0.00_ ;_ * &quot;-&quot;??_ ;_ @_ "/>
    <numFmt numFmtId="165" formatCode="_ * #,##0_ ;_ * \-#,##0_ ;_ * &quot;-&quot;??_ ;_ @_ "/>
  </numFmts>
  <fonts count="29" x14ac:knownFonts="1">
    <font>
      <sz val="11"/>
      <color indexed="8"/>
      <name val="Calibri"/>
      <family val="2"/>
    </font>
    <font>
      <sz val="11"/>
      <color indexed="8"/>
      <name val="Calibri"/>
      <family val="2"/>
    </font>
    <font>
      <sz val="11"/>
      <color indexed="9"/>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20"/>
      <name val="Calibri"/>
      <family val="2"/>
    </font>
    <font>
      <sz val="11"/>
      <color indexed="60"/>
      <name val="Calibri"/>
      <family val="2"/>
    </font>
    <font>
      <b/>
      <sz val="11"/>
      <color indexed="63"/>
      <name val="Calibri"/>
      <family val="2"/>
    </font>
    <font>
      <sz val="11"/>
      <color indexed="10"/>
      <name val="Calibri"/>
      <family val="2"/>
    </font>
    <font>
      <i/>
      <sz val="11"/>
      <color indexed="23"/>
      <name val="Calibri"/>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0"/>
      <name val="Arial"/>
      <family val="2"/>
    </font>
    <font>
      <b/>
      <u/>
      <sz val="12"/>
      <name val="Arial"/>
      <family val="2"/>
    </font>
    <font>
      <b/>
      <sz val="12"/>
      <name val="Arial"/>
      <family val="2"/>
    </font>
    <font>
      <b/>
      <sz val="8"/>
      <name val="Arial"/>
      <family val="2"/>
    </font>
    <font>
      <b/>
      <sz val="10"/>
      <name val="Arial"/>
      <family val="2"/>
    </font>
    <font>
      <b/>
      <sz val="13"/>
      <color indexed="10"/>
      <name val="Arial"/>
      <family val="2"/>
    </font>
    <font>
      <b/>
      <sz val="13"/>
      <color indexed="9"/>
      <name val="Arial"/>
      <family val="2"/>
    </font>
    <font>
      <sz val="10"/>
      <color indexed="8"/>
      <name val="Arial"/>
      <family val="2"/>
    </font>
    <font>
      <sz val="10"/>
      <color indexed="9"/>
      <name val="Arial"/>
      <family val="2"/>
    </font>
    <font>
      <b/>
      <sz val="10"/>
      <color indexed="9"/>
      <name val="Arial"/>
      <family val="2"/>
    </font>
    <font>
      <b/>
      <sz val="10"/>
      <color rgb="FF0000FF"/>
      <name val="Arial"/>
      <family val="2"/>
    </font>
  </fonts>
  <fills count="31">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43"/>
      </patternFill>
    </fill>
    <fill>
      <patternFill patternType="solid">
        <fgColor indexed="26"/>
      </patternFill>
    </fill>
    <fill>
      <patternFill patternType="solid">
        <fgColor indexed="51"/>
        <bgColor indexed="64"/>
      </patternFill>
    </fill>
    <fill>
      <patternFill patternType="solid">
        <fgColor indexed="44"/>
        <bgColor indexed="64"/>
      </patternFill>
    </fill>
    <fill>
      <patternFill patternType="solid">
        <fgColor indexed="22"/>
        <bgColor indexed="64"/>
      </patternFill>
    </fill>
    <fill>
      <patternFill patternType="solid">
        <fgColor indexed="40"/>
        <bgColor indexed="64"/>
      </patternFill>
    </fill>
    <fill>
      <patternFill patternType="solid">
        <fgColor indexed="8"/>
        <bgColor indexed="64"/>
      </patternFill>
    </fill>
    <fill>
      <patternFill patternType="solid">
        <fgColor indexed="10"/>
        <bgColor indexed="64"/>
      </patternFill>
    </fill>
    <fill>
      <patternFill patternType="solid">
        <fgColor theme="0"/>
        <bgColor indexed="64"/>
      </patternFill>
    </fill>
  </fills>
  <borders count="2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right style="hair">
        <color indexed="64"/>
      </right>
      <top style="medium">
        <color indexed="64"/>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medium">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s>
  <cellStyleXfs count="45">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3" fillId="4" borderId="0" applyNumberFormat="0" applyBorder="0" applyAlignment="0" applyProtection="0"/>
    <xf numFmtId="0" fontId="4" fillId="16" borderId="1" applyNumberFormat="0" applyAlignment="0" applyProtection="0"/>
    <xf numFmtId="0" fontId="5" fillId="17" borderId="2" applyNumberFormat="0" applyAlignment="0" applyProtection="0"/>
    <xf numFmtId="0" fontId="6" fillId="0" borderId="3" applyNumberFormat="0" applyFill="0" applyAlignment="0" applyProtection="0"/>
    <xf numFmtId="0" fontId="7" fillId="0" borderId="0" applyNumberFormat="0" applyFill="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8" fillId="7" borderId="1" applyNumberFormat="0" applyAlignment="0" applyProtection="0"/>
    <xf numFmtId="0" fontId="9" fillId="3" borderId="0" applyNumberFormat="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0" fillId="22" borderId="0" applyNumberFormat="0" applyBorder="0" applyAlignment="0" applyProtection="0"/>
    <xf numFmtId="0" fontId="1" fillId="0" borderId="0"/>
    <xf numFmtId="0" fontId="1" fillId="23" borderId="4" applyNumberFormat="0" applyFont="0" applyAlignment="0" applyProtection="0"/>
    <xf numFmtId="0" fontId="11" fillId="16" borderId="5" applyNumberFormat="0" applyAlignment="0" applyProtection="0"/>
    <xf numFmtId="0" fontId="12"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5" fillId="0" borderId="6" applyNumberFormat="0" applyFill="0" applyAlignment="0" applyProtection="0"/>
    <xf numFmtId="0" fontId="16" fillId="0" borderId="7" applyNumberFormat="0" applyFill="0" applyAlignment="0" applyProtection="0"/>
    <xf numFmtId="0" fontId="7" fillId="0" borderId="8" applyNumberFormat="0" applyFill="0" applyAlignment="0" applyProtection="0"/>
    <xf numFmtId="0" fontId="17" fillId="0" borderId="9" applyNumberFormat="0" applyFill="0" applyAlignment="0" applyProtection="0"/>
  </cellStyleXfs>
  <cellXfs count="83">
    <xf numFmtId="0" fontId="0" fillId="0" borderId="0" xfId="0"/>
    <xf numFmtId="0" fontId="26" fillId="24" borderId="10" xfId="0" applyFont="1" applyFill="1" applyBorder="1" applyAlignment="1" applyProtection="1"/>
    <xf numFmtId="0" fontId="26" fillId="24" borderId="11" xfId="0" applyFont="1" applyFill="1" applyBorder="1" applyAlignment="1" applyProtection="1"/>
    <xf numFmtId="0" fontId="26" fillId="24" borderId="12" xfId="0" applyFont="1" applyFill="1" applyBorder="1" applyAlignment="1" applyProtection="1"/>
    <xf numFmtId="0" fontId="18" fillId="25" borderId="13" xfId="32" applyNumberFormat="1" applyFont="1" applyFill="1" applyBorder="1" applyAlignment="1" applyProtection="1"/>
    <xf numFmtId="0" fontId="18" fillId="25" borderId="14" xfId="32" applyNumberFormat="1" applyFont="1" applyFill="1" applyBorder="1" applyAlignment="1" applyProtection="1"/>
    <xf numFmtId="0" fontId="18" fillId="25" borderId="15" xfId="32" applyNumberFormat="1" applyFont="1" applyFill="1" applyBorder="1" applyAlignment="1" applyProtection="1"/>
    <xf numFmtId="0" fontId="18" fillId="25" borderId="16" xfId="32" applyNumberFormat="1" applyFont="1" applyFill="1" applyBorder="1" applyAlignment="1" applyProtection="1"/>
    <xf numFmtId="0" fontId="18" fillId="0" borderId="0" xfId="0" applyFont="1" applyFill="1" applyAlignment="1" applyProtection="1">
      <protection locked="0"/>
    </xf>
    <xf numFmtId="0" fontId="19" fillId="0" borderId="0" xfId="0" applyFont="1" applyAlignment="1" applyProtection="1">
      <alignment vertical="center"/>
      <protection locked="0"/>
    </xf>
    <xf numFmtId="49" fontId="20" fillId="0" borderId="0" xfId="0" applyNumberFormat="1" applyFont="1" applyProtection="1">
      <protection locked="0"/>
    </xf>
    <xf numFmtId="165" fontId="21" fillId="0" borderId="0" xfId="32" applyNumberFormat="1" applyFont="1" applyAlignment="1" applyProtection="1">
      <protection locked="0"/>
    </xf>
    <xf numFmtId="165" fontId="18" fillId="0" borderId="0" xfId="32" applyNumberFormat="1" applyFont="1" applyAlignment="1" applyProtection="1">
      <protection locked="0"/>
    </xf>
    <xf numFmtId="164" fontId="18" fillId="0" borderId="0" xfId="32" applyFont="1" applyAlignment="1" applyProtection="1">
      <protection locked="0"/>
    </xf>
    <xf numFmtId="0" fontId="18" fillId="0" borderId="0" xfId="0" applyFont="1" applyAlignment="1" applyProtection="1">
      <protection locked="0"/>
    </xf>
    <xf numFmtId="0" fontId="22" fillId="26" borderId="17" xfId="0" applyFont="1" applyFill="1" applyBorder="1" applyAlignment="1" applyProtection="1">
      <alignment horizontal="left" vertical="center"/>
      <protection locked="0"/>
    </xf>
    <xf numFmtId="0" fontId="22" fillId="26" borderId="18" xfId="0" applyFont="1" applyFill="1" applyBorder="1" applyAlignment="1" applyProtection="1">
      <alignment horizontal="left" vertical="center" wrapText="1"/>
      <protection locked="0"/>
    </xf>
    <xf numFmtId="0" fontId="22" fillId="26" borderId="18" xfId="0" applyFont="1" applyFill="1" applyBorder="1" applyAlignment="1" applyProtection="1">
      <alignment horizontal="center" vertical="center" wrapText="1"/>
      <protection locked="0"/>
    </xf>
    <xf numFmtId="0" fontId="22" fillId="26" borderId="18" xfId="0" applyFont="1" applyFill="1" applyBorder="1" applyAlignment="1" applyProtection="1">
      <alignment horizontal="center" vertical="center"/>
      <protection locked="0"/>
    </xf>
    <xf numFmtId="0" fontId="22" fillId="26" borderId="19" xfId="0" applyFont="1" applyFill="1" applyBorder="1" applyAlignment="1" applyProtection="1">
      <alignment horizontal="center" vertical="center"/>
      <protection locked="0"/>
    </xf>
    <xf numFmtId="0" fontId="22" fillId="26" borderId="10" xfId="0" applyFont="1" applyFill="1" applyBorder="1" applyAlignment="1" applyProtection="1">
      <alignment horizontal="center" vertical="center"/>
      <protection locked="0"/>
    </xf>
    <xf numFmtId="0" fontId="18" fillId="0" borderId="13" xfId="0" applyFont="1" applyFill="1" applyBorder="1" applyAlignment="1" applyProtection="1">
      <protection locked="0"/>
    </xf>
    <xf numFmtId="0" fontId="18" fillId="0" borderId="14" xfId="0" applyFont="1" applyFill="1" applyBorder="1" applyAlignment="1" applyProtection="1">
      <protection locked="0"/>
    </xf>
    <xf numFmtId="0" fontId="18" fillId="0" borderId="13" xfId="0" applyNumberFormat="1" applyFont="1" applyFill="1" applyBorder="1" applyAlignment="1" applyProtection="1">
      <protection locked="0"/>
    </xf>
    <xf numFmtId="0" fontId="18" fillId="0" borderId="14" xfId="0" applyNumberFormat="1" applyFont="1" applyFill="1" applyBorder="1" applyAlignment="1" applyProtection="1">
      <protection locked="0"/>
    </xf>
    <xf numFmtId="0" fontId="18" fillId="0" borderId="0" xfId="0" applyFont="1" applyBorder="1" applyAlignment="1" applyProtection="1">
      <protection locked="0"/>
    </xf>
    <xf numFmtId="0" fontId="18" fillId="0" borderId="15" xfId="0" applyFont="1" applyFill="1" applyBorder="1" applyAlignment="1" applyProtection="1">
      <protection locked="0"/>
    </xf>
    <xf numFmtId="0" fontId="18" fillId="0" borderId="16" xfId="0" applyFont="1" applyFill="1" applyBorder="1" applyAlignment="1" applyProtection="1">
      <protection locked="0"/>
    </xf>
    <xf numFmtId="0" fontId="18" fillId="0" borderId="15" xfId="0" applyNumberFormat="1" applyFont="1" applyFill="1" applyBorder="1" applyAlignment="1" applyProtection="1">
      <protection locked="0"/>
    </xf>
    <xf numFmtId="0" fontId="18" fillId="0" borderId="16" xfId="0" applyNumberFormat="1" applyFont="1" applyFill="1" applyBorder="1" applyAlignment="1" applyProtection="1">
      <protection locked="0"/>
    </xf>
    <xf numFmtId="0" fontId="18" fillId="0" borderId="0" xfId="0" applyFont="1" applyFill="1" applyAlignment="1" applyProtection="1"/>
    <xf numFmtId="0" fontId="18" fillId="0" borderId="0" xfId="0" applyFont="1" applyAlignment="1" applyProtection="1"/>
    <xf numFmtId="0" fontId="18" fillId="26" borderId="13" xfId="32" applyNumberFormat="1" applyFont="1" applyFill="1" applyBorder="1" applyAlignment="1" applyProtection="1"/>
    <xf numFmtId="0" fontId="18" fillId="26" borderId="14" xfId="32" applyNumberFormat="1" applyFont="1" applyFill="1" applyBorder="1" applyAlignment="1" applyProtection="1"/>
    <xf numFmtId="0" fontId="18" fillId="0" borderId="0" xfId="0" applyFont="1" applyFill="1" applyBorder="1" applyAlignment="1" applyProtection="1"/>
    <xf numFmtId="0" fontId="18" fillId="26" borderId="15" xfId="32" applyNumberFormat="1" applyFont="1" applyFill="1" applyBorder="1" applyAlignment="1" applyProtection="1"/>
    <xf numFmtId="0" fontId="18" fillId="26" borderId="16" xfId="32" applyNumberFormat="1" applyFont="1" applyFill="1" applyBorder="1" applyAlignment="1" applyProtection="1"/>
    <xf numFmtId="0" fontId="18" fillId="26" borderId="15" xfId="0" applyNumberFormat="1" applyFont="1" applyFill="1" applyBorder="1" applyAlignment="1" applyProtection="1"/>
    <xf numFmtId="0" fontId="18" fillId="26" borderId="16" xfId="0" applyNumberFormat="1" applyFont="1" applyFill="1" applyBorder="1" applyAlignment="1" applyProtection="1"/>
    <xf numFmtId="0" fontId="22" fillId="27" borderId="20" xfId="32" applyNumberFormat="1" applyFont="1" applyFill="1" applyBorder="1" applyAlignment="1" applyProtection="1"/>
    <xf numFmtId="0" fontId="22" fillId="27" borderId="21" xfId="32" applyNumberFormat="1" applyFont="1" applyFill="1" applyBorder="1" applyAlignment="1" applyProtection="1"/>
    <xf numFmtId="0" fontId="18" fillId="26" borderId="20" xfId="0" applyNumberFormat="1" applyFont="1" applyFill="1" applyBorder="1" applyAlignment="1" applyProtection="1">
      <alignment vertical="top"/>
    </xf>
    <xf numFmtId="0" fontId="18" fillId="26" borderId="21" xfId="0" applyNumberFormat="1" applyFont="1" applyFill="1" applyBorder="1" applyAlignment="1" applyProtection="1">
      <alignment vertical="top"/>
    </xf>
    <xf numFmtId="0" fontId="18" fillId="26" borderId="22" xfId="0" applyNumberFormat="1" applyFont="1" applyFill="1" applyBorder="1" applyAlignment="1" applyProtection="1">
      <alignment vertical="top"/>
    </xf>
    <xf numFmtId="0" fontId="18" fillId="26" borderId="22" xfId="32" applyNumberFormat="1" applyFont="1" applyFill="1" applyBorder="1" applyAlignment="1" applyProtection="1"/>
    <xf numFmtId="0" fontId="18" fillId="26" borderId="21" xfId="32" applyNumberFormat="1" applyFont="1" applyFill="1" applyBorder="1" applyAlignment="1" applyProtection="1"/>
    <xf numFmtId="0" fontId="18" fillId="26" borderId="22" xfId="32" quotePrefix="1" applyNumberFormat="1" applyFont="1" applyFill="1" applyBorder="1" applyAlignment="1" applyProtection="1">
      <alignment horizontal="center"/>
    </xf>
    <xf numFmtId="0" fontId="18" fillId="26" borderId="21" xfId="32" quotePrefix="1" applyNumberFormat="1" applyFont="1" applyFill="1" applyBorder="1" applyAlignment="1" applyProtection="1">
      <alignment horizontal="center"/>
    </xf>
    <xf numFmtId="0" fontId="22" fillId="25" borderId="22" xfId="32" quotePrefix="1" applyNumberFormat="1" applyFont="1" applyFill="1" applyBorder="1" applyAlignment="1" applyProtection="1">
      <alignment horizontal="right"/>
    </xf>
    <xf numFmtId="0" fontId="22" fillId="25" borderId="21" xfId="32" quotePrefix="1" applyNumberFormat="1" applyFont="1" applyFill="1" applyBorder="1" applyAlignment="1" applyProtection="1">
      <alignment horizontal="right"/>
    </xf>
    <xf numFmtId="0" fontId="27" fillId="28" borderId="22" xfId="0" applyNumberFormat="1" applyFont="1" applyFill="1" applyBorder="1" applyAlignment="1" applyProtection="1"/>
    <xf numFmtId="0" fontId="27" fillId="28" borderId="21" xfId="0" applyNumberFormat="1" applyFont="1" applyFill="1" applyBorder="1" applyAlignment="1" applyProtection="1"/>
    <xf numFmtId="0" fontId="27" fillId="28" borderId="22" xfId="32" applyNumberFormat="1" applyFont="1" applyFill="1" applyBorder="1" applyAlignment="1" applyProtection="1"/>
    <xf numFmtId="0" fontId="27" fillId="28" borderId="21" xfId="32" applyNumberFormat="1" applyFont="1" applyFill="1" applyBorder="1" applyAlignment="1" applyProtection="1"/>
    <xf numFmtId="0" fontId="22" fillId="0" borderId="0" xfId="0" applyFont="1" applyAlignment="1" applyProtection="1"/>
    <xf numFmtId="0" fontId="18" fillId="0" borderId="0" xfId="0" applyNumberFormat="1" applyFont="1" applyAlignment="1" applyProtection="1"/>
    <xf numFmtId="0" fontId="27" fillId="29" borderId="22" xfId="0" applyNumberFormat="1" applyFont="1" applyFill="1" applyBorder="1" applyAlignment="1" applyProtection="1"/>
    <xf numFmtId="0" fontId="27" fillId="29" borderId="21" xfId="0" applyNumberFormat="1" applyFont="1" applyFill="1" applyBorder="1" applyAlignment="1" applyProtection="1"/>
    <xf numFmtId="0" fontId="27" fillId="29" borderId="22" xfId="32" applyNumberFormat="1" applyFont="1" applyFill="1" applyBorder="1" applyAlignment="1" applyProtection="1"/>
    <xf numFmtId="0" fontId="18" fillId="0" borderId="0" xfId="0" applyFont="1" applyFill="1" applyBorder="1" applyAlignment="1" applyProtection="1">
      <protection locked="0"/>
    </xf>
    <xf numFmtId="0" fontId="25" fillId="0" borderId="23" xfId="0" applyFont="1" applyBorder="1" applyAlignment="1">
      <alignment vertical="center"/>
    </xf>
    <xf numFmtId="0" fontId="25" fillId="0" borderId="24" xfId="0" applyFont="1" applyBorder="1" applyAlignment="1">
      <alignment vertical="center"/>
    </xf>
    <xf numFmtId="0" fontId="25" fillId="0" borderId="25" xfId="0" applyFont="1" applyBorder="1" applyAlignment="1">
      <alignment vertical="center"/>
    </xf>
    <xf numFmtId="0" fontId="25" fillId="30" borderId="24" xfId="0" applyFont="1" applyFill="1" applyBorder="1" applyAlignment="1">
      <alignment vertical="center"/>
    </xf>
    <xf numFmtId="0" fontId="18" fillId="0" borderId="24" xfId="0" applyFont="1" applyBorder="1" applyAlignment="1">
      <alignment vertical="center"/>
    </xf>
    <xf numFmtId="0" fontId="18" fillId="0" borderId="26" xfId="35" applyFont="1" applyFill="1" applyBorder="1" applyAlignment="1">
      <alignment vertical="center"/>
    </xf>
    <xf numFmtId="0" fontId="27" fillId="28" borderId="27" xfId="35" applyFont="1" applyFill="1" applyBorder="1" applyAlignment="1">
      <alignment vertical="center"/>
    </xf>
    <xf numFmtId="0" fontId="22" fillId="0" borderId="0" xfId="35" applyFont="1" applyAlignment="1">
      <alignment vertical="center"/>
    </xf>
    <xf numFmtId="0" fontId="27" fillId="29" borderId="27" xfId="0" applyFont="1" applyFill="1" applyBorder="1" applyAlignment="1">
      <alignment vertical="center"/>
    </xf>
    <xf numFmtId="49" fontId="18" fillId="0" borderId="0" xfId="0" applyNumberFormat="1" applyFont="1" applyFill="1" applyAlignment="1" applyProtection="1">
      <protection locked="0"/>
    </xf>
    <xf numFmtId="49" fontId="18" fillId="0" borderId="0" xfId="35" applyNumberFormat="1" applyFont="1" applyFill="1" applyBorder="1" applyAlignment="1">
      <alignment vertical="center"/>
    </xf>
    <xf numFmtId="49" fontId="18" fillId="30" borderId="0" xfId="35" applyNumberFormat="1" applyFont="1" applyFill="1" applyBorder="1" applyAlignment="1">
      <alignment horizontal="left" vertical="center"/>
    </xf>
    <xf numFmtId="49" fontId="18" fillId="0" borderId="0" xfId="35" applyNumberFormat="1" applyFont="1" applyFill="1" applyAlignment="1">
      <alignment vertical="center"/>
    </xf>
    <xf numFmtId="49" fontId="18" fillId="0" borderId="0" xfId="35" applyNumberFormat="1" applyFont="1" applyAlignment="1">
      <alignment vertical="center"/>
    </xf>
    <xf numFmtId="49" fontId="18" fillId="0" borderId="0" xfId="0" applyNumberFormat="1" applyFont="1" applyFill="1" applyAlignment="1" applyProtection="1"/>
    <xf numFmtId="49" fontId="18" fillId="30" borderId="0" xfId="35" applyNumberFormat="1" applyFont="1" applyFill="1" applyAlignment="1">
      <alignment horizontal="left" vertical="center"/>
    </xf>
    <xf numFmtId="0" fontId="22" fillId="26" borderId="10" xfId="0" applyFont="1" applyFill="1" applyBorder="1" applyAlignment="1" applyProtection="1">
      <alignment horizontal="center" vertical="center" wrapText="1"/>
      <protection locked="0"/>
    </xf>
    <xf numFmtId="0" fontId="25" fillId="26" borderId="11" xfId="0" applyFont="1" applyFill="1" applyBorder="1" applyAlignment="1" applyProtection="1">
      <alignment horizontal="center" vertical="center" wrapText="1"/>
      <protection locked="0"/>
    </xf>
    <xf numFmtId="0" fontId="24" fillId="24" borderId="10" xfId="0" applyFont="1" applyFill="1" applyBorder="1" applyAlignment="1" applyProtection="1">
      <alignment horizontal="center" vertical="center" wrapText="1"/>
      <protection locked="0"/>
    </xf>
    <xf numFmtId="0" fontId="23" fillId="24" borderId="11" xfId="0" applyFont="1" applyFill="1" applyBorder="1" applyAlignment="1" applyProtection="1">
      <alignment horizontal="center" vertical="center" wrapText="1"/>
      <protection locked="0"/>
    </xf>
    <xf numFmtId="0" fontId="23" fillId="24" borderId="12" xfId="0" applyFont="1" applyFill="1" applyBorder="1" applyAlignment="1" applyProtection="1">
      <alignment horizontal="center" vertical="center" wrapText="1"/>
      <protection locked="0"/>
    </xf>
    <xf numFmtId="0" fontId="22" fillId="26" borderId="26" xfId="0" applyFont="1" applyFill="1" applyBorder="1" applyAlignment="1" applyProtection="1">
      <alignment horizontal="center" vertical="center" wrapText="1"/>
      <protection locked="0"/>
    </xf>
    <xf numFmtId="0" fontId="22" fillId="26" borderId="28" xfId="0" applyFont="1" applyFill="1" applyBorder="1" applyAlignment="1" applyProtection="1">
      <alignment horizontal="center" vertical="center" wrapText="1"/>
      <protection locked="0"/>
    </xf>
  </cellXfs>
  <cellStyles count="45">
    <cellStyle name="20% - Énfasis1" xfId="1" builtinId="30" customBuiltin="1"/>
    <cellStyle name="20% - Énfasis2" xfId="2" builtinId="34" customBuiltin="1"/>
    <cellStyle name="20% - Énfasis3" xfId="3" builtinId="38" customBuiltin="1"/>
    <cellStyle name="20% - Énfasis4" xfId="4" builtinId="42" customBuiltin="1"/>
    <cellStyle name="20% - Énfasis5" xfId="5" builtinId="46" customBuiltin="1"/>
    <cellStyle name="20% - Énfasis6" xfId="6" builtinId="50" customBuiltin="1"/>
    <cellStyle name="40% - Énfasis1" xfId="7" builtinId="31" customBuiltin="1"/>
    <cellStyle name="40% - Énfasis2" xfId="8" builtinId="35" customBuiltin="1"/>
    <cellStyle name="40% - Énfasis3" xfId="9" builtinId="39" customBuiltin="1"/>
    <cellStyle name="40% - Énfasis4" xfId="10" builtinId="43" customBuiltin="1"/>
    <cellStyle name="40% - Énfasis5" xfId="11" builtinId="47" customBuiltin="1"/>
    <cellStyle name="40% - Énfasis6" xfId="12" builtinId="51" customBuiltin="1"/>
    <cellStyle name="60% - Énfasis1" xfId="13" builtinId="32" customBuiltin="1"/>
    <cellStyle name="60% - Énfasis2" xfId="14" builtinId="36" customBuiltin="1"/>
    <cellStyle name="60% - Énfasis3" xfId="15" builtinId="40" customBuiltin="1"/>
    <cellStyle name="60% - Énfasis4" xfId="16" builtinId="44" customBuiltin="1"/>
    <cellStyle name="60% - Énfasis5" xfId="17" builtinId="48" customBuiltin="1"/>
    <cellStyle name="60% - Énfasis6" xfId="18" builtinId="52" customBuiltin="1"/>
    <cellStyle name="Buena" xfId="19" builtinId="26" customBuiltin="1"/>
    <cellStyle name="Cálculo" xfId="20" builtinId="22" customBuiltin="1"/>
    <cellStyle name="Celda de comprobación" xfId="21" builtinId="23" customBuiltin="1"/>
    <cellStyle name="Celda vinculada" xfId="22" builtinId="24" customBuiltin="1"/>
    <cellStyle name="Encabezado 4" xfId="23" builtinId="19" customBuiltin="1"/>
    <cellStyle name="Énfasis1" xfId="24" builtinId="29" customBuiltin="1"/>
    <cellStyle name="Énfasis2" xfId="25" builtinId="33" customBuiltin="1"/>
    <cellStyle name="Énfasis3" xfId="26" builtinId="37" customBuiltin="1"/>
    <cellStyle name="Énfasis4" xfId="27" builtinId="41" customBuiltin="1"/>
    <cellStyle name="Énfasis5" xfId="28" builtinId="45" customBuiltin="1"/>
    <cellStyle name="Énfasis6" xfId="29" builtinId="49" customBuiltin="1"/>
    <cellStyle name="Entrada" xfId="30" builtinId="20" customBuiltin="1"/>
    <cellStyle name="Incorrecto" xfId="31" builtinId="27" customBuiltin="1"/>
    <cellStyle name="Millares" xfId="32" builtinId="3"/>
    <cellStyle name="Millares 2" xfId="33"/>
    <cellStyle name="Neutral" xfId="34" builtinId="28" customBuiltin="1"/>
    <cellStyle name="Normal" xfId="0" builtinId="0"/>
    <cellStyle name="Normal 2" xfId="35"/>
    <cellStyle name="Notas" xfId="36" builtinId="10" customBuiltin="1"/>
    <cellStyle name="Salida" xfId="37" builtinId="21" customBuiltin="1"/>
    <cellStyle name="Texto de advertencia" xfId="38" builtinId="11" customBuiltin="1"/>
    <cellStyle name="Texto explicativo" xfId="39" builtinId="53" customBuiltin="1"/>
    <cellStyle name="Título" xfId="40" builtinId="15" customBuiltin="1"/>
    <cellStyle name="Título 1" xfId="41" builtinId="16" customBuiltin="1"/>
    <cellStyle name="Título 2" xfId="42" builtinId="17" customBuiltin="1"/>
    <cellStyle name="Título 3" xfId="43" builtinId="18" customBuiltin="1"/>
    <cellStyle name="Total" xfId="44" builtinId="25"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0</xdr:col>
      <xdr:colOff>171451</xdr:colOff>
      <xdr:row>0</xdr:row>
      <xdr:rowOff>180974</xdr:rowOff>
    </xdr:from>
    <xdr:to>
      <xdr:col>8</xdr:col>
      <xdr:colOff>533400</xdr:colOff>
      <xdr:row>36</xdr:row>
      <xdr:rowOff>133350</xdr:rowOff>
    </xdr:to>
    <xdr:sp macro="" textlink="">
      <xdr:nvSpPr>
        <xdr:cNvPr id="3" name="Rectangle 4"/>
        <xdr:cNvSpPr>
          <a:spLocks noChangeArrowheads="1"/>
        </xdr:cNvSpPr>
      </xdr:nvSpPr>
      <xdr:spPr bwMode="auto">
        <a:xfrm>
          <a:off x="171451" y="180974"/>
          <a:ext cx="6457949" cy="6810376"/>
        </a:xfrm>
        <a:prstGeom prst="rect">
          <a:avLst/>
        </a:prstGeom>
        <a:solidFill>
          <a:srgbClr val="CCFFFF"/>
        </a:solidFill>
        <a:ln w="9525">
          <a:solidFill>
            <a:srgbClr val="000000"/>
          </a:solidFill>
          <a:miter lim="800000"/>
          <a:headEnd/>
          <a:tailEnd/>
        </a:ln>
      </xdr:spPr>
      <xdr:txBody>
        <a:bodyPr vertOverflow="clip" wrap="square" lIns="27432" tIns="22860" rIns="27432" bIns="22860" anchor="ctr" upright="1"/>
        <a:lstStyle/>
        <a:p>
          <a:pPr algn="ctr" rtl="0">
            <a:defRPr sz="1000"/>
          </a:pPr>
          <a:r>
            <a:rPr lang="es-PE" sz="1200" b="1" i="0" strike="noStrike">
              <a:solidFill>
                <a:srgbClr val="0000FF"/>
              </a:solidFill>
              <a:latin typeface="Arial"/>
              <a:cs typeface="Arial"/>
            </a:rPr>
            <a:t>INSTRUCCIONES:</a:t>
          </a:r>
        </a:p>
        <a:p>
          <a:pPr algn="just" rtl="0">
            <a:defRPr sz="1000"/>
          </a:pPr>
          <a:endParaRPr lang="es-PE" sz="1100" b="0" i="0" strike="noStrike">
            <a:solidFill>
              <a:srgbClr val="000000"/>
            </a:solidFill>
            <a:latin typeface="Arial" pitchFamily="34" charset="0"/>
            <a:cs typeface="Arial" pitchFamily="34" charset="0"/>
          </a:endParaRPr>
        </a:p>
        <a:p>
          <a:pPr algn="just" rtl="0">
            <a:defRPr sz="1000"/>
          </a:pPr>
          <a:r>
            <a:rPr lang="es-PE" sz="1100" b="0" i="0" strike="noStrike">
              <a:solidFill>
                <a:srgbClr val="000000"/>
              </a:solidFill>
              <a:latin typeface="Arial" pitchFamily="34" charset="0"/>
              <a:cs typeface="Arial" pitchFamily="34" charset="0"/>
            </a:rPr>
            <a:t>Este archivo está compuesto por las presentes instrucciones y por dos h</a:t>
          </a:r>
          <a:r>
            <a:rPr lang="es-PE" sz="1100" b="0" i="0" strike="noStrike" baseline="0">
              <a:solidFill>
                <a:srgbClr val="000000"/>
              </a:solidFill>
              <a:latin typeface="Arial" pitchFamily="34" charset="0"/>
              <a:cs typeface="Arial" pitchFamily="34" charset="0"/>
            </a:rPr>
            <a:t>ojas auxiliares de Balances de Comprobación.</a:t>
          </a:r>
        </a:p>
        <a:p>
          <a:pPr algn="just" rtl="0">
            <a:defRPr sz="1000"/>
          </a:pPr>
          <a:endParaRPr lang="es-PE" sz="1100" b="0" i="0" strike="noStrike" baseline="0">
            <a:solidFill>
              <a:srgbClr val="000000"/>
            </a:solidFill>
            <a:latin typeface="Arial" pitchFamily="34" charset="0"/>
            <a:cs typeface="Arial" pitchFamily="34" charset="0"/>
          </a:endParaRPr>
        </a:p>
        <a:p>
          <a:pPr algn="just" rtl="0">
            <a:defRPr sz="1000"/>
          </a:pPr>
          <a:r>
            <a:rPr lang="es-PE" sz="1100" b="0" i="0" strike="noStrike" baseline="0">
              <a:solidFill>
                <a:srgbClr val="000000"/>
              </a:solidFill>
              <a:latin typeface="Arial" pitchFamily="34" charset="0"/>
              <a:cs typeface="Arial" pitchFamily="34" charset="0"/>
            </a:rPr>
            <a:t>Con la información que consigne en el Balance de Comprobación podrá crear de manera rápida el archivo de texto para utilizarlo en la opción Importar del Balance de Comprobación del PDT </a:t>
          </a:r>
          <a:r>
            <a:rPr lang="es-PE" sz="1100" b="1" i="0" u="sng" strike="noStrike" baseline="0">
              <a:solidFill>
                <a:srgbClr val="C00000"/>
              </a:solidFill>
              <a:latin typeface="Arial" pitchFamily="34" charset="0"/>
              <a:cs typeface="Arial" pitchFamily="34" charset="0"/>
            </a:rPr>
            <a:t>0692</a:t>
          </a:r>
          <a:r>
            <a:rPr lang="es-PE" sz="1100" b="0" i="0" strike="noStrike" baseline="0">
              <a:solidFill>
                <a:srgbClr val="000000"/>
              </a:solidFill>
              <a:latin typeface="Arial" pitchFamily="34" charset="0"/>
              <a:cs typeface="Arial" pitchFamily="34" charset="0"/>
            </a:rPr>
            <a:t>.</a:t>
          </a:r>
        </a:p>
        <a:p>
          <a:pPr algn="just" rtl="0">
            <a:defRPr sz="1000"/>
          </a:pPr>
          <a:endParaRPr lang="es-PE" sz="1100" b="0" i="0" strike="noStrike" baseline="0">
            <a:solidFill>
              <a:srgbClr val="000000"/>
            </a:solidFill>
            <a:latin typeface="Arial" pitchFamily="34" charset="0"/>
            <a:cs typeface="Arial" pitchFamily="34" charset="0"/>
          </a:endParaRPr>
        </a:p>
        <a:p>
          <a:pPr algn="just" rtl="0">
            <a:defRPr sz="1000"/>
          </a:pPr>
          <a:r>
            <a:rPr lang="es-PE" sz="1100" b="0" i="0" strike="noStrike" baseline="0">
              <a:solidFill>
                <a:srgbClr val="000000"/>
              </a:solidFill>
              <a:latin typeface="Arial" pitchFamily="34" charset="0"/>
              <a:cs typeface="Arial" pitchFamily="34" charset="0"/>
            </a:rPr>
            <a:t>Para ello, primero debe ir a la hoja BC_PCGEmpresarial.</a:t>
          </a:r>
          <a:endParaRPr lang="es-PE" sz="1100" b="0" i="0" strike="noStrike">
            <a:solidFill>
              <a:srgbClr val="000000"/>
            </a:solidFill>
            <a:latin typeface="Arial" pitchFamily="34" charset="0"/>
            <a:cs typeface="Arial" pitchFamily="34" charset="0"/>
          </a:endParaRPr>
        </a:p>
        <a:p>
          <a:pPr algn="just" rtl="0">
            <a:defRPr sz="1000"/>
          </a:pPr>
          <a:endParaRPr lang="es-PE" sz="1100" b="0" i="0" strike="noStrike">
            <a:solidFill>
              <a:srgbClr val="000000"/>
            </a:solidFill>
            <a:latin typeface="Arial" pitchFamily="34" charset="0"/>
            <a:cs typeface="Arial" pitchFamily="34" charset="0"/>
          </a:endParaRPr>
        </a:p>
        <a:p>
          <a:pPr rtl="0"/>
          <a:r>
            <a:rPr lang="es-PE" sz="1100" b="0" i="0">
              <a:latin typeface="Arial" pitchFamily="34" charset="0"/>
              <a:ea typeface="+mn-ea"/>
              <a:cs typeface="Arial" pitchFamily="34" charset="0"/>
            </a:rPr>
            <a:t>En el Balance de Comprobación solamente</a:t>
          </a:r>
          <a:r>
            <a:rPr lang="es-PE" sz="1100" b="0" i="0" baseline="0">
              <a:latin typeface="Arial" pitchFamily="34" charset="0"/>
              <a:ea typeface="+mn-ea"/>
              <a:cs typeface="Arial" pitchFamily="34" charset="0"/>
            </a:rPr>
            <a:t> debe c</a:t>
          </a:r>
          <a:r>
            <a:rPr lang="es-PE" sz="1100" b="0" i="0">
              <a:latin typeface="Arial" pitchFamily="34" charset="0"/>
              <a:ea typeface="+mn-ea"/>
              <a:cs typeface="Arial" pitchFamily="34" charset="0"/>
            </a:rPr>
            <a:t>onsignar la información correspondiente a cada cuenta en las celdas de color blanco.</a:t>
          </a:r>
          <a:endParaRPr lang="es-PE" sz="1100">
            <a:latin typeface="Arial" pitchFamily="34" charset="0"/>
            <a:cs typeface="Arial" pitchFamily="34" charset="0"/>
          </a:endParaRPr>
        </a:p>
        <a:p>
          <a:pPr rtl="0"/>
          <a:endParaRPr lang="es-PE" sz="1100" b="0" i="0">
            <a:latin typeface="Arial" pitchFamily="34" charset="0"/>
            <a:ea typeface="+mn-ea"/>
            <a:cs typeface="Arial" pitchFamily="34" charset="0"/>
          </a:endParaRPr>
        </a:p>
        <a:p>
          <a:pPr rtl="0"/>
          <a:r>
            <a:rPr lang="es-PE" sz="1100" b="0" i="0">
              <a:latin typeface="Arial" pitchFamily="34" charset="0"/>
              <a:ea typeface="+mn-ea"/>
              <a:cs typeface="Arial" pitchFamily="34" charset="0"/>
            </a:rPr>
            <a:t>En el Balance de Comprobación no debe ingresar</a:t>
          </a:r>
          <a:r>
            <a:rPr lang="es-PE" sz="1100" b="0" i="0" baseline="0">
              <a:latin typeface="Arial" pitchFamily="34" charset="0"/>
              <a:ea typeface="+mn-ea"/>
              <a:cs typeface="Arial" pitchFamily="34" charset="0"/>
            </a:rPr>
            <a:t> información en las celdas de color turquesa o naranja, ya que estas contienen fórmulas.</a:t>
          </a:r>
          <a:endParaRPr lang="es-PE" sz="1100" b="0" i="0">
            <a:latin typeface="Arial" pitchFamily="34" charset="0"/>
            <a:ea typeface="+mn-ea"/>
            <a:cs typeface="Arial" pitchFamily="34" charset="0"/>
          </a:endParaRPr>
        </a:p>
        <a:p>
          <a:pPr rtl="0"/>
          <a:endParaRPr lang="es-PE" sz="1100" b="0" i="0">
            <a:latin typeface="Arial" pitchFamily="34" charset="0"/>
            <a:ea typeface="+mn-ea"/>
            <a:cs typeface="Arial" pitchFamily="34" charset="0"/>
          </a:endParaRPr>
        </a:p>
        <a:p>
          <a:pPr rtl="0"/>
          <a:r>
            <a:rPr lang="es-PE" sz="1100" b="0" i="0">
              <a:latin typeface="Arial" pitchFamily="34" charset="0"/>
              <a:ea typeface="+mn-ea"/>
              <a:cs typeface="Arial" pitchFamily="34" charset="0"/>
            </a:rPr>
            <a:t>En el Balance</a:t>
          </a:r>
          <a:r>
            <a:rPr lang="es-PE" sz="1100" b="0" i="0" baseline="0">
              <a:latin typeface="Arial" pitchFamily="34" charset="0"/>
              <a:ea typeface="+mn-ea"/>
              <a:cs typeface="Arial" pitchFamily="34" charset="0"/>
            </a:rPr>
            <a:t> de Comprobación n</a:t>
          </a:r>
          <a:r>
            <a:rPr lang="es-PE" sz="1100" b="0" i="0">
              <a:latin typeface="Arial" pitchFamily="34" charset="0"/>
              <a:ea typeface="+mn-ea"/>
              <a:cs typeface="Arial" pitchFamily="34" charset="0"/>
            </a:rPr>
            <a:t>o debe ingresar los números en formato de millares.</a:t>
          </a:r>
          <a:endParaRPr lang="es-PE" sz="1100">
            <a:latin typeface="Arial" pitchFamily="34" charset="0"/>
            <a:cs typeface="Arial" pitchFamily="34" charset="0"/>
          </a:endParaRPr>
        </a:p>
        <a:p>
          <a:pPr algn="just" rtl="0">
            <a:defRPr sz="1000"/>
          </a:pPr>
          <a:endParaRPr lang="es-PE" sz="1100" b="0" i="0" strike="noStrike">
            <a:solidFill>
              <a:srgbClr val="000000"/>
            </a:solidFill>
            <a:latin typeface="Arial" pitchFamily="34" charset="0"/>
            <a:cs typeface="Arial" pitchFamily="34" charset="0"/>
          </a:endParaRPr>
        </a:p>
        <a:p>
          <a:pPr algn="just" rtl="0">
            <a:defRPr sz="1000"/>
          </a:pPr>
          <a:r>
            <a:rPr lang="es-PE" sz="1100" b="0" i="0" strike="noStrike">
              <a:solidFill>
                <a:srgbClr val="000000"/>
              </a:solidFill>
              <a:latin typeface="Arial" pitchFamily="34" charset="0"/>
              <a:cs typeface="Arial" pitchFamily="34" charset="0"/>
            </a:rPr>
            <a:t>Una vez que tenga preparado</a:t>
          </a:r>
          <a:r>
            <a:rPr lang="es-PE" sz="1100" b="0" i="0" strike="noStrike" baseline="0">
              <a:solidFill>
                <a:srgbClr val="000000"/>
              </a:solidFill>
              <a:latin typeface="Arial" pitchFamily="34" charset="0"/>
              <a:cs typeface="Arial" pitchFamily="34" charset="0"/>
            </a:rPr>
            <a:t> el Balance de Comprobación debe h</a:t>
          </a:r>
          <a:r>
            <a:rPr lang="es-PE" sz="1100" b="0" i="0" strike="noStrike">
              <a:solidFill>
                <a:srgbClr val="000000"/>
              </a:solidFill>
              <a:latin typeface="Arial" pitchFamily="34" charset="0"/>
              <a:cs typeface="Arial" pitchFamily="34" charset="0"/>
            </a:rPr>
            <a:t>acer clic en el boton </a:t>
          </a:r>
          <a:r>
            <a:rPr lang="es-PE" sz="1100" b="1" i="0" strike="noStrike">
              <a:solidFill>
                <a:srgbClr val="0000FF"/>
              </a:solidFill>
              <a:latin typeface="Arial" pitchFamily="34" charset="0"/>
              <a:cs typeface="Arial" pitchFamily="34" charset="0"/>
            </a:rPr>
            <a:t>Generar archivo de texto en la ruta C:\</a:t>
          </a:r>
          <a:r>
            <a:rPr lang="es-PE" sz="1100" b="0" i="0" strike="noStrike" baseline="0">
              <a:solidFill>
                <a:srgbClr val="000000"/>
              </a:solidFill>
              <a:latin typeface="Arial" pitchFamily="34" charset="0"/>
              <a:cs typeface="Arial" pitchFamily="34" charset="0"/>
            </a:rPr>
            <a:t> , ubicado en la parte superior de la columna R, para crear el archivo con los datos del rango de color naranja.</a:t>
          </a:r>
        </a:p>
        <a:p>
          <a:pPr algn="just" rtl="0">
            <a:defRPr sz="1000"/>
          </a:pPr>
          <a:endParaRPr lang="es-PE" sz="1100" b="0" i="0" strike="noStrike" baseline="0">
            <a:solidFill>
              <a:srgbClr val="000000"/>
            </a:solidFill>
            <a:latin typeface="Arial" pitchFamily="34" charset="0"/>
            <a:cs typeface="Arial" pitchFamily="34" charset="0"/>
          </a:endParaRPr>
        </a:p>
        <a:p>
          <a:pPr algn="just" rtl="0">
            <a:defRPr sz="1000"/>
          </a:pPr>
          <a:r>
            <a:rPr lang="es-PE" sz="1100" b="0" i="0" strike="noStrike" baseline="0">
              <a:solidFill>
                <a:srgbClr val="000000"/>
              </a:solidFill>
              <a:latin typeface="Arial" pitchFamily="34" charset="0"/>
              <a:cs typeface="Arial" pitchFamily="34" charset="0"/>
            </a:rPr>
            <a:t>El archivo de texto se generará con el nombre </a:t>
          </a:r>
          <a:r>
            <a:rPr lang="es-PE" sz="1100" b="0" i="0" strike="noStrike">
              <a:solidFill>
                <a:srgbClr val="FF0000"/>
              </a:solidFill>
              <a:latin typeface="Arial" pitchFamily="34" charset="0"/>
              <a:ea typeface="+mn-ea"/>
              <a:cs typeface="Arial" pitchFamily="34" charset="0"/>
            </a:rPr>
            <a:t>06</a:t>
          </a:r>
          <a:r>
            <a:rPr lang="es-PE" sz="1100" b="1" i="0" u="sng" strike="noStrike">
              <a:solidFill>
                <a:srgbClr val="00B050"/>
              </a:solidFill>
              <a:latin typeface="Arial" pitchFamily="34" charset="0"/>
              <a:ea typeface="+mn-ea"/>
              <a:cs typeface="Arial" pitchFamily="34" charset="0"/>
            </a:rPr>
            <a:t>92</a:t>
          </a:r>
          <a:r>
            <a:rPr lang="es-PE" sz="1100" b="0" i="0" strike="noStrike">
              <a:solidFill>
                <a:srgbClr val="FF0000"/>
              </a:solidFill>
              <a:latin typeface="Arial" pitchFamily="34" charset="0"/>
              <a:ea typeface="+mn-ea"/>
              <a:cs typeface="Arial" pitchFamily="34" charset="0"/>
            </a:rPr>
            <a:t>###########</a:t>
          </a:r>
          <a:r>
            <a:rPr lang="es-PE" sz="1100" b="0" i="0" strike="noStrike" baseline="0">
              <a:solidFill>
                <a:schemeClr val="accent2">
                  <a:lumMod val="75000"/>
                </a:schemeClr>
              </a:solidFill>
              <a:latin typeface="Arial" pitchFamily="34" charset="0"/>
              <a:ea typeface="+mn-ea"/>
              <a:cs typeface="Arial" pitchFamily="34" charset="0"/>
            </a:rPr>
            <a:t>201</a:t>
          </a:r>
          <a:r>
            <a:rPr lang="es-PE" sz="1100" b="0" i="0" strike="noStrike" baseline="0">
              <a:solidFill>
                <a:srgbClr val="00B050"/>
              </a:solidFill>
              <a:latin typeface="Arial" pitchFamily="34" charset="0"/>
              <a:ea typeface="+mn-ea"/>
              <a:cs typeface="Arial" pitchFamily="34" charset="0"/>
            </a:rPr>
            <a:t>4</a:t>
          </a:r>
          <a:r>
            <a:rPr lang="es-PE" sz="1100" b="0" i="0" strike="noStrike" baseline="0">
              <a:solidFill>
                <a:srgbClr val="FF0000"/>
              </a:solidFill>
              <a:latin typeface="Arial" pitchFamily="34" charset="0"/>
              <a:ea typeface="+mn-ea"/>
              <a:cs typeface="Arial" pitchFamily="34" charset="0"/>
            </a:rPr>
            <a:t>.txt </a:t>
          </a:r>
          <a:r>
            <a:rPr lang="es-PE" sz="1100" b="0" i="0" strike="noStrike" baseline="0">
              <a:solidFill>
                <a:srgbClr val="000000"/>
              </a:solidFill>
              <a:latin typeface="Arial" pitchFamily="34" charset="0"/>
              <a:ea typeface="+mn-ea"/>
              <a:cs typeface="Arial" pitchFamily="34" charset="0"/>
            </a:rPr>
            <a:t>en la ruta C:\</a:t>
          </a:r>
        </a:p>
        <a:p>
          <a:pPr algn="just" rtl="0">
            <a:defRPr sz="1000"/>
          </a:pPr>
          <a:endParaRPr lang="es-PE" sz="1100" b="0" i="0" strike="noStrike" baseline="0">
            <a:solidFill>
              <a:srgbClr val="000000"/>
            </a:solidFill>
            <a:latin typeface="Arial" pitchFamily="34" charset="0"/>
            <a:ea typeface="+mn-ea"/>
            <a:cs typeface="Arial" pitchFamily="34" charset="0"/>
          </a:endParaRPr>
        </a:p>
        <a:p>
          <a:pPr algn="just" rtl="0">
            <a:defRPr sz="1000"/>
          </a:pPr>
          <a:r>
            <a:rPr lang="es-PE" sz="1100" b="0" i="0" strike="noStrike" baseline="0">
              <a:solidFill>
                <a:srgbClr val="000000"/>
              </a:solidFill>
              <a:latin typeface="Arial" pitchFamily="34" charset="0"/>
              <a:cs typeface="Arial" pitchFamily="34" charset="0"/>
            </a:rPr>
            <a:t>El contribuyente deberá </a:t>
          </a:r>
          <a:r>
            <a:rPr lang="es-PE" sz="1100" b="1" i="0" strike="noStrike" baseline="0">
              <a:solidFill>
                <a:srgbClr val="FF0000"/>
              </a:solidFill>
              <a:latin typeface="Arial" pitchFamily="34" charset="0"/>
              <a:cs typeface="Arial" pitchFamily="34" charset="0"/>
            </a:rPr>
            <a:t>reemplazar</a:t>
          </a:r>
          <a:r>
            <a:rPr lang="es-PE" sz="1100" b="0" i="0" strike="noStrike" baseline="0">
              <a:solidFill>
                <a:srgbClr val="000000"/>
              </a:solidFill>
              <a:latin typeface="Arial" pitchFamily="34" charset="0"/>
              <a:cs typeface="Arial" pitchFamily="34" charset="0"/>
            </a:rPr>
            <a:t> en el archivo de texto generado los símbolos </a:t>
          </a:r>
          <a:r>
            <a:rPr lang="es-PE" sz="1100" b="0" i="0" strike="noStrike" baseline="0">
              <a:solidFill>
                <a:srgbClr val="FF0000"/>
              </a:solidFill>
              <a:latin typeface="Arial" pitchFamily="34" charset="0"/>
              <a:cs typeface="Arial" pitchFamily="34" charset="0"/>
            </a:rPr>
            <a:t>###########</a:t>
          </a:r>
          <a:r>
            <a:rPr lang="es-PE" sz="1100" b="0" i="0" strike="noStrike" baseline="0">
              <a:solidFill>
                <a:srgbClr val="000000"/>
              </a:solidFill>
              <a:latin typeface="Arial" pitchFamily="34" charset="0"/>
              <a:cs typeface="Arial" pitchFamily="34" charset="0"/>
            </a:rPr>
            <a:t> con su número de </a:t>
          </a:r>
          <a:r>
            <a:rPr lang="es-PE" sz="1100" b="0" i="0" strike="noStrike" baseline="0">
              <a:solidFill>
                <a:srgbClr val="FF0000"/>
              </a:solidFill>
              <a:latin typeface="Arial" pitchFamily="34" charset="0"/>
              <a:cs typeface="Arial" pitchFamily="34" charset="0"/>
            </a:rPr>
            <a:t>RUC</a:t>
          </a:r>
          <a:r>
            <a:rPr lang="es-PE" sz="1100" b="0" i="0" strike="noStrike" baseline="0">
              <a:solidFill>
                <a:srgbClr val="000000"/>
              </a:solidFill>
              <a:latin typeface="Arial" pitchFamily="34" charset="0"/>
              <a:cs typeface="Arial" pitchFamily="34" charset="0"/>
            </a:rPr>
            <a:t>.</a:t>
          </a:r>
        </a:p>
        <a:p>
          <a:pPr algn="just" rtl="0">
            <a:defRPr sz="1000"/>
          </a:pPr>
          <a:endParaRPr lang="es-PE" sz="1100" b="0" i="0" strike="noStrike" baseline="0">
            <a:solidFill>
              <a:srgbClr val="000000"/>
            </a:solidFill>
            <a:latin typeface="Arial" pitchFamily="34" charset="0"/>
            <a:cs typeface="Arial" pitchFamily="34" charset="0"/>
          </a:endParaRPr>
        </a:p>
        <a:p>
          <a:pPr algn="just" rtl="0">
            <a:defRPr sz="1000"/>
          </a:pPr>
          <a:r>
            <a:rPr lang="es-PE" sz="1100" b="0" i="0" strike="noStrike" baseline="0">
              <a:solidFill>
                <a:srgbClr val="000000"/>
              </a:solidFill>
              <a:latin typeface="Arial" pitchFamily="34" charset="0"/>
              <a:ea typeface="+mn-ea"/>
              <a:cs typeface="Arial" pitchFamily="34" charset="0"/>
            </a:rPr>
            <a:t>Una vez que haya cambiado el nombre del archivo, este podrá ser utilizado en la opción importar del Balance de Comprobación del PDT </a:t>
          </a:r>
          <a:r>
            <a:rPr lang="es-PE" sz="1100" b="1" i="0" u="sng" strike="noStrike" baseline="0">
              <a:solidFill>
                <a:srgbClr val="C00000"/>
              </a:solidFill>
              <a:latin typeface="Arial" pitchFamily="34" charset="0"/>
              <a:ea typeface="+mn-ea"/>
              <a:cs typeface="Arial" pitchFamily="34" charset="0"/>
            </a:rPr>
            <a:t>0692</a:t>
          </a:r>
          <a:r>
            <a:rPr lang="es-PE" sz="1100" b="0" i="0" strike="noStrike" baseline="0">
              <a:solidFill>
                <a:srgbClr val="C00000"/>
              </a:solidFill>
              <a:latin typeface="Arial" pitchFamily="34" charset="0"/>
              <a:ea typeface="+mn-ea"/>
              <a:cs typeface="Arial" pitchFamily="34" charset="0"/>
            </a:rPr>
            <a:t>.</a:t>
          </a:r>
        </a:p>
        <a:p>
          <a:pPr algn="just" rtl="0">
            <a:defRPr sz="1000"/>
          </a:pPr>
          <a:endParaRPr lang="es-PE" sz="1100" b="0" i="0" strike="noStrike" baseline="0">
            <a:solidFill>
              <a:srgbClr val="000000"/>
            </a:solidFill>
            <a:latin typeface="Arial" pitchFamily="34" charset="0"/>
            <a:ea typeface="+mn-ea"/>
            <a:cs typeface="Arial" pitchFamily="34" charset="0"/>
          </a:endParaRPr>
        </a:p>
        <a:p>
          <a:pPr algn="just" rtl="0">
            <a:defRPr sz="1000"/>
          </a:pPr>
          <a:r>
            <a:rPr lang="es-PE" sz="1100" b="1" i="0" u="sng" strike="noStrike" baseline="0">
              <a:solidFill>
                <a:srgbClr val="FF0000"/>
              </a:solidFill>
              <a:latin typeface="Arial" pitchFamily="34" charset="0"/>
              <a:ea typeface="+mn-ea"/>
              <a:cs typeface="Arial" pitchFamily="34" charset="0"/>
            </a:rPr>
            <a:t>Nota</a:t>
          </a:r>
          <a:r>
            <a:rPr lang="es-PE" sz="1100" b="1" i="0" strike="noStrike" baseline="0">
              <a:solidFill>
                <a:srgbClr val="FF0000"/>
              </a:solidFill>
              <a:latin typeface="Arial" pitchFamily="34" charset="0"/>
              <a:ea typeface="+mn-ea"/>
              <a:cs typeface="Arial" pitchFamily="34" charset="0"/>
            </a:rPr>
            <a:t>: </a:t>
          </a:r>
          <a:r>
            <a:rPr lang="es-PE" sz="1000" b="1" i="0" strike="noStrike" baseline="0">
              <a:solidFill>
                <a:srgbClr val="FF0000"/>
              </a:solidFill>
              <a:latin typeface="Arial" pitchFamily="34" charset="0"/>
              <a:ea typeface="+mn-ea"/>
              <a:cs typeface="Arial" pitchFamily="34" charset="0"/>
            </a:rPr>
            <a:t>Algunos rangos de las hojas BC_PCGEmpresarial están protegidos. Si necesita desprotegerlos debe ir a la opción Herramientas, Proteger y Desproteger Hoja (Excel 2000 o 2003) o Revisar y Desproteger Hoja (Excel 2007).</a:t>
          </a:r>
        </a:p>
        <a:p>
          <a:pPr algn="just" rtl="0">
            <a:defRPr sz="1000"/>
          </a:pPr>
          <a:endParaRPr lang="es-PE" sz="1000" b="1" i="0" strike="noStrike" baseline="0">
            <a:solidFill>
              <a:srgbClr val="FF0000"/>
            </a:solidFill>
            <a:latin typeface="Arial" pitchFamily="34" charset="0"/>
            <a:ea typeface="+mn-ea"/>
            <a:cs typeface="Arial"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695325</xdr:colOff>
          <xdr:row>2</xdr:row>
          <xdr:rowOff>9525</xdr:rowOff>
        </xdr:from>
        <xdr:to>
          <xdr:col>17</xdr:col>
          <xdr:colOff>2028825</xdr:colOff>
          <xdr:row>3</xdr:row>
          <xdr:rowOff>57150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ES" sz="1000" b="1" i="0" u="none" strike="noStrike" baseline="0">
                  <a:solidFill>
                    <a:srgbClr val="0000FF"/>
                  </a:solidFill>
                  <a:latin typeface="Arial"/>
                  <a:cs typeface="Arial"/>
                </a:rPr>
                <a:t>Generar archivo de texto en la ruta C:\</a:t>
              </a:r>
            </a:p>
          </xdr:txBody>
        </xdr:sp>
        <xdr:clientData fPrintsWithSheet="0"/>
      </xdr:twoCellAnchor>
    </mc:Choice>
    <mc:Fallback/>
  </mc:AlternateContent>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50"/>
  <sheetViews>
    <sheetView showGridLines="0" topLeftCell="A4" workbookViewId="0">
      <selection activeCell="L28" sqref="L28"/>
    </sheetView>
  </sheetViews>
  <sheetFormatPr baseColWidth="10" defaultColWidth="0" defaultRowHeight="15" zeroHeight="1" x14ac:dyDescent="0.25"/>
  <cols>
    <col min="1" max="26" width="11.42578125" customWidth="1"/>
  </cols>
  <sheetData>
    <row r="1" x14ac:dyDescent="0.25"/>
    <row r="2" x14ac:dyDescent="0.25"/>
    <row r="3" x14ac:dyDescent="0.25"/>
    <row r="4" x14ac:dyDescent="0.25"/>
    <row r="5" x14ac:dyDescent="0.25"/>
    <row r="6" x14ac:dyDescent="0.25"/>
    <row r="7" x14ac:dyDescent="0.25"/>
    <row r="8" x14ac:dyDescent="0.25"/>
    <row r="9" x14ac:dyDescent="0.25"/>
    <row r="10" x14ac:dyDescent="0.25"/>
    <row r="11" x14ac:dyDescent="0.25"/>
    <row r="12" x14ac:dyDescent="0.25"/>
    <row r="13" x14ac:dyDescent="0.25"/>
    <row r="14" x14ac:dyDescent="0.25"/>
    <row r="15" x14ac:dyDescent="0.25"/>
    <row r="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row r="50" x14ac:dyDescent="0.25"/>
  </sheetData>
  <sheetProtection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S1293"/>
  <sheetViews>
    <sheetView showGridLines="0" tabSelected="1" topLeftCell="K1" workbookViewId="0">
      <selection activeCell="R5" sqref="R5"/>
    </sheetView>
  </sheetViews>
  <sheetFormatPr baseColWidth="10" defaultRowHeight="12.75" x14ac:dyDescent="0.2"/>
  <cols>
    <col min="1" max="1" width="9.7109375" style="74" customWidth="1"/>
    <col min="2" max="2" width="135.140625" style="54" customWidth="1"/>
    <col min="3" max="16" width="16.7109375" style="31" customWidth="1"/>
    <col min="17" max="17" width="5.7109375" style="14" customWidth="1"/>
    <col min="18" max="18" width="40.7109375" style="31" customWidth="1"/>
    <col min="19" max="19" width="5.7109375" style="14" customWidth="1"/>
    <col min="20" max="16384" width="11.42578125" style="30"/>
  </cols>
  <sheetData>
    <row r="1" spans="1:19" ht="20.100000000000001" customHeight="1" thickBot="1" x14ac:dyDescent="0.3">
      <c r="A1" s="69"/>
      <c r="B1" s="9" t="s">
        <v>2585</v>
      </c>
      <c r="C1" s="9"/>
      <c r="D1" s="9"/>
      <c r="E1" s="9"/>
      <c r="F1" s="9"/>
      <c r="G1" s="10"/>
      <c r="H1" s="11"/>
      <c r="I1" s="12"/>
      <c r="J1" s="13"/>
      <c r="K1" s="14"/>
      <c r="L1" s="14"/>
      <c r="M1" s="14"/>
      <c r="N1" s="14"/>
      <c r="O1" s="14"/>
      <c r="P1" s="14"/>
      <c r="Q1" s="8"/>
      <c r="R1" s="14"/>
    </row>
    <row r="2" spans="1:19" ht="13.5" thickBot="1" x14ac:dyDescent="0.25">
      <c r="A2" s="69"/>
      <c r="B2" s="76" t="s">
        <v>282</v>
      </c>
      <c r="C2" s="15" t="s">
        <v>2586</v>
      </c>
      <c r="D2" s="16"/>
      <c r="E2" s="17"/>
      <c r="F2" s="17"/>
      <c r="G2" s="18"/>
      <c r="H2" s="18"/>
      <c r="I2" s="18"/>
      <c r="J2" s="18"/>
      <c r="K2" s="18"/>
      <c r="L2" s="18"/>
      <c r="M2" s="18"/>
      <c r="N2" s="18"/>
      <c r="O2" s="18"/>
      <c r="P2" s="19"/>
      <c r="Q2" s="8"/>
      <c r="R2" s="78"/>
    </row>
    <row r="3" spans="1:19" ht="27" customHeight="1" thickBot="1" x14ac:dyDescent="0.25">
      <c r="A3" s="69"/>
      <c r="B3" s="77"/>
      <c r="C3" s="81" t="s">
        <v>283</v>
      </c>
      <c r="D3" s="82"/>
      <c r="E3" s="81" t="s">
        <v>284</v>
      </c>
      <c r="F3" s="82"/>
      <c r="G3" s="81" t="s">
        <v>285</v>
      </c>
      <c r="H3" s="82"/>
      <c r="I3" s="81" t="s">
        <v>2587</v>
      </c>
      <c r="J3" s="82"/>
      <c r="K3" s="81" t="s">
        <v>286</v>
      </c>
      <c r="L3" s="82"/>
      <c r="M3" s="81" t="s">
        <v>287</v>
      </c>
      <c r="N3" s="82"/>
      <c r="O3" s="81" t="s">
        <v>288</v>
      </c>
      <c r="P3" s="82"/>
      <c r="Q3" s="8"/>
      <c r="R3" s="79"/>
    </row>
    <row r="4" spans="1:19" ht="13.5" thickBot="1" x14ac:dyDescent="0.25">
      <c r="A4" s="69"/>
      <c r="B4" s="77"/>
      <c r="C4" s="20" t="s">
        <v>289</v>
      </c>
      <c r="D4" s="20" t="s">
        <v>290</v>
      </c>
      <c r="E4" s="20" t="s">
        <v>289</v>
      </c>
      <c r="F4" s="20" t="s">
        <v>290</v>
      </c>
      <c r="G4" s="20" t="s">
        <v>289</v>
      </c>
      <c r="H4" s="20" t="s">
        <v>290</v>
      </c>
      <c r="I4" s="20" t="s">
        <v>291</v>
      </c>
      <c r="J4" s="20" t="s">
        <v>292</v>
      </c>
      <c r="K4" s="20" t="s">
        <v>289</v>
      </c>
      <c r="L4" s="20" t="s">
        <v>290</v>
      </c>
      <c r="M4" s="20" t="s">
        <v>293</v>
      </c>
      <c r="N4" s="20" t="s">
        <v>294</v>
      </c>
      <c r="O4" s="20" t="s">
        <v>295</v>
      </c>
      <c r="P4" s="20" t="s">
        <v>296</v>
      </c>
      <c r="Q4" s="8"/>
      <c r="R4" s="80"/>
    </row>
    <row r="5" spans="1:19" s="34" customFormat="1" ht="12.75" customHeight="1" x14ac:dyDescent="0.2">
      <c r="A5" s="70" t="s">
        <v>297</v>
      </c>
      <c r="B5" s="60" t="s">
        <v>877</v>
      </c>
      <c r="C5" s="21">
        <v>0</v>
      </c>
      <c r="D5" s="22">
        <v>0</v>
      </c>
      <c r="E5" s="23">
        <v>0</v>
      </c>
      <c r="F5" s="24">
        <v>0</v>
      </c>
      <c r="G5" s="4">
        <f t="shared" ref="G5:H40" si="0">+C5+E5</f>
        <v>0</v>
      </c>
      <c r="H5" s="5">
        <f t="shared" si="0"/>
        <v>0</v>
      </c>
      <c r="I5" s="4">
        <f t="shared" ref="I5:I68" si="1">IF($G5-$H5&gt;=0,$G5-$H5,0)</f>
        <v>0</v>
      </c>
      <c r="J5" s="5">
        <f t="shared" ref="J5:J68" si="2">IF($G5-$H5&lt;0,-$G5+$H5,0)</f>
        <v>0</v>
      </c>
      <c r="K5" s="23">
        <v>0</v>
      </c>
      <c r="L5" s="24">
        <v>0</v>
      </c>
      <c r="M5" s="4">
        <f t="shared" ref="M5:M68" si="3">IF($I5-$J5+$K5-$L5&gt;=0,$I5-$J5+$K5-$L5,0)</f>
        <v>0</v>
      </c>
      <c r="N5" s="5">
        <f t="shared" ref="N5:N68" si="4">IF($I5-$J5+$K5-$L5&lt;0,-($I5-$J5+$K5-$L5),0)</f>
        <v>0</v>
      </c>
      <c r="O5" s="32"/>
      <c r="P5" s="33"/>
      <c r="Q5" s="59"/>
      <c r="R5" s="1" t="str">
        <f t="shared" ref="R5:R68" si="5">CONCATENATE(A5,"|",C5,"|",D5,"|",E5,"|",F5,"|",K5,"|",L5,"|")</f>
        <v>0111|0|0|0|0|0|0|</v>
      </c>
      <c r="S5" s="25"/>
    </row>
    <row r="6" spans="1:19" s="34" customFormat="1" ht="12.75" customHeight="1" x14ac:dyDescent="0.2">
      <c r="A6" s="70" t="s">
        <v>298</v>
      </c>
      <c r="B6" s="61" t="s">
        <v>878</v>
      </c>
      <c r="C6" s="26">
        <v>0</v>
      </c>
      <c r="D6" s="27">
        <v>0</v>
      </c>
      <c r="E6" s="28">
        <v>0</v>
      </c>
      <c r="F6" s="29">
        <v>0</v>
      </c>
      <c r="G6" s="6">
        <f t="shared" si="0"/>
        <v>0</v>
      </c>
      <c r="H6" s="7">
        <f t="shared" si="0"/>
        <v>0</v>
      </c>
      <c r="I6" s="6">
        <f t="shared" si="1"/>
        <v>0</v>
      </c>
      <c r="J6" s="7">
        <f t="shared" si="2"/>
        <v>0</v>
      </c>
      <c r="K6" s="28">
        <v>0</v>
      </c>
      <c r="L6" s="29">
        <v>0</v>
      </c>
      <c r="M6" s="6">
        <f t="shared" si="3"/>
        <v>0</v>
      </c>
      <c r="N6" s="7">
        <f t="shared" si="4"/>
        <v>0</v>
      </c>
      <c r="O6" s="35"/>
      <c r="P6" s="36"/>
      <c r="Q6" s="59"/>
      <c r="R6" s="2" t="str">
        <f t="shared" si="5"/>
        <v>0112|0|0|0|0|0|0|</v>
      </c>
      <c r="S6" s="25"/>
    </row>
    <row r="7" spans="1:19" s="34" customFormat="1" ht="12.75" customHeight="1" x14ac:dyDescent="0.2">
      <c r="A7" s="70" t="s">
        <v>299</v>
      </c>
      <c r="B7" s="61" t="s">
        <v>879</v>
      </c>
      <c r="C7" s="26">
        <v>0</v>
      </c>
      <c r="D7" s="27">
        <v>0</v>
      </c>
      <c r="E7" s="28">
        <v>0</v>
      </c>
      <c r="F7" s="29">
        <v>0</v>
      </c>
      <c r="G7" s="6">
        <f t="shared" si="0"/>
        <v>0</v>
      </c>
      <c r="H7" s="7">
        <f t="shared" si="0"/>
        <v>0</v>
      </c>
      <c r="I7" s="6">
        <f t="shared" si="1"/>
        <v>0</v>
      </c>
      <c r="J7" s="7">
        <f t="shared" si="2"/>
        <v>0</v>
      </c>
      <c r="K7" s="28">
        <v>0</v>
      </c>
      <c r="L7" s="29">
        <v>0</v>
      </c>
      <c r="M7" s="6">
        <f t="shared" si="3"/>
        <v>0</v>
      </c>
      <c r="N7" s="7">
        <f t="shared" si="4"/>
        <v>0</v>
      </c>
      <c r="O7" s="35"/>
      <c r="P7" s="36"/>
      <c r="Q7" s="59"/>
      <c r="R7" s="2" t="str">
        <f t="shared" si="5"/>
        <v>0121|0|0|0|0|0|0|</v>
      </c>
      <c r="S7" s="25"/>
    </row>
    <row r="8" spans="1:19" s="34" customFormat="1" ht="12.75" customHeight="1" x14ac:dyDescent="0.2">
      <c r="A8" s="70" t="s">
        <v>300</v>
      </c>
      <c r="B8" s="61" t="s">
        <v>880</v>
      </c>
      <c r="C8" s="26">
        <v>0</v>
      </c>
      <c r="D8" s="27">
        <v>0</v>
      </c>
      <c r="E8" s="28">
        <v>0</v>
      </c>
      <c r="F8" s="29">
        <v>0</v>
      </c>
      <c r="G8" s="6">
        <f t="shared" si="0"/>
        <v>0</v>
      </c>
      <c r="H8" s="7">
        <f t="shared" si="0"/>
        <v>0</v>
      </c>
      <c r="I8" s="6">
        <f t="shared" si="1"/>
        <v>0</v>
      </c>
      <c r="J8" s="7">
        <f t="shared" si="2"/>
        <v>0</v>
      </c>
      <c r="K8" s="28">
        <v>0</v>
      </c>
      <c r="L8" s="29">
        <v>0</v>
      </c>
      <c r="M8" s="6">
        <f t="shared" si="3"/>
        <v>0</v>
      </c>
      <c r="N8" s="7">
        <f t="shared" si="4"/>
        <v>0</v>
      </c>
      <c r="O8" s="35"/>
      <c r="P8" s="36"/>
      <c r="Q8" s="59"/>
      <c r="R8" s="2" t="str">
        <f t="shared" si="5"/>
        <v>0122|0|0|0|0|0|0|</v>
      </c>
      <c r="S8" s="25"/>
    </row>
    <row r="9" spans="1:19" s="34" customFormat="1" ht="12.75" customHeight="1" x14ac:dyDescent="0.2">
      <c r="A9" s="70" t="s">
        <v>301</v>
      </c>
      <c r="B9" s="61" t="s">
        <v>881</v>
      </c>
      <c r="C9" s="26">
        <v>0</v>
      </c>
      <c r="D9" s="27">
        <v>0</v>
      </c>
      <c r="E9" s="28">
        <v>0</v>
      </c>
      <c r="F9" s="29">
        <v>0</v>
      </c>
      <c r="G9" s="6">
        <f t="shared" si="0"/>
        <v>0</v>
      </c>
      <c r="H9" s="7">
        <f t="shared" si="0"/>
        <v>0</v>
      </c>
      <c r="I9" s="6">
        <f t="shared" si="1"/>
        <v>0</v>
      </c>
      <c r="J9" s="7">
        <f t="shared" si="2"/>
        <v>0</v>
      </c>
      <c r="K9" s="28">
        <v>0</v>
      </c>
      <c r="L9" s="29">
        <v>0</v>
      </c>
      <c r="M9" s="6">
        <f t="shared" si="3"/>
        <v>0</v>
      </c>
      <c r="N9" s="7">
        <f t="shared" si="4"/>
        <v>0</v>
      </c>
      <c r="O9" s="35"/>
      <c r="P9" s="36"/>
      <c r="Q9" s="59"/>
      <c r="R9" s="2" t="str">
        <f t="shared" si="5"/>
        <v>0123|0|0|0|0|0|0|</v>
      </c>
      <c r="S9" s="25"/>
    </row>
    <row r="10" spans="1:19" s="34" customFormat="1" ht="12.75" customHeight="1" x14ac:dyDescent="0.2">
      <c r="A10" s="70" t="s">
        <v>302</v>
      </c>
      <c r="B10" s="61" t="s">
        <v>882</v>
      </c>
      <c r="C10" s="26">
        <v>0</v>
      </c>
      <c r="D10" s="27">
        <v>0</v>
      </c>
      <c r="E10" s="28">
        <v>0</v>
      </c>
      <c r="F10" s="29">
        <v>0</v>
      </c>
      <c r="G10" s="6">
        <f t="shared" si="0"/>
        <v>0</v>
      </c>
      <c r="H10" s="7">
        <f t="shared" si="0"/>
        <v>0</v>
      </c>
      <c r="I10" s="6">
        <f t="shared" si="1"/>
        <v>0</v>
      </c>
      <c r="J10" s="7">
        <f t="shared" si="2"/>
        <v>0</v>
      </c>
      <c r="K10" s="28">
        <v>0</v>
      </c>
      <c r="L10" s="29">
        <v>0</v>
      </c>
      <c r="M10" s="6">
        <f t="shared" si="3"/>
        <v>0</v>
      </c>
      <c r="N10" s="7">
        <f t="shared" si="4"/>
        <v>0</v>
      </c>
      <c r="O10" s="35"/>
      <c r="P10" s="36"/>
      <c r="Q10" s="59"/>
      <c r="R10" s="2" t="str">
        <f t="shared" si="5"/>
        <v>0124|0|0|0|0|0|0|</v>
      </c>
      <c r="S10" s="25"/>
    </row>
    <row r="11" spans="1:19" s="34" customFormat="1" ht="12.75" customHeight="1" x14ac:dyDescent="0.2">
      <c r="A11" s="70" t="s">
        <v>303</v>
      </c>
      <c r="B11" s="61" t="s">
        <v>883</v>
      </c>
      <c r="C11" s="26">
        <v>0</v>
      </c>
      <c r="D11" s="27">
        <v>0</v>
      </c>
      <c r="E11" s="28">
        <v>0</v>
      </c>
      <c r="F11" s="29">
        <v>0</v>
      </c>
      <c r="G11" s="6">
        <f t="shared" si="0"/>
        <v>0</v>
      </c>
      <c r="H11" s="7">
        <f t="shared" si="0"/>
        <v>0</v>
      </c>
      <c r="I11" s="6">
        <f t="shared" si="1"/>
        <v>0</v>
      </c>
      <c r="J11" s="7">
        <f t="shared" si="2"/>
        <v>0</v>
      </c>
      <c r="K11" s="28">
        <v>0</v>
      </c>
      <c r="L11" s="29">
        <v>0</v>
      </c>
      <c r="M11" s="6">
        <f t="shared" si="3"/>
        <v>0</v>
      </c>
      <c r="N11" s="7">
        <f t="shared" si="4"/>
        <v>0</v>
      </c>
      <c r="O11" s="35"/>
      <c r="P11" s="36"/>
      <c r="Q11" s="59"/>
      <c r="R11" s="2" t="str">
        <f t="shared" si="5"/>
        <v>0125|0|0|0|0|0|0|</v>
      </c>
      <c r="S11" s="25"/>
    </row>
    <row r="12" spans="1:19" s="34" customFormat="1" ht="12.75" customHeight="1" x14ac:dyDescent="0.2">
      <c r="A12" s="70" t="s">
        <v>304</v>
      </c>
      <c r="B12" s="61" t="s">
        <v>884</v>
      </c>
      <c r="C12" s="26">
        <v>0</v>
      </c>
      <c r="D12" s="27">
        <v>0</v>
      </c>
      <c r="E12" s="28">
        <v>0</v>
      </c>
      <c r="F12" s="29">
        <v>0</v>
      </c>
      <c r="G12" s="6">
        <f t="shared" si="0"/>
        <v>0</v>
      </c>
      <c r="H12" s="7">
        <f t="shared" si="0"/>
        <v>0</v>
      </c>
      <c r="I12" s="6">
        <f t="shared" si="1"/>
        <v>0</v>
      </c>
      <c r="J12" s="7">
        <f t="shared" si="2"/>
        <v>0</v>
      </c>
      <c r="K12" s="28">
        <v>0</v>
      </c>
      <c r="L12" s="29">
        <v>0</v>
      </c>
      <c r="M12" s="6">
        <f t="shared" si="3"/>
        <v>0</v>
      </c>
      <c r="N12" s="7">
        <f t="shared" si="4"/>
        <v>0</v>
      </c>
      <c r="O12" s="35"/>
      <c r="P12" s="36"/>
      <c r="Q12" s="59"/>
      <c r="R12" s="2" t="str">
        <f t="shared" si="5"/>
        <v>0126|0|0|0|0|0|0|</v>
      </c>
      <c r="S12" s="25"/>
    </row>
    <row r="13" spans="1:19" s="34" customFormat="1" ht="12.75" customHeight="1" x14ac:dyDescent="0.2">
      <c r="A13" s="70" t="s">
        <v>305</v>
      </c>
      <c r="B13" s="61" t="s">
        <v>885</v>
      </c>
      <c r="C13" s="26">
        <v>0</v>
      </c>
      <c r="D13" s="27">
        <v>0</v>
      </c>
      <c r="E13" s="28">
        <v>0</v>
      </c>
      <c r="F13" s="29">
        <v>0</v>
      </c>
      <c r="G13" s="6">
        <f t="shared" si="0"/>
        <v>0</v>
      </c>
      <c r="H13" s="7">
        <f t="shared" si="0"/>
        <v>0</v>
      </c>
      <c r="I13" s="6">
        <f t="shared" si="1"/>
        <v>0</v>
      </c>
      <c r="J13" s="7">
        <f t="shared" si="2"/>
        <v>0</v>
      </c>
      <c r="K13" s="28">
        <v>0</v>
      </c>
      <c r="L13" s="29">
        <v>0</v>
      </c>
      <c r="M13" s="6">
        <f t="shared" si="3"/>
        <v>0</v>
      </c>
      <c r="N13" s="7">
        <f t="shared" si="4"/>
        <v>0</v>
      </c>
      <c r="O13" s="35"/>
      <c r="P13" s="36"/>
      <c r="Q13" s="59"/>
      <c r="R13" s="2" t="str">
        <f t="shared" si="5"/>
        <v>0127|0|0|0|0|0|0|</v>
      </c>
      <c r="S13" s="25"/>
    </row>
    <row r="14" spans="1:19" s="34" customFormat="1" ht="12.75" customHeight="1" x14ac:dyDescent="0.2">
      <c r="A14" s="70" t="s">
        <v>306</v>
      </c>
      <c r="B14" s="61" t="s">
        <v>886</v>
      </c>
      <c r="C14" s="26">
        <v>0</v>
      </c>
      <c r="D14" s="27">
        <v>0</v>
      </c>
      <c r="E14" s="28">
        <v>0</v>
      </c>
      <c r="F14" s="29">
        <v>0</v>
      </c>
      <c r="G14" s="6">
        <f t="shared" si="0"/>
        <v>0</v>
      </c>
      <c r="H14" s="7">
        <f t="shared" si="0"/>
        <v>0</v>
      </c>
      <c r="I14" s="6">
        <f t="shared" si="1"/>
        <v>0</v>
      </c>
      <c r="J14" s="7">
        <f t="shared" si="2"/>
        <v>0</v>
      </c>
      <c r="K14" s="28">
        <v>0</v>
      </c>
      <c r="L14" s="29">
        <v>0</v>
      </c>
      <c r="M14" s="6">
        <f t="shared" si="3"/>
        <v>0</v>
      </c>
      <c r="N14" s="7">
        <f t="shared" si="4"/>
        <v>0</v>
      </c>
      <c r="O14" s="35"/>
      <c r="P14" s="36"/>
      <c r="Q14" s="59"/>
      <c r="R14" s="2" t="str">
        <f t="shared" si="5"/>
        <v>0128|0|0|0|0|0|0|</v>
      </c>
      <c r="S14" s="25"/>
    </row>
    <row r="15" spans="1:19" s="34" customFormat="1" ht="12.75" customHeight="1" x14ac:dyDescent="0.2">
      <c r="A15" s="70" t="s">
        <v>307</v>
      </c>
      <c r="B15" s="61" t="s">
        <v>887</v>
      </c>
      <c r="C15" s="26">
        <v>0</v>
      </c>
      <c r="D15" s="27">
        <v>0</v>
      </c>
      <c r="E15" s="28">
        <v>0</v>
      </c>
      <c r="F15" s="29">
        <v>0</v>
      </c>
      <c r="G15" s="6">
        <f t="shared" si="0"/>
        <v>0</v>
      </c>
      <c r="H15" s="7">
        <f t="shared" si="0"/>
        <v>0</v>
      </c>
      <c r="I15" s="6">
        <f t="shared" si="1"/>
        <v>0</v>
      </c>
      <c r="J15" s="7">
        <f t="shared" si="2"/>
        <v>0</v>
      </c>
      <c r="K15" s="28">
        <v>0</v>
      </c>
      <c r="L15" s="29">
        <v>0</v>
      </c>
      <c r="M15" s="6">
        <f t="shared" si="3"/>
        <v>0</v>
      </c>
      <c r="N15" s="7">
        <f t="shared" si="4"/>
        <v>0</v>
      </c>
      <c r="O15" s="35"/>
      <c r="P15" s="36"/>
      <c r="Q15" s="59"/>
      <c r="R15" s="2" t="str">
        <f t="shared" si="5"/>
        <v>013|0|0|0|0|0|0|</v>
      </c>
      <c r="S15" s="25"/>
    </row>
    <row r="16" spans="1:19" s="34" customFormat="1" ht="12.75" customHeight="1" x14ac:dyDescent="0.2">
      <c r="A16" s="70" t="s">
        <v>888</v>
      </c>
      <c r="B16" s="61" t="s">
        <v>889</v>
      </c>
      <c r="C16" s="26">
        <v>0</v>
      </c>
      <c r="D16" s="27">
        <v>0</v>
      </c>
      <c r="E16" s="28">
        <v>0</v>
      </c>
      <c r="F16" s="29">
        <v>0</v>
      </c>
      <c r="G16" s="6">
        <f t="shared" si="0"/>
        <v>0</v>
      </c>
      <c r="H16" s="7">
        <f t="shared" si="0"/>
        <v>0</v>
      </c>
      <c r="I16" s="6">
        <f t="shared" si="1"/>
        <v>0</v>
      </c>
      <c r="J16" s="7">
        <f t="shared" si="2"/>
        <v>0</v>
      </c>
      <c r="K16" s="28">
        <v>0</v>
      </c>
      <c r="L16" s="29">
        <v>0</v>
      </c>
      <c r="M16" s="6">
        <f t="shared" si="3"/>
        <v>0</v>
      </c>
      <c r="N16" s="7">
        <f t="shared" si="4"/>
        <v>0</v>
      </c>
      <c r="O16" s="35"/>
      <c r="P16" s="36"/>
      <c r="Q16" s="59"/>
      <c r="R16" s="2" t="str">
        <f t="shared" si="5"/>
        <v>0211|0|0|0|0|0|0|</v>
      </c>
      <c r="S16" s="25"/>
    </row>
    <row r="17" spans="1:19" s="34" customFormat="1" ht="12.75" customHeight="1" x14ac:dyDescent="0.2">
      <c r="A17" s="70" t="s">
        <v>890</v>
      </c>
      <c r="B17" s="61" t="s">
        <v>891</v>
      </c>
      <c r="C17" s="26">
        <v>0</v>
      </c>
      <c r="D17" s="27">
        <v>0</v>
      </c>
      <c r="E17" s="28">
        <v>0</v>
      </c>
      <c r="F17" s="29">
        <v>0</v>
      </c>
      <c r="G17" s="6">
        <f t="shared" si="0"/>
        <v>0</v>
      </c>
      <c r="H17" s="7">
        <f t="shared" si="0"/>
        <v>0</v>
      </c>
      <c r="I17" s="6">
        <f t="shared" si="1"/>
        <v>0</v>
      </c>
      <c r="J17" s="7">
        <f t="shared" si="2"/>
        <v>0</v>
      </c>
      <c r="K17" s="28">
        <v>0</v>
      </c>
      <c r="L17" s="29">
        <v>0</v>
      </c>
      <c r="M17" s="6">
        <f t="shared" si="3"/>
        <v>0</v>
      </c>
      <c r="N17" s="7">
        <f t="shared" si="4"/>
        <v>0</v>
      </c>
      <c r="O17" s="35"/>
      <c r="P17" s="36"/>
      <c r="Q17" s="59"/>
      <c r="R17" s="2" t="str">
        <f t="shared" si="5"/>
        <v>0212|0|0|0|0|0|0|</v>
      </c>
      <c r="S17" s="25"/>
    </row>
    <row r="18" spans="1:19" s="34" customFormat="1" ht="12.75" customHeight="1" x14ac:dyDescent="0.2">
      <c r="A18" s="70" t="s">
        <v>892</v>
      </c>
      <c r="B18" s="61" t="s">
        <v>893</v>
      </c>
      <c r="C18" s="26">
        <v>0</v>
      </c>
      <c r="D18" s="27">
        <v>0</v>
      </c>
      <c r="E18" s="28">
        <v>0</v>
      </c>
      <c r="F18" s="29">
        <v>0</v>
      </c>
      <c r="G18" s="6">
        <f t="shared" si="0"/>
        <v>0</v>
      </c>
      <c r="H18" s="7">
        <f t="shared" si="0"/>
        <v>0</v>
      </c>
      <c r="I18" s="6">
        <f t="shared" si="1"/>
        <v>0</v>
      </c>
      <c r="J18" s="7">
        <f t="shared" si="2"/>
        <v>0</v>
      </c>
      <c r="K18" s="28">
        <v>0</v>
      </c>
      <c r="L18" s="29">
        <v>0</v>
      </c>
      <c r="M18" s="6">
        <f t="shared" si="3"/>
        <v>0</v>
      </c>
      <c r="N18" s="7">
        <f t="shared" si="4"/>
        <v>0</v>
      </c>
      <c r="O18" s="35"/>
      <c r="P18" s="36"/>
      <c r="Q18" s="59"/>
      <c r="R18" s="2" t="str">
        <f t="shared" si="5"/>
        <v>0213|0|0|0|0|0|0|</v>
      </c>
      <c r="S18" s="25"/>
    </row>
    <row r="19" spans="1:19" s="34" customFormat="1" ht="12.75" customHeight="1" x14ac:dyDescent="0.2">
      <c r="A19" s="70" t="s">
        <v>894</v>
      </c>
      <c r="B19" s="61" t="s">
        <v>895</v>
      </c>
      <c r="C19" s="26">
        <v>0</v>
      </c>
      <c r="D19" s="27">
        <v>0</v>
      </c>
      <c r="E19" s="28">
        <v>0</v>
      </c>
      <c r="F19" s="29">
        <v>0</v>
      </c>
      <c r="G19" s="6">
        <f t="shared" si="0"/>
        <v>0</v>
      </c>
      <c r="H19" s="7">
        <f t="shared" si="0"/>
        <v>0</v>
      </c>
      <c r="I19" s="6">
        <f t="shared" si="1"/>
        <v>0</v>
      </c>
      <c r="J19" s="7">
        <f t="shared" si="2"/>
        <v>0</v>
      </c>
      <c r="K19" s="28">
        <v>0</v>
      </c>
      <c r="L19" s="29">
        <v>0</v>
      </c>
      <c r="M19" s="6">
        <f t="shared" si="3"/>
        <v>0</v>
      </c>
      <c r="N19" s="7">
        <f t="shared" si="4"/>
        <v>0</v>
      </c>
      <c r="O19" s="35"/>
      <c r="P19" s="36"/>
      <c r="Q19" s="59"/>
      <c r="R19" s="2" t="str">
        <f t="shared" si="5"/>
        <v>0221|0|0|0|0|0|0|</v>
      </c>
      <c r="S19" s="25"/>
    </row>
    <row r="20" spans="1:19" s="34" customFormat="1" ht="12.75" customHeight="1" x14ac:dyDescent="0.2">
      <c r="A20" s="70" t="s">
        <v>896</v>
      </c>
      <c r="B20" s="61" t="s">
        <v>897</v>
      </c>
      <c r="C20" s="26">
        <v>0</v>
      </c>
      <c r="D20" s="27">
        <v>0</v>
      </c>
      <c r="E20" s="28">
        <v>0</v>
      </c>
      <c r="F20" s="29">
        <v>0</v>
      </c>
      <c r="G20" s="6">
        <f t="shared" si="0"/>
        <v>0</v>
      </c>
      <c r="H20" s="7">
        <f t="shared" si="0"/>
        <v>0</v>
      </c>
      <c r="I20" s="6">
        <f t="shared" si="1"/>
        <v>0</v>
      </c>
      <c r="J20" s="7">
        <f t="shared" si="2"/>
        <v>0</v>
      </c>
      <c r="K20" s="28">
        <v>0</v>
      </c>
      <c r="L20" s="29">
        <v>0</v>
      </c>
      <c r="M20" s="6">
        <f t="shared" si="3"/>
        <v>0</v>
      </c>
      <c r="N20" s="7">
        <f t="shared" si="4"/>
        <v>0</v>
      </c>
      <c r="O20" s="35"/>
      <c r="P20" s="36"/>
      <c r="Q20" s="59"/>
      <c r="R20" s="2" t="str">
        <f t="shared" si="5"/>
        <v>0222|0|0|0|0|0|0|</v>
      </c>
      <c r="S20" s="25"/>
    </row>
    <row r="21" spans="1:19" s="34" customFormat="1" ht="12.75" customHeight="1" x14ac:dyDescent="0.2">
      <c r="A21" s="70" t="s">
        <v>898</v>
      </c>
      <c r="B21" s="61" t="s">
        <v>899</v>
      </c>
      <c r="C21" s="26">
        <v>0</v>
      </c>
      <c r="D21" s="27">
        <v>0</v>
      </c>
      <c r="E21" s="28">
        <v>0</v>
      </c>
      <c r="F21" s="29">
        <v>0</v>
      </c>
      <c r="G21" s="6">
        <f t="shared" si="0"/>
        <v>0</v>
      </c>
      <c r="H21" s="7">
        <f t="shared" si="0"/>
        <v>0</v>
      </c>
      <c r="I21" s="6">
        <f t="shared" si="1"/>
        <v>0</v>
      </c>
      <c r="J21" s="7">
        <f t="shared" si="2"/>
        <v>0</v>
      </c>
      <c r="K21" s="28">
        <v>0</v>
      </c>
      <c r="L21" s="29">
        <v>0</v>
      </c>
      <c r="M21" s="6">
        <f t="shared" si="3"/>
        <v>0</v>
      </c>
      <c r="N21" s="7">
        <f t="shared" si="4"/>
        <v>0</v>
      </c>
      <c r="O21" s="35"/>
      <c r="P21" s="36"/>
      <c r="Q21" s="59"/>
      <c r="R21" s="2" t="str">
        <f t="shared" si="5"/>
        <v>0223|0|0|0|0|0|0|</v>
      </c>
      <c r="S21" s="25"/>
    </row>
    <row r="22" spans="1:19" s="34" customFormat="1" ht="12.75" customHeight="1" x14ac:dyDescent="0.2">
      <c r="A22" s="70" t="s">
        <v>900</v>
      </c>
      <c r="B22" s="61" t="s">
        <v>901</v>
      </c>
      <c r="C22" s="26">
        <v>0</v>
      </c>
      <c r="D22" s="27">
        <v>0</v>
      </c>
      <c r="E22" s="28">
        <v>0</v>
      </c>
      <c r="F22" s="29">
        <v>0</v>
      </c>
      <c r="G22" s="6">
        <f t="shared" si="0"/>
        <v>0</v>
      </c>
      <c r="H22" s="7">
        <f t="shared" si="0"/>
        <v>0</v>
      </c>
      <c r="I22" s="6">
        <f t="shared" si="1"/>
        <v>0</v>
      </c>
      <c r="J22" s="7">
        <f t="shared" si="2"/>
        <v>0</v>
      </c>
      <c r="K22" s="28">
        <v>0</v>
      </c>
      <c r="L22" s="29">
        <v>0</v>
      </c>
      <c r="M22" s="6">
        <f t="shared" si="3"/>
        <v>0</v>
      </c>
      <c r="N22" s="7">
        <f t="shared" si="4"/>
        <v>0</v>
      </c>
      <c r="O22" s="35"/>
      <c r="P22" s="36"/>
      <c r="Q22" s="59"/>
      <c r="R22" s="2" t="str">
        <f t="shared" si="5"/>
        <v>0224|0|0|0|0|0|0|</v>
      </c>
      <c r="S22" s="25"/>
    </row>
    <row r="23" spans="1:19" s="34" customFormat="1" ht="12.75" customHeight="1" x14ac:dyDescent="0.2">
      <c r="A23" s="70" t="s">
        <v>308</v>
      </c>
      <c r="B23" s="61" t="s">
        <v>902</v>
      </c>
      <c r="C23" s="26">
        <v>0</v>
      </c>
      <c r="D23" s="27">
        <v>0</v>
      </c>
      <c r="E23" s="28">
        <v>0</v>
      </c>
      <c r="F23" s="29">
        <v>0</v>
      </c>
      <c r="G23" s="6">
        <f t="shared" si="0"/>
        <v>0</v>
      </c>
      <c r="H23" s="7">
        <f t="shared" si="0"/>
        <v>0</v>
      </c>
      <c r="I23" s="6">
        <f t="shared" si="1"/>
        <v>0</v>
      </c>
      <c r="J23" s="7">
        <f t="shared" si="2"/>
        <v>0</v>
      </c>
      <c r="K23" s="28">
        <v>0</v>
      </c>
      <c r="L23" s="29">
        <v>0</v>
      </c>
      <c r="M23" s="6">
        <f t="shared" si="3"/>
        <v>0</v>
      </c>
      <c r="N23" s="7">
        <f t="shared" si="4"/>
        <v>0</v>
      </c>
      <c r="O23" s="35"/>
      <c r="P23" s="36"/>
      <c r="Q23" s="59"/>
      <c r="R23" s="2" t="str">
        <f t="shared" si="5"/>
        <v>0311|0|0|0|0|0|0|</v>
      </c>
      <c r="S23" s="25"/>
    </row>
    <row r="24" spans="1:19" s="34" customFormat="1" ht="12.75" customHeight="1" x14ac:dyDescent="0.2">
      <c r="A24" s="70" t="s">
        <v>309</v>
      </c>
      <c r="B24" s="61" t="s">
        <v>903</v>
      </c>
      <c r="C24" s="26">
        <v>0</v>
      </c>
      <c r="D24" s="27">
        <v>0</v>
      </c>
      <c r="E24" s="28">
        <v>0</v>
      </c>
      <c r="F24" s="29">
        <v>0</v>
      </c>
      <c r="G24" s="6">
        <f t="shared" si="0"/>
        <v>0</v>
      </c>
      <c r="H24" s="7">
        <f t="shared" si="0"/>
        <v>0</v>
      </c>
      <c r="I24" s="6">
        <f t="shared" si="1"/>
        <v>0</v>
      </c>
      <c r="J24" s="7">
        <f t="shared" si="2"/>
        <v>0</v>
      </c>
      <c r="K24" s="28">
        <v>0</v>
      </c>
      <c r="L24" s="29">
        <v>0</v>
      </c>
      <c r="M24" s="6">
        <f t="shared" si="3"/>
        <v>0</v>
      </c>
      <c r="N24" s="7">
        <f t="shared" si="4"/>
        <v>0</v>
      </c>
      <c r="O24" s="35"/>
      <c r="P24" s="36"/>
      <c r="Q24" s="59"/>
      <c r="R24" s="2" t="str">
        <f t="shared" si="5"/>
        <v>0312|0|0|0|0|0|0|</v>
      </c>
      <c r="S24" s="25"/>
    </row>
    <row r="25" spans="1:19" s="34" customFormat="1" ht="12.75" customHeight="1" x14ac:dyDescent="0.2">
      <c r="A25" s="70" t="s">
        <v>310</v>
      </c>
      <c r="B25" s="61" t="s">
        <v>904</v>
      </c>
      <c r="C25" s="26">
        <v>0</v>
      </c>
      <c r="D25" s="27">
        <v>0</v>
      </c>
      <c r="E25" s="28">
        <v>0</v>
      </c>
      <c r="F25" s="29">
        <v>0</v>
      </c>
      <c r="G25" s="6">
        <f t="shared" si="0"/>
        <v>0</v>
      </c>
      <c r="H25" s="7">
        <f t="shared" si="0"/>
        <v>0</v>
      </c>
      <c r="I25" s="6">
        <f t="shared" si="1"/>
        <v>0</v>
      </c>
      <c r="J25" s="7">
        <f t="shared" si="2"/>
        <v>0</v>
      </c>
      <c r="K25" s="28">
        <v>0</v>
      </c>
      <c r="L25" s="29">
        <v>0</v>
      </c>
      <c r="M25" s="6">
        <f t="shared" si="3"/>
        <v>0</v>
      </c>
      <c r="N25" s="7">
        <f t="shared" si="4"/>
        <v>0</v>
      </c>
      <c r="O25" s="35"/>
      <c r="P25" s="36"/>
      <c r="Q25" s="59"/>
      <c r="R25" s="2" t="str">
        <f t="shared" si="5"/>
        <v>0321|0|0|0|0|0|0|</v>
      </c>
      <c r="S25" s="25"/>
    </row>
    <row r="26" spans="1:19" s="34" customFormat="1" ht="12.75" customHeight="1" x14ac:dyDescent="0.2">
      <c r="A26" s="70" t="s">
        <v>311</v>
      </c>
      <c r="B26" s="61" t="s">
        <v>905</v>
      </c>
      <c r="C26" s="26">
        <v>0</v>
      </c>
      <c r="D26" s="27">
        <v>0</v>
      </c>
      <c r="E26" s="28">
        <v>0</v>
      </c>
      <c r="F26" s="29">
        <v>0</v>
      </c>
      <c r="G26" s="6">
        <f t="shared" si="0"/>
        <v>0</v>
      </c>
      <c r="H26" s="7">
        <f t="shared" si="0"/>
        <v>0</v>
      </c>
      <c r="I26" s="6">
        <f t="shared" si="1"/>
        <v>0</v>
      </c>
      <c r="J26" s="7">
        <f t="shared" si="2"/>
        <v>0</v>
      </c>
      <c r="K26" s="28">
        <v>0</v>
      </c>
      <c r="L26" s="29">
        <v>0</v>
      </c>
      <c r="M26" s="6">
        <f t="shared" si="3"/>
        <v>0</v>
      </c>
      <c r="N26" s="7">
        <f t="shared" si="4"/>
        <v>0</v>
      </c>
      <c r="O26" s="35"/>
      <c r="P26" s="36"/>
      <c r="Q26" s="59"/>
      <c r="R26" s="2" t="str">
        <f t="shared" si="5"/>
        <v>0322|0|0|0|0|0|0|</v>
      </c>
      <c r="S26" s="25"/>
    </row>
    <row r="27" spans="1:19" s="34" customFormat="1" ht="12.75" customHeight="1" x14ac:dyDescent="0.2">
      <c r="A27" s="70" t="s">
        <v>312</v>
      </c>
      <c r="B27" s="61" t="s">
        <v>906</v>
      </c>
      <c r="C27" s="26">
        <v>0</v>
      </c>
      <c r="D27" s="27">
        <v>0</v>
      </c>
      <c r="E27" s="28">
        <v>0</v>
      </c>
      <c r="F27" s="29">
        <v>0</v>
      </c>
      <c r="G27" s="6">
        <f t="shared" si="0"/>
        <v>0</v>
      </c>
      <c r="H27" s="7">
        <f t="shared" si="0"/>
        <v>0</v>
      </c>
      <c r="I27" s="6">
        <f t="shared" si="1"/>
        <v>0</v>
      </c>
      <c r="J27" s="7">
        <f t="shared" si="2"/>
        <v>0</v>
      </c>
      <c r="K27" s="28">
        <v>0</v>
      </c>
      <c r="L27" s="29">
        <v>0</v>
      </c>
      <c r="M27" s="6">
        <f t="shared" si="3"/>
        <v>0</v>
      </c>
      <c r="N27" s="7">
        <f t="shared" si="4"/>
        <v>0</v>
      </c>
      <c r="O27" s="35"/>
      <c r="P27" s="36"/>
      <c r="Q27" s="59"/>
      <c r="R27" s="2" t="str">
        <f t="shared" si="5"/>
        <v>039|0|0|0|0|0|0|</v>
      </c>
      <c r="S27" s="25"/>
    </row>
    <row r="28" spans="1:19" s="34" customFormat="1" ht="12.75" customHeight="1" x14ac:dyDescent="0.2">
      <c r="A28" s="70" t="s">
        <v>313</v>
      </c>
      <c r="B28" s="61" t="s">
        <v>907</v>
      </c>
      <c r="C28" s="26">
        <v>0</v>
      </c>
      <c r="D28" s="27">
        <v>0</v>
      </c>
      <c r="E28" s="28">
        <v>0</v>
      </c>
      <c r="F28" s="29">
        <v>0</v>
      </c>
      <c r="G28" s="6">
        <f t="shared" si="0"/>
        <v>0</v>
      </c>
      <c r="H28" s="7">
        <f t="shared" si="0"/>
        <v>0</v>
      </c>
      <c r="I28" s="6">
        <f t="shared" si="1"/>
        <v>0</v>
      </c>
      <c r="J28" s="7">
        <f t="shared" si="2"/>
        <v>0</v>
      </c>
      <c r="K28" s="28">
        <v>0</v>
      </c>
      <c r="L28" s="29">
        <v>0</v>
      </c>
      <c r="M28" s="6">
        <f t="shared" si="3"/>
        <v>0</v>
      </c>
      <c r="N28" s="7">
        <f t="shared" si="4"/>
        <v>0</v>
      </c>
      <c r="O28" s="35"/>
      <c r="P28" s="36"/>
      <c r="Q28" s="59"/>
      <c r="R28" s="2" t="str">
        <f t="shared" si="5"/>
        <v>04|0|0|0|0|0|0|</v>
      </c>
      <c r="S28" s="25"/>
    </row>
    <row r="29" spans="1:19" s="34" customFormat="1" ht="12.75" customHeight="1" x14ac:dyDescent="0.2">
      <c r="A29" s="70" t="s">
        <v>314</v>
      </c>
      <c r="B29" s="61" t="s">
        <v>908</v>
      </c>
      <c r="C29" s="26">
        <v>0</v>
      </c>
      <c r="D29" s="27">
        <v>0</v>
      </c>
      <c r="E29" s="28">
        <v>0</v>
      </c>
      <c r="F29" s="29">
        <v>0</v>
      </c>
      <c r="G29" s="6">
        <f t="shared" si="0"/>
        <v>0</v>
      </c>
      <c r="H29" s="7">
        <f t="shared" si="0"/>
        <v>0</v>
      </c>
      <c r="I29" s="6">
        <f t="shared" si="1"/>
        <v>0</v>
      </c>
      <c r="J29" s="7">
        <f t="shared" si="2"/>
        <v>0</v>
      </c>
      <c r="K29" s="28">
        <v>0</v>
      </c>
      <c r="L29" s="29">
        <v>0</v>
      </c>
      <c r="M29" s="6">
        <f t="shared" si="3"/>
        <v>0</v>
      </c>
      <c r="N29" s="7">
        <f t="shared" si="4"/>
        <v>0</v>
      </c>
      <c r="O29" s="35"/>
      <c r="P29" s="36"/>
      <c r="Q29" s="59"/>
      <c r="R29" s="2" t="str">
        <f t="shared" si="5"/>
        <v>0611|0|0|0|0|0|0|</v>
      </c>
      <c r="S29" s="25"/>
    </row>
    <row r="30" spans="1:19" s="34" customFormat="1" ht="12.75" customHeight="1" x14ac:dyDescent="0.2">
      <c r="A30" s="70" t="s">
        <v>315</v>
      </c>
      <c r="B30" s="61" t="s">
        <v>909</v>
      </c>
      <c r="C30" s="26">
        <v>0</v>
      </c>
      <c r="D30" s="27">
        <v>0</v>
      </c>
      <c r="E30" s="28">
        <v>0</v>
      </c>
      <c r="F30" s="29">
        <v>0</v>
      </c>
      <c r="G30" s="6">
        <f t="shared" si="0"/>
        <v>0</v>
      </c>
      <c r="H30" s="7">
        <f t="shared" si="0"/>
        <v>0</v>
      </c>
      <c r="I30" s="6">
        <f t="shared" si="1"/>
        <v>0</v>
      </c>
      <c r="J30" s="7">
        <f t="shared" si="2"/>
        <v>0</v>
      </c>
      <c r="K30" s="28">
        <v>0</v>
      </c>
      <c r="L30" s="29">
        <v>0</v>
      </c>
      <c r="M30" s="6">
        <f t="shared" si="3"/>
        <v>0</v>
      </c>
      <c r="N30" s="7">
        <f t="shared" si="4"/>
        <v>0</v>
      </c>
      <c r="O30" s="35"/>
      <c r="P30" s="36"/>
      <c r="Q30" s="59"/>
      <c r="R30" s="2" t="str">
        <f t="shared" si="5"/>
        <v>0612|0|0|0|0|0|0|</v>
      </c>
      <c r="S30" s="25"/>
    </row>
    <row r="31" spans="1:19" s="34" customFormat="1" ht="12.75" customHeight="1" x14ac:dyDescent="0.2">
      <c r="A31" s="70" t="s">
        <v>316</v>
      </c>
      <c r="B31" s="61" t="s">
        <v>910</v>
      </c>
      <c r="C31" s="26">
        <v>0</v>
      </c>
      <c r="D31" s="27">
        <v>0</v>
      </c>
      <c r="E31" s="28">
        <v>0</v>
      </c>
      <c r="F31" s="29">
        <v>0</v>
      </c>
      <c r="G31" s="6">
        <f t="shared" si="0"/>
        <v>0</v>
      </c>
      <c r="H31" s="7">
        <f t="shared" si="0"/>
        <v>0</v>
      </c>
      <c r="I31" s="6">
        <f t="shared" si="1"/>
        <v>0</v>
      </c>
      <c r="J31" s="7">
        <f t="shared" si="2"/>
        <v>0</v>
      </c>
      <c r="K31" s="28">
        <v>0</v>
      </c>
      <c r="L31" s="29">
        <v>0</v>
      </c>
      <c r="M31" s="6">
        <f t="shared" si="3"/>
        <v>0</v>
      </c>
      <c r="N31" s="7">
        <f t="shared" si="4"/>
        <v>0</v>
      </c>
      <c r="O31" s="35"/>
      <c r="P31" s="36"/>
      <c r="Q31" s="59"/>
      <c r="R31" s="2" t="str">
        <f t="shared" si="5"/>
        <v>0621|0|0|0|0|0|0|</v>
      </c>
      <c r="S31" s="25"/>
    </row>
    <row r="32" spans="1:19" s="34" customFormat="1" ht="12.75" customHeight="1" x14ac:dyDescent="0.2">
      <c r="A32" s="70" t="s">
        <v>317</v>
      </c>
      <c r="B32" s="61" t="s">
        <v>911</v>
      </c>
      <c r="C32" s="26">
        <v>0</v>
      </c>
      <c r="D32" s="27">
        <v>0</v>
      </c>
      <c r="E32" s="28">
        <v>0</v>
      </c>
      <c r="F32" s="29">
        <v>0</v>
      </c>
      <c r="G32" s="6">
        <f t="shared" si="0"/>
        <v>0</v>
      </c>
      <c r="H32" s="7">
        <f t="shared" si="0"/>
        <v>0</v>
      </c>
      <c r="I32" s="6">
        <f t="shared" si="1"/>
        <v>0</v>
      </c>
      <c r="J32" s="7">
        <f t="shared" si="2"/>
        <v>0</v>
      </c>
      <c r="K32" s="28">
        <v>0</v>
      </c>
      <c r="L32" s="29">
        <v>0</v>
      </c>
      <c r="M32" s="6">
        <f t="shared" si="3"/>
        <v>0</v>
      </c>
      <c r="N32" s="7">
        <f t="shared" si="4"/>
        <v>0</v>
      </c>
      <c r="O32" s="35"/>
      <c r="P32" s="36"/>
      <c r="Q32" s="59"/>
      <c r="R32" s="2" t="str">
        <f t="shared" si="5"/>
        <v>0622|0|0|0|0|0|0|</v>
      </c>
      <c r="S32" s="25"/>
    </row>
    <row r="33" spans="1:19" s="34" customFormat="1" ht="12.75" customHeight="1" x14ac:dyDescent="0.2">
      <c r="A33" s="70" t="s">
        <v>318</v>
      </c>
      <c r="B33" s="61" t="s">
        <v>912</v>
      </c>
      <c r="C33" s="26">
        <v>0</v>
      </c>
      <c r="D33" s="27">
        <v>0</v>
      </c>
      <c r="E33" s="28">
        <v>0</v>
      </c>
      <c r="F33" s="29">
        <v>0</v>
      </c>
      <c r="G33" s="6">
        <f t="shared" si="0"/>
        <v>0</v>
      </c>
      <c r="H33" s="7">
        <f t="shared" si="0"/>
        <v>0</v>
      </c>
      <c r="I33" s="6">
        <f t="shared" si="1"/>
        <v>0</v>
      </c>
      <c r="J33" s="7">
        <f t="shared" si="2"/>
        <v>0</v>
      </c>
      <c r="K33" s="28">
        <v>0</v>
      </c>
      <c r="L33" s="29">
        <v>0</v>
      </c>
      <c r="M33" s="6">
        <f t="shared" si="3"/>
        <v>0</v>
      </c>
      <c r="N33" s="7">
        <f t="shared" si="4"/>
        <v>0</v>
      </c>
      <c r="O33" s="35"/>
      <c r="P33" s="36"/>
      <c r="Q33" s="59"/>
      <c r="R33" s="2" t="str">
        <f t="shared" si="5"/>
        <v>0623|0|0|0|0|0|0|</v>
      </c>
      <c r="S33" s="25"/>
    </row>
    <row r="34" spans="1:19" s="34" customFormat="1" ht="12.75" customHeight="1" x14ac:dyDescent="0.2">
      <c r="A34" s="70" t="s">
        <v>319</v>
      </c>
      <c r="B34" s="61" t="s">
        <v>913</v>
      </c>
      <c r="C34" s="26">
        <v>0</v>
      </c>
      <c r="D34" s="27">
        <v>0</v>
      </c>
      <c r="E34" s="28">
        <v>0</v>
      </c>
      <c r="F34" s="29">
        <v>0</v>
      </c>
      <c r="G34" s="6">
        <f t="shared" si="0"/>
        <v>0</v>
      </c>
      <c r="H34" s="7">
        <f t="shared" si="0"/>
        <v>0</v>
      </c>
      <c r="I34" s="6">
        <f t="shared" si="1"/>
        <v>0</v>
      </c>
      <c r="J34" s="7">
        <f t="shared" si="2"/>
        <v>0</v>
      </c>
      <c r="K34" s="28">
        <v>0</v>
      </c>
      <c r="L34" s="29">
        <v>0</v>
      </c>
      <c r="M34" s="6">
        <f t="shared" si="3"/>
        <v>0</v>
      </c>
      <c r="N34" s="7">
        <f t="shared" si="4"/>
        <v>0</v>
      </c>
      <c r="O34" s="35"/>
      <c r="P34" s="36"/>
      <c r="Q34" s="59"/>
      <c r="R34" s="2" t="str">
        <f t="shared" si="5"/>
        <v>0624|0|0|0|0|0|0|</v>
      </c>
      <c r="S34" s="25"/>
    </row>
    <row r="35" spans="1:19" s="34" customFormat="1" ht="12.75" customHeight="1" x14ac:dyDescent="0.2">
      <c r="A35" s="70" t="s">
        <v>320</v>
      </c>
      <c r="B35" s="61" t="s">
        <v>914</v>
      </c>
      <c r="C35" s="26">
        <v>0</v>
      </c>
      <c r="D35" s="27">
        <v>0</v>
      </c>
      <c r="E35" s="28">
        <v>0</v>
      </c>
      <c r="F35" s="29">
        <v>0</v>
      </c>
      <c r="G35" s="6">
        <f t="shared" si="0"/>
        <v>0</v>
      </c>
      <c r="H35" s="7">
        <f t="shared" si="0"/>
        <v>0</v>
      </c>
      <c r="I35" s="6">
        <f t="shared" si="1"/>
        <v>0</v>
      </c>
      <c r="J35" s="7">
        <f t="shared" si="2"/>
        <v>0</v>
      </c>
      <c r="K35" s="28">
        <v>0</v>
      </c>
      <c r="L35" s="29">
        <v>0</v>
      </c>
      <c r="M35" s="6">
        <f t="shared" si="3"/>
        <v>0</v>
      </c>
      <c r="N35" s="7">
        <f t="shared" si="4"/>
        <v>0</v>
      </c>
      <c r="O35" s="35"/>
      <c r="P35" s="36"/>
      <c r="Q35" s="59"/>
      <c r="R35" s="2" t="str">
        <f t="shared" si="5"/>
        <v>0625|0|0|0|0|0|0|</v>
      </c>
      <c r="S35" s="25"/>
    </row>
    <row r="36" spans="1:19" s="34" customFormat="1" ht="12.75" customHeight="1" x14ac:dyDescent="0.2">
      <c r="A36" s="70" t="s">
        <v>321</v>
      </c>
      <c r="B36" s="61" t="s">
        <v>915</v>
      </c>
      <c r="C36" s="26">
        <v>0</v>
      </c>
      <c r="D36" s="27">
        <v>0</v>
      </c>
      <c r="E36" s="28">
        <v>0</v>
      </c>
      <c r="F36" s="29">
        <v>0</v>
      </c>
      <c r="G36" s="6">
        <f t="shared" si="0"/>
        <v>0</v>
      </c>
      <c r="H36" s="7">
        <f t="shared" si="0"/>
        <v>0</v>
      </c>
      <c r="I36" s="6">
        <f t="shared" si="1"/>
        <v>0</v>
      </c>
      <c r="J36" s="7">
        <f t="shared" si="2"/>
        <v>0</v>
      </c>
      <c r="K36" s="28">
        <v>0</v>
      </c>
      <c r="L36" s="29">
        <v>0</v>
      </c>
      <c r="M36" s="6">
        <f t="shared" si="3"/>
        <v>0</v>
      </c>
      <c r="N36" s="7">
        <f t="shared" si="4"/>
        <v>0</v>
      </c>
      <c r="O36" s="35"/>
      <c r="P36" s="36"/>
      <c r="Q36" s="59"/>
      <c r="R36" s="2" t="str">
        <f t="shared" si="5"/>
        <v>0626|0|0|0|0|0|0|</v>
      </c>
      <c r="S36" s="25"/>
    </row>
    <row r="37" spans="1:19" s="34" customFormat="1" ht="12.75" customHeight="1" x14ac:dyDescent="0.2">
      <c r="A37" s="70" t="s">
        <v>322</v>
      </c>
      <c r="B37" s="61" t="s">
        <v>916</v>
      </c>
      <c r="C37" s="26">
        <v>0</v>
      </c>
      <c r="D37" s="27">
        <v>0</v>
      </c>
      <c r="E37" s="28">
        <v>0</v>
      </c>
      <c r="F37" s="29">
        <v>0</v>
      </c>
      <c r="G37" s="6">
        <f t="shared" si="0"/>
        <v>0</v>
      </c>
      <c r="H37" s="7">
        <f t="shared" si="0"/>
        <v>0</v>
      </c>
      <c r="I37" s="6">
        <f t="shared" si="1"/>
        <v>0</v>
      </c>
      <c r="J37" s="7">
        <f t="shared" si="2"/>
        <v>0</v>
      </c>
      <c r="K37" s="28">
        <v>0</v>
      </c>
      <c r="L37" s="29">
        <v>0</v>
      </c>
      <c r="M37" s="6">
        <f t="shared" si="3"/>
        <v>0</v>
      </c>
      <c r="N37" s="7">
        <f t="shared" si="4"/>
        <v>0</v>
      </c>
      <c r="O37" s="35"/>
      <c r="P37" s="36"/>
      <c r="Q37" s="59"/>
      <c r="R37" s="2" t="str">
        <f t="shared" si="5"/>
        <v>0627|0|0|0|0|0|0|</v>
      </c>
      <c r="S37" s="25"/>
    </row>
    <row r="38" spans="1:19" s="34" customFormat="1" ht="12.75" customHeight="1" x14ac:dyDescent="0.2">
      <c r="A38" s="70" t="s">
        <v>323</v>
      </c>
      <c r="B38" s="61" t="s">
        <v>917</v>
      </c>
      <c r="C38" s="26">
        <v>0</v>
      </c>
      <c r="D38" s="27">
        <v>0</v>
      </c>
      <c r="E38" s="28">
        <v>0</v>
      </c>
      <c r="F38" s="29">
        <v>0</v>
      </c>
      <c r="G38" s="6">
        <f t="shared" si="0"/>
        <v>0</v>
      </c>
      <c r="H38" s="7">
        <f t="shared" si="0"/>
        <v>0</v>
      </c>
      <c r="I38" s="6">
        <f t="shared" si="1"/>
        <v>0</v>
      </c>
      <c r="J38" s="7">
        <f t="shared" si="2"/>
        <v>0</v>
      </c>
      <c r="K38" s="28">
        <v>0</v>
      </c>
      <c r="L38" s="29">
        <v>0</v>
      </c>
      <c r="M38" s="6">
        <f t="shared" si="3"/>
        <v>0</v>
      </c>
      <c r="N38" s="7">
        <f t="shared" si="4"/>
        <v>0</v>
      </c>
      <c r="O38" s="35"/>
      <c r="P38" s="36"/>
      <c r="Q38" s="59"/>
      <c r="R38" s="2" t="str">
        <f t="shared" si="5"/>
        <v>0628|0|0|0|0|0|0|</v>
      </c>
      <c r="S38" s="25"/>
    </row>
    <row r="39" spans="1:19" s="34" customFormat="1" ht="12.75" customHeight="1" x14ac:dyDescent="0.2">
      <c r="A39" s="70" t="s">
        <v>324</v>
      </c>
      <c r="B39" s="61" t="s">
        <v>918</v>
      </c>
      <c r="C39" s="26">
        <v>0</v>
      </c>
      <c r="D39" s="27">
        <v>0</v>
      </c>
      <c r="E39" s="28">
        <v>0</v>
      </c>
      <c r="F39" s="29">
        <v>0</v>
      </c>
      <c r="G39" s="6">
        <f t="shared" si="0"/>
        <v>0</v>
      </c>
      <c r="H39" s="7">
        <f t="shared" si="0"/>
        <v>0</v>
      </c>
      <c r="I39" s="6">
        <f t="shared" si="1"/>
        <v>0</v>
      </c>
      <c r="J39" s="7">
        <f t="shared" si="2"/>
        <v>0</v>
      </c>
      <c r="K39" s="28">
        <v>0</v>
      </c>
      <c r="L39" s="29">
        <v>0</v>
      </c>
      <c r="M39" s="6">
        <f t="shared" si="3"/>
        <v>0</v>
      </c>
      <c r="N39" s="7">
        <f t="shared" si="4"/>
        <v>0</v>
      </c>
      <c r="O39" s="35"/>
      <c r="P39" s="36"/>
      <c r="Q39" s="59"/>
      <c r="R39" s="2" t="str">
        <f t="shared" si="5"/>
        <v>063|0|0|0|0|0|0|</v>
      </c>
      <c r="S39" s="25"/>
    </row>
    <row r="40" spans="1:19" s="34" customFormat="1" ht="12.75" customHeight="1" x14ac:dyDescent="0.2">
      <c r="A40" s="70" t="s">
        <v>919</v>
      </c>
      <c r="B40" s="61" t="s">
        <v>920</v>
      </c>
      <c r="C40" s="26">
        <v>0</v>
      </c>
      <c r="D40" s="27">
        <v>0</v>
      </c>
      <c r="E40" s="28">
        <v>0</v>
      </c>
      <c r="F40" s="29">
        <v>0</v>
      </c>
      <c r="G40" s="6">
        <f t="shared" si="0"/>
        <v>0</v>
      </c>
      <c r="H40" s="7">
        <f t="shared" si="0"/>
        <v>0</v>
      </c>
      <c r="I40" s="6">
        <f t="shared" si="1"/>
        <v>0</v>
      </c>
      <c r="J40" s="7">
        <f t="shared" si="2"/>
        <v>0</v>
      </c>
      <c r="K40" s="28">
        <v>0</v>
      </c>
      <c r="L40" s="29">
        <v>0</v>
      </c>
      <c r="M40" s="6">
        <f t="shared" si="3"/>
        <v>0</v>
      </c>
      <c r="N40" s="7">
        <f t="shared" si="4"/>
        <v>0</v>
      </c>
      <c r="O40" s="35"/>
      <c r="P40" s="36"/>
      <c r="Q40" s="59"/>
      <c r="R40" s="2" t="str">
        <f t="shared" si="5"/>
        <v>0711|0|0|0|0|0|0|</v>
      </c>
      <c r="S40" s="25"/>
    </row>
    <row r="41" spans="1:19" s="34" customFormat="1" ht="12.75" customHeight="1" x14ac:dyDescent="0.2">
      <c r="A41" s="70" t="s">
        <v>921</v>
      </c>
      <c r="B41" s="61" t="s">
        <v>922</v>
      </c>
      <c r="C41" s="26">
        <v>0</v>
      </c>
      <c r="D41" s="27">
        <v>0</v>
      </c>
      <c r="E41" s="28">
        <v>0</v>
      </c>
      <c r="F41" s="29">
        <v>0</v>
      </c>
      <c r="G41" s="6">
        <f t="shared" ref="G41:G48" si="6">+C41+E41</f>
        <v>0</v>
      </c>
      <c r="H41" s="7">
        <f t="shared" ref="H41:H48" si="7">+D41+F41</f>
        <v>0</v>
      </c>
      <c r="I41" s="6">
        <f t="shared" si="1"/>
        <v>0</v>
      </c>
      <c r="J41" s="7">
        <f t="shared" si="2"/>
        <v>0</v>
      </c>
      <c r="K41" s="28">
        <v>0</v>
      </c>
      <c r="L41" s="29">
        <v>0</v>
      </c>
      <c r="M41" s="6">
        <f t="shared" si="3"/>
        <v>0</v>
      </c>
      <c r="N41" s="7">
        <f t="shared" si="4"/>
        <v>0</v>
      </c>
      <c r="O41" s="35"/>
      <c r="P41" s="36"/>
      <c r="Q41" s="59"/>
      <c r="R41" s="2" t="str">
        <f t="shared" si="5"/>
        <v>0712|0|0|0|0|0|0|</v>
      </c>
      <c r="S41" s="25"/>
    </row>
    <row r="42" spans="1:19" s="34" customFormat="1" ht="12.75" customHeight="1" x14ac:dyDescent="0.2">
      <c r="A42" s="70" t="s">
        <v>923</v>
      </c>
      <c r="B42" s="61" t="s">
        <v>924</v>
      </c>
      <c r="C42" s="26">
        <v>0</v>
      </c>
      <c r="D42" s="27">
        <v>0</v>
      </c>
      <c r="E42" s="28">
        <v>0</v>
      </c>
      <c r="F42" s="29">
        <v>0</v>
      </c>
      <c r="G42" s="6">
        <f t="shared" si="6"/>
        <v>0</v>
      </c>
      <c r="H42" s="7">
        <f t="shared" si="7"/>
        <v>0</v>
      </c>
      <c r="I42" s="6">
        <f t="shared" si="1"/>
        <v>0</v>
      </c>
      <c r="J42" s="7">
        <f t="shared" si="2"/>
        <v>0</v>
      </c>
      <c r="K42" s="28">
        <v>0</v>
      </c>
      <c r="L42" s="29">
        <v>0</v>
      </c>
      <c r="M42" s="6">
        <f t="shared" si="3"/>
        <v>0</v>
      </c>
      <c r="N42" s="7">
        <f t="shared" si="4"/>
        <v>0</v>
      </c>
      <c r="O42" s="35"/>
      <c r="P42" s="36"/>
      <c r="Q42" s="59"/>
      <c r="R42" s="2" t="str">
        <f t="shared" si="5"/>
        <v>0713|0|0|0|0|0|0|</v>
      </c>
      <c r="S42" s="25"/>
    </row>
    <row r="43" spans="1:19" s="34" customFormat="1" ht="12.75" customHeight="1" x14ac:dyDescent="0.2">
      <c r="A43" s="70" t="s">
        <v>925</v>
      </c>
      <c r="B43" s="61" t="s">
        <v>926</v>
      </c>
      <c r="C43" s="26">
        <v>0</v>
      </c>
      <c r="D43" s="27">
        <v>0</v>
      </c>
      <c r="E43" s="28">
        <v>0</v>
      </c>
      <c r="F43" s="29">
        <v>0</v>
      </c>
      <c r="G43" s="6">
        <f t="shared" si="6"/>
        <v>0</v>
      </c>
      <c r="H43" s="7">
        <f t="shared" si="7"/>
        <v>0</v>
      </c>
      <c r="I43" s="6">
        <f t="shared" si="1"/>
        <v>0</v>
      </c>
      <c r="J43" s="7">
        <f t="shared" si="2"/>
        <v>0</v>
      </c>
      <c r="K43" s="28">
        <v>0</v>
      </c>
      <c r="L43" s="29">
        <v>0</v>
      </c>
      <c r="M43" s="6">
        <f t="shared" si="3"/>
        <v>0</v>
      </c>
      <c r="N43" s="7">
        <f t="shared" si="4"/>
        <v>0</v>
      </c>
      <c r="O43" s="35"/>
      <c r="P43" s="36"/>
      <c r="Q43" s="59"/>
      <c r="R43" s="2" t="str">
        <f t="shared" si="5"/>
        <v>0721|0|0|0|0|0|0|</v>
      </c>
      <c r="S43" s="25"/>
    </row>
    <row r="44" spans="1:19" s="34" customFormat="1" ht="12.75" customHeight="1" x14ac:dyDescent="0.2">
      <c r="A44" s="70" t="s">
        <v>927</v>
      </c>
      <c r="B44" s="61" t="s">
        <v>928</v>
      </c>
      <c r="C44" s="26">
        <v>0</v>
      </c>
      <c r="D44" s="27">
        <v>0</v>
      </c>
      <c r="E44" s="28">
        <v>0</v>
      </c>
      <c r="F44" s="29">
        <v>0</v>
      </c>
      <c r="G44" s="6">
        <f t="shared" si="6"/>
        <v>0</v>
      </c>
      <c r="H44" s="7">
        <f t="shared" si="7"/>
        <v>0</v>
      </c>
      <c r="I44" s="6">
        <f t="shared" si="1"/>
        <v>0</v>
      </c>
      <c r="J44" s="7">
        <f t="shared" si="2"/>
        <v>0</v>
      </c>
      <c r="K44" s="28">
        <v>0</v>
      </c>
      <c r="L44" s="29">
        <v>0</v>
      </c>
      <c r="M44" s="6">
        <f t="shared" si="3"/>
        <v>0</v>
      </c>
      <c r="N44" s="7">
        <f t="shared" si="4"/>
        <v>0</v>
      </c>
      <c r="O44" s="35"/>
      <c r="P44" s="36"/>
      <c r="Q44" s="59"/>
      <c r="R44" s="2" t="str">
        <f t="shared" si="5"/>
        <v>0722|0|0|0|0|0|0|</v>
      </c>
      <c r="S44" s="25"/>
    </row>
    <row r="45" spans="1:19" s="34" customFormat="1" ht="12.75" customHeight="1" x14ac:dyDescent="0.2">
      <c r="A45" s="70" t="s">
        <v>929</v>
      </c>
      <c r="B45" s="61" t="s">
        <v>930</v>
      </c>
      <c r="C45" s="26">
        <v>0</v>
      </c>
      <c r="D45" s="27">
        <v>0</v>
      </c>
      <c r="E45" s="28">
        <v>0</v>
      </c>
      <c r="F45" s="29">
        <v>0</v>
      </c>
      <c r="G45" s="6">
        <f t="shared" si="6"/>
        <v>0</v>
      </c>
      <c r="H45" s="7">
        <f t="shared" si="7"/>
        <v>0</v>
      </c>
      <c r="I45" s="6">
        <f t="shared" si="1"/>
        <v>0</v>
      </c>
      <c r="J45" s="7">
        <f t="shared" si="2"/>
        <v>0</v>
      </c>
      <c r="K45" s="28">
        <v>0</v>
      </c>
      <c r="L45" s="29">
        <v>0</v>
      </c>
      <c r="M45" s="6">
        <f t="shared" si="3"/>
        <v>0</v>
      </c>
      <c r="N45" s="7">
        <f t="shared" si="4"/>
        <v>0</v>
      </c>
      <c r="O45" s="35"/>
      <c r="P45" s="36"/>
      <c r="Q45" s="59"/>
      <c r="R45" s="2" t="str">
        <f t="shared" si="5"/>
        <v>0723|0|0|0|0|0|0|</v>
      </c>
      <c r="S45" s="25"/>
    </row>
    <row r="46" spans="1:19" s="34" customFormat="1" ht="12.75" customHeight="1" x14ac:dyDescent="0.2">
      <c r="A46" s="70" t="s">
        <v>931</v>
      </c>
      <c r="B46" s="61" t="s">
        <v>932</v>
      </c>
      <c r="C46" s="26">
        <v>0</v>
      </c>
      <c r="D46" s="27">
        <v>0</v>
      </c>
      <c r="E46" s="28">
        <v>0</v>
      </c>
      <c r="F46" s="29">
        <v>0</v>
      </c>
      <c r="G46" s="6">
        <f t="shared" si="6"/>
        <v>0</v>
      </c>
      <c r="H46" s="7">
        <f t="shared" si="7"/>
        <v>0</v>
      </c>
      <c r="I46" s="6">
        <f t="shared" si="1"/>
        <v>0</v>
      </c>
      <c r="J46" s="7">
        <f t="shared" si="2"/>
        <v>0</v>
      </c>
      <c r="K46" s="28">
        <v>0</v>
      </c>
      <c r="L46" s="29">
        <v>0</v>
      </c>
      <c r="M46" s="6">
        <f t="shared" si="3"/>
        <v>0</v>
      </c>
      <c r="N46" s="7">
        <f t="shared" si="4"/>
        <v>0</v>
      </c>
      <c r="O46" s="35"/>
      <c r="P46" s="36"/>
      <c r="Q46" s="59"/>
      <c r="R46" s="2" t="str">
        <f t="shared" si="5"/>
        <v>0724|0|0|0|0|0|0|</v>
      </c>
      <c r="S46" s="25"/>
    </row>
    <row r="47" spans="1:19" s="34" customFormat="1" ht="12.75" customHeight="1" x14ac:dyDescent="0.2">
      <c r="A47" s="70" t="s">
        <v>325</v>
      </c>
      <c r="B47" s="61" t="s">
        <v>933</v>
      </c>
      <c r="C47" s="26">
        <v>0</v>
      </c>
      <c r="D47" s="27">
        <v>0</v>
      </c>
      <c r="E47" s="28">
        <v>0</v>
      </c>
      <c r="F47" s="29">
        <v>0</v>
      </c>
      <c r="G47" s="6">
        <f t="shared" si="6"/>
        <v>0</v>
      </c>
      <c r="H47" s="7">
        <f t="shared" si="7"/>
        <v>0</v>
      </c>
      <c r="I47" s="6">
        <f t="shared" si="1"/>
        <v>0</v>
      </c>
      <c r="J47" s="7">
        <f t="shared" si="2"/>
        <v>0</v>
      </c>
      <c r="K47" s="28">
        <v>0</v>
      </c>
      <c r="L47" s="29">
        <v>0</v>
      </c>
      <c r="M47" s="6">
        <f t="shared" si="3"/>
        <v>0</v>
      </c>
      <c r="N47" s="7">
        <f t="shared" si="4"/>
        <v>0</v>
      </c>
      <c r="O47" s="35"/>
      <c r="P47" s="36"/>
      <c r="Q47" s="59"/>
      <c r="R47" s="2" t="str">
        <f t="shared" si="5"/>
        <v>089|0|0|0|0|0|0|</v>
      </c>
      <c r="S47" s="25"/>
    </row>
    <row r="48" spans="1:19" s="34" customFormat="1" ht="12.75" customHeight="1" x14ac:dyDescent="0.2">
      <c r="A48" s="70" t="s">
        <v>326</v>
      </c>
      <c r="B48" s="61" t="s">
        <v>934</v>
      </c>
      <c r="C48" s="26">
        <v>0</v>
      </c>
      <c r="D48" s="27">
        <v>0</v>
      </c>
      <c r="E48" s="28">
        <v>0</v>
      </c>
      <c r="F48" s="29">
        <v>0</v>
      </c>
      <c r="G48" s="6">
        <f t="shared" si="6"/>
        <v>0</v>
      </c>
      <c r="H48" s="7">
        <f t="shared" si="7"/>
        <v>0</v>
      </c>
      <c r="I48" s="6">
        <f t="shared" si="1"/>
        <v>0</v>
      </c>
      <c r="J48" s="7">
        <f t="shared" si="2"/>
        <v>0</v>
      </c>
      <c r="K48" s="28">
        <v>0</v>
      </c>
      <c r="L48" s="29">
        <v>0</v>
      </c>
      <c r="M48" s="6">
        <f t="shared" si="3"/>
        <v>0</v>
      </c>
      <c r="N48" s="7">
        <f t="shared" si="4"/>
        <v>0</v>
      </c>
      <c r="O48" s="35"/>
      <c r="P48" s="36"/>
      <c r="Q48" s="59"/>
      <c r="R48" s="2" t="str">
        <f t="shared" si="5"/>
        <v>09|0|0|0|0|0|0|</v>
      </c>
      <c r="S48" s="25"/>
    </row>
    <row r="49" spans="1:19" s="34" customFormat="1" ht="12.75" customHeight="1" x14ac:dyDescent="0.2">
      <c r="A49" s="70" t="s">
        <v>327</v>
      </c>
      <c r="B49" s="61" t="s">
        <v>219</v>
      </c>
      <c r="C49" s="26">
        <v>0</v>
      </c>
      <c r="D49" s="27">
        <v>0</v>
      </c>
      <c r="E49" s="28">
        <v>0</v>
      </c>
      <c r="F49" s="29">
        <v>0</v>
      </c>
      <c r="G49" s="6">
        <f t="shared" ref="G49:H106" si="8">+C49+E49</f>
        <v>0</v>
      </c>
      <c r="H49" s="7">
        <f t="shared" si="8"/>
        <v>0</v>
      </c>
      <c r="I49" s="6">
        <f t="shared" si="1"/>
        <v>0</v>
      </c>
      <c r="J49" s="7">
        <f t="shared" si="2"/>
        <v>0</v>
      </c>
      <c r="K49" s="28">
        <v>0</v>
      </c>
      <c r="L49" s="29">
        <v>0</v>
      </c>
      <c r="M49" s="6">
        <f t="shared" si="3"/>
        <v>0</v>
      </c>
      <c r="N49" s="7">
        <f t="shared" si="4"/>
        <v>0</v>
      </c>
      <c r="O49" s="35"/>
      <c r="P49" s="36"/>
      <c r="Q49" s="59"/>
      <c r="R49" s="2" t="str">
        <f t="shared" si="5"/>
        <v>101|0|0|0|0|0|0|</v>
      </c>
      <c r="S49" s="25"/>
    </row>
    <row r="50" spans="1:19" s="34" customFormat="1" ht="12.75" customHeight="1" x14ac:dyDescent="0.2">
      <c r="A50" s="70" t="s">
        <v>328</v>
      </c>
      <c r="B50" s="61" t="s">
        <v>935</v>
      </c>
      <c r="C50" s="26">
        <v>0</v>
      </c>
      <c r="D50" s="27">
        <v>0</v>
      </c>
      <c r="E50" s="28">
        <v>0</v>
      </c>
      <c r="F50" s="29">
        <v>0</v>
      </c>
      <c r="G50" s="6">
        <f t="shared" si="8"/>
        <v>0</v>
      </c>
      <c r="H50" s="7">
        <f t="shared" si="8"/>
        <v>0</v>
      </c>
      <c r="I50" s="6">
        <f t="shared" si="1"/>
        <v>0</v>
      </c>
      <c r="J50" s="7">
        <f t="shared" si="2"/>
        <v>0</v>
      </c>
      <c r="K50" s="28">
        <v>0</v>
      </c>
      <c r="L50" s="29">
        <v>0</v>
      </c>
      <c r="M50" s="6">
        <f t="shared" si="3"/>
        <v>0</v>
      </c>
      <c r="N50" s="7">
        <f t="shared" si="4"/>
        <v>0</v>
      </c>
      <c r="O50" s="35"/>
      <c r="P50" s="36"/>
      <c r="Q50" s="59"/>
      <c r="R50" s="2" t="str">
        <f t="shared" si="5"/>
        <v>102|0|0|0|0|0|0|</v>
      </c>
      <c r="S50" s="25"/>
    </row>
    <row r="51" spans="1:19" s="34" customFormat="1" ht="12.75" customHeight="1" x14ac:dyDescent="0.2">
      <c r="A51" s="70" t="s">
        <v>329</v>
      </c>
      <c r="B51" s="61" t="s">
        <v>936</v>
      </c>
      <c r="C51" s="26">
        <v>0</v>
      </c>
      <c r="D51" s="27">
        <v>0</v>
      </c>
      <c r="E51" s="28">
        <v>0</v>
      </c>
      <c r="F51" s="29">
        <v>0</v>
      </c>
      <c r="G51" s="6">
        <f t="shared" si="8"/>
        <v>0</v>
      </c>
      <c r="H51" s="7">
        <f t="shared" si="8"/>
        <v>0</v>
      </c>
      <c r="I51" s="6">
        <f t="shared" si="1"/>
        <v>0</v>
      </c>
      <c r="J51" s="7">
        <f t="shared" si="2"/>
        <v>0</v>
      </c>
      <c r="K51" s="28">
        <v>0</v>
      </c>
      <c r="L51" s="29">
        <v>0</v>
      </c>
      <c r="M51" s="6">
        <f t="shared" si="3"/>
        <v>0</v>
      </c>
      <c r="N51" s="7">
        <f t="shared" si="4"/>
        <v>0</v>
      </c>
      <c r="O51" s="35"/>
      <c r="P51" s="36"/>
      <c r="Q51" s="59"/>
      <c r="R51" s="2" t="str">
        <f t="shared" si="5"/>
        <v>103|0|0|0|0|0|0|</v>
      </c>
      <c r="S51" s="25"/>
    </row>
    <row r="52" spans="1:19" s="34" customFormat="1" ht="12.75" customHeight="1" x14ac:dyDescent="0.2">
      <c r="A52" s="70" t="s">
        <v>330</v>
      </c>
      <c r="B52" s="61" t="s">
        <v>937</v>
      </c>
      <c r="C52" s="26">
        <v>0</v>
      </c>
      <c r="D52" s="27">
        <v>0</v>
      </c>
      <c r="E52" s="28">
        <v>0</v>
      </c>
      <c r="F52" s="29">
        <v>0</v>
      </c>
      <c r="G52" s="6">
        <f t="shared" si="8"/>
        <v>0</v>
      </c>
      <c r="H52" s="7">
        <f t="shared" si="8"/>
        <v>0</v>
      </c>
      <c r="I52" s="6">
        <f t="shared" si="1"/>
        <v>0</v>
      </c>
      <c r="J52" s="7">
        <f t="shared" si="2"/>
        <v>0</v>
      </c>
      <c r="K52" s="28">
        <v>0</v>
      </c>
      <c r="L52" s="29">
        <v>0</v>
      </c>
      <c r="M52" s="6">
        <f t="shared" si="3"/>
        <v>0</v>
      </c>
      <c r="N52" s="7">
        <f t="shared" si="4"/>
        <v>0</v>
      </c>
      <c r="O52" s="35"/>
      <c r="P52" s="36"/>
      <c r="Q52" s="59"/>
      <c r="R52" s="2" t="str">
        <f t="shared" si="5"/>
        <v>1041|0|0|0|0|0|0|</v>
      </c>
      <c r="S52" s="25"/>
    </row>
    <row r="53" spans="1:19" s="34" customFormat="1" ht="12.75" customHeight="1" x14ac:dyDescent="0.2">
      <c r="A53" s="70" t="s">
        <v>331</v>
      </c>
      <c r="B53" s="61" t="s">
        <v>938</v>
      </c>
      <c r="C53" s="26">
        <v>0</v>
      </c>
      <c r="D53" s="27">
        <v>0</v>
      </c>
      <c r="E53" s="28">
        <v>0</v>
      </c>
      <c r="F53" s="29">
        <v>0</v>
      </c>
      <c r="G53" s="6">
        <f t="shared" si="8"/>
        <v>0</v>
      </c>
      <c r="H53" s="7">
        <f t="shared" si="8"/>
        <v>0</v>
      </c>
      <c r="I53" s="6">
        <f t="shared" si="1"/>
        <v>0</v>
      </c>
      <c r="J53" s="7">
        <f t="shared" si="2"/>
        <v>0</v>
      </c>
      <c r="K53" s="28">
        <v>0</v>
      </c>
      <c r="L53" s="29">
        <v>0</v>
      </c>
      <c r="M53" s="6">
        <f t="shared" si="3"/>
        <v>0</v>
      </c>
      <c r="N53" s="7">
        <f t="shared" si="4"/>
        <v>0</v>
      </c>
      <c r="O53" s="35"/>
      <c r="P53" s="36"/>
      <c r="Q53" s="59"/>
      <c r="R53" s="2" t="str">
        <f t="shared" si="5"/>
        <v>1042|0|0|0|0|0|0|</v>
      </c>
      <c r="S53" s="25"/>
    </row>
    <row r="54" spans="1:19" s="34" customFormat="1" ht="12.75" customHeight="1" x14ac:dyDescent="0.2">
      <c r="A54" s="70" t="s">
        <v>332</v>
      </c>
      <c r="B54" s="61" t="s">
        <v>939</v>
      </c>
      <c r="C54" s="26">
        <v>0</v>
      </c>
      <c r="D54" s="27">
        <v>0</v>
      </c>
      <c r="E54" s="28">
        <v>0</v>
      </c>
      <c r="F54" s="29">
        <v>0</v>
      </c>
      <c r="G54" s="6">
        <f t="shared" si="8"/>
        <v>0</v>
      </c>
      <c r="H54" s="7">
        <f t="shared" si="8"/>
        <v>0</v>
      </c>
      <c r="I54" s="6">
        <f t="shared" si="1"/>
        <v>0</v>
      </c>
      <c r="J54" s="7">
        <f t="shared" si="2"/>
        <v>0</v>
      </c>
      <c r="K54" s="28">
        <v>0</v>
      </c>
      <c r="L54" s="29">
        <v>0</v>
      </c>
      <c r="M54" s="6">
        <f t="shared" si="3"/>
        <v>0</v>
      </c>
      <c r="N54" s="7">
        <f t="shared" si="4"/>
        <v>0</v>
      </c>
      <c r="O54" s="35"/>
      <c r="P54" s="36"/>
      <c r="Q54" s="59"/>
      <c r="R54" s="2" t="str">
        <f t="shared" si="5"/>
        <v>1051|0|0|0|0|0|0|</v>
      </c>
      <c r="S54" s="25"/>
    </row>
    <row r="55" spans="1:19" s="34" customFormat="1" ht="12.75" customHeight="1" x14ac:dyDescent="0.2">
      <c r="A55" s="70" t="s">
        <v>333</v>
      </c>
      <c r="B55" s="61" t="s">
        <v>940</v>
      </c>
      <c r="C55" s="26">
        <v>0</v>
      </c>
      <c r="D55" s="27">
        <v>0</v>
      </c>
      <c r="E55" s="28">
        <v>0</v>
      </c>
      <c r="F55" s="29">
        <v>0</v>
      </c>
      <c r="G55" s="6">
        <f t="shared" si="8"/>
        <v>0</v>
      </c>
      <c r="H55" s="7">
        <f t="shared" si="8"/>
        <v>0</v>
      </c>
      <c r="I55" s="6">
        <f t="shared" si="1"/>
        <v>0</v>
      </c>
      <c r="J55" s="7">
        <f t="shared" si="2"/>
        <v>0</v>
      </c>
      <c r="K55" s="28">
        <v>0</v>
      </c>
      <c r="L55" s="29">
        <v>0</v>
      </c>
      <c r="M55" s="6">
        <f t="shared" si="3"/>
        <v>0</v>
      </c>
      <c r="N55" s="7">
        <f t="shared" si="4"/>
        <v>0</v>
      </c>
      <c r="O55" s="35"/>
      <c r="P55" s="36"/>
      <c r="Q55" s="59"/>
      <c r="R55" s="2" t="str">
        <f t="shared" si="5"/>
        <v>1061|0|0|0|0|0|0|</v>
      </c>
      <c r="S55" s="25"/>
    </row>
    <row r="56" spans="1:19" s="34" customFormat="1" ht="12.75" customHeight="1" x14ac:dyDescent="0.2">
      <c r="A56" s="70" t="s">
        <v>334</v>
      </c>
      <c r="B56" s="61" t="s">
        <v>941</v>
      </c>
      <c r="C56" s="26">
        <v>0</v>
      </c>
      <c r="D56" s="27">
        <v>0</v>
      </c>
      <c r="E56" s="28">
        <v>0</v>
      </c>
      <c r="F56" s="29">
        <v>0</v>
      </c>
      <c r="G56" s="6">
        <f t="shared" si="8"/>
        <v>0</v>
      </c>
      <c r="H56" s="7">
        <f t="shared" si="8"/>
        <v>0</v>
      </c>
      <c r="I56" s="6">
        <f t="shared" si="1"/>
        <v>0</v>
      </c>
      <c r="J56" s="7">
        <f t="shared" si="2"/>
        <v>0</v>
      </c>
      <c r="K56" s="28">
        <v>0</v>
      </c>
      <c r="L56" s="29">
        <v>0</v>
      </c>
      <c r="M56" s="6">
        <f t="shared" si="3"/>
        <v>0</v>
      </c>
      <c r="N56" s="7">
        <f t="shared" si="4"/>
        <v>0</v>
      </c>
      <c r="O56" s="35"/>
      <c r="P56" s="36"/>
      <c r="Q56" s="59"/>
      <c r="R56" s="2" t="str">
        <f t="shared" si="5"/>
        <v>1062|0|0|0|0|0|0|</v>
      </c>
      <c r="S56" s="25"/>
    </row>
    <row r="57" spans="1:19" s="34" customFormat="1" ht="12.75" customHeight="1" x14ac:dyDescent="0.2">
      <c r="A57" s="70" t="s">
        <v>335</v>
      </c>
      <c r="B57" s="61" t="s">
        <v>942</v>
      </c>
      <c r="C57" s="26">
        <v>0</v>
      </c>
      <c r="D57" s="27">
        <v>0</v>
      </c>
      <c r="E57" s="28">
        <v>0</v>
      </c>
      <c r="F57" s="29">
        <v>0</v>
      </c>
      <c r="G57" s="6">
        <f t="shared" si="8"/>
        <v>0</v>
      </c>
      <c r="H57" s="7">
        <f t="shared" si="8"/>
        <v>0</v>
      </c>
      <c r="I57" s="6">
        <f t="shared" si="1"/>
        <v>0</v>
      </c>
      <c r="J57" s="7">
        <f t="shared" si="2"/>
        <v>0</v>
      </c>
      <c r="K57" s="28">
        <v>0</v>
      </c>
      <c r="L57" s="29">
        <v>0</v>
      </c>
      <c r="M57" s="6">
        <f t="shared" si="3"/>
        <v>0</v>
      </c>
      <c r="N57" s="7">
        <f t="shared" si="4"/>
        <v>0</v>
      </c>
      <c r="O57" s="35"/>
      <c r="P57" s="36"/>
      <c r="Q57" s="59"/>
      <c r="R57" s="2" t="str">
        <f t="shared" si="5"/>
        <v>1071|0|0|0|0|0|0|</v>
      </c>
      <c r="S57" s="25"/>
    </row>
    <row r="58" spans="1:19" s="34" customFormat="1" ht="12.75" customHeight="1" x14ac:dyDescent="0.2">
      <c r="A58" s="70" t="s">
        <v>943</v>
      </c>
      <c r="B58" s="61" t="s">
        <v>944</v>
      </c>
      <c r="C58" s="26">
        <v>0</v>
      </c>
      <c r="D58" s="27">
        <v>0</v>
      </c>
      <c r="E58" s="28">
        <v>0</v>
      </c>
      <c r="F58" s="29">
        <v>0</v>
      </c>
      <c r="G58" s="6">
        <f t="shared" si="8"/>
        <v>0</v>
      </c>
      <c r="H58" s="7">
        <f t="shared" si="8"/>
        <v>0</v>
      </c>
      <c r="I58" s="6">
        <f t="shared" si="1"/>
        <v>0</v>
      </c>
      <c r="J58" s="7">
        <f t="shared" si="2"/>
        <v>0</v>
      </c>
      <c r="K58" s="28">
        <v>0</v>
      </c>
      <c r="L58" s="29">
        <v>0</v>
      </c>
      <c r="M58" s="6">
        <f t="shared" si="3"/>
        <v>0</v>
      </c>
      <c r="N58" s="7">
        <f t="shared" si="4"/>
        <v>0</v>
      </c>
      <c r="O58" s="35"/>
      <c r="P58" s="36"/>
      <c r="Q58" s="59"/>
      <c r="R58" s="2" t="str">
        <f t="shared" si="5"/>
        <v>11111|0|0|0|0|0|0|</v>
      </c>
      <c r="S58" s="25"/>
    </row>
    <row r="59" spans="1:19" s="34" customFormat="1" ht="12.75" customHeight="1" x14ac:dyDescent="0.2">
      <c r="A59" s="70" t="s">
        <v>945</v>
      </c>
      <c r="B59" s="61" t="s">
        <v>946</v>
      </c>
      <c r="C59" s="26">
        <v>0</v>
      </c>
      <c r="D59" s="27">
        <v>0</v>
      </c>
      <c r="E59" s="28">
        <v>0</v>
      </c>
      <c r="F59" s="29">
        <v>0</v>
      </c>
      <c r="G59" s="6">
        <f t="shared" si="8"/>
        <v>0</v>
      </c>
      <c r="H59" s="7">
        <f t="shared" si="8"/>
        <v>0</v>
      </c>
      <c r="I59" s="6">
        <f t="shared" si="1"/>
        <v>0</v>
      </c>
      <c r="J59" s="7">
        <f t="shared" si="2"/>
        <v>0</v>
      </c>
      <c r="K59" s="28">
        <v>0</v>
      </c>
      <c r="L59" s="29">
        <v>0</v>
      </c>
      <c r="M59" s="6">
        <f t="shared" si="3"/>
        <v>0</v>
      </c>
      <c r="N59" s="7">
        <f t="shared" si="4"/>
        <v>0</v>
      </c>
      <c r="O59" s="35"/>
      <c r="P59" s="36"/>
      <c r="Q59" s="59"/>
      <c r="R59" s="2" t="str">
        <f t="shared" si="5"/>
        <v>11112|0|0|0|0|0|0|</v>
      </c>
      <c r="S59" s="25"/>
    </row>
    <row r="60" spans="1:19" s="34" customFormat="1" ht="12.75" customHeight="1" x14ac:dyDescent="0.2">
      <c r="A60" s="70" t="s">
        <v>947</v>
      </c>
      <c r="B60" s="61" t="s">
        <v>948</v>
      </c>
      <c r="C60" s="26">
        <v>0</v>
      </c>
      <c r="D60" s="27">
        <v>0</v>
      </c>
      <c r="E60" s="28">
        <v>0</v>
      </c>
      <c r="F60" s="29">
        <v>0</v>
      </c>
      <c r="G60" s="6">
        <f t="shared" si="8"/>
        <v>0</v>
      </c>
      <c r="H60" s="7">
        <f t="shared" si="8"/>
        <v>0</v>
      </c>
      <c r="I60" s="6">
        <f t="shared" si="1"/>
        <v>0</v>
      </c>
      <c r="J60" s="7">
        <f t="shared" si="2"/>
        <v>0</v>
      </c>
      <c r="K60" s="28">
        <v>0</v>
      </c>
      <c r="L60" s="29">
        <v>0</v>
      </c>
      <c r="M60" s="6">
        <f t="shared" si="3"/>
        <v>0</v>
      </c>
      <c r="N60" s="7">
        <f t="shared" si="4"/>
        <v>0</v>
      </c>
      <c r="O60" s="35"/>
      <c r="P60" s="36"/>
      <c r="Q60" s="59"/>
      <c r="R60" s="2" t="str">
        <f t="shared" si="5"/>
        <v>11121|0|0|0|0|0|0|</v>
      </c>
      <c r="S60" s="25"/>
    </row>
    <row r="61" spans="1:19" s="34" customFormat="1" ht="12.75" customHeight="1" x14ac:dyDescent="0.2">
      <c r="A61" s="70" t="s">
        <v>949</v>
      </c>
      <c r="B61" s="61" t="s">
        <v>950</v>
      </c>
      <c r="C61" s="26">
        <v>0</v>
      </c>
      <c r="D61" s="27">
        <v>0</v>
      </c>
      <c r="E61" s="28">
        <v>0</v>
      </c>
      <c r="F61" s="29">
        <v>0</v>
      </c>
      <c r="G61" s="6">
        <f t="shared" si="8"/>
        <v>0</v>
      </c>
      <c r="H61" s="7">
        <f t="shared" si="8"/>
        <v>0</v>
      </c>
      <c r="I61" s="6">
        <f t="shared" si="1"/>
        <v>0</v>
      </c>
      <c r="J61" s="7">
        <f t="shared" si="2"/>
        <v>0</v>
      </c>
      <c r="K61" s="28">
        <v>0</v>
      </c>
      <c r="L61" s="29">
        <v>0</v>
      </c>
      <c r="M61" s="6">
        <f t="shared" si="3"/>
        <v>0</v>
      </c>
      <c r="N61" s="7">
        <f t="shared" si="4"/>
        <v>0</v>
      </c>
      <c r="O61" s="35"/>
      <c r="P61" s="36"/>
      <c r="Q61" s="59"/>
      <c r="R61" s="2" t="str">
        <f t="shared" si="5"/>
        <v>11122|0|0|0|0|0|0|</v>
      </c>
      <c r="S61" s="25"/>
    </row>
    <row r="62" spans="1:19" s="34" customFormat="1" ht="12.75" customHeight="1" x14ac:dyDescent="0.2">
      <c r="A62" s="70" t="s">
        <v>951</v>
      </c>
      <c r="B62" s="61" t="s">
        <v>952</v>
      </c>
      <c r="C62" s="26">
        <v>0</v>
      </c>
      <c r="D62" s="27">
        <v>0</v>
      </c>
      <c r="E62" s="28">
        <v>0</v>
      </c>
      <c r="F62" s="29">
        <v>0</v>
      </c>
      <c r="G62" s="6">
        <f t="shared" si="8"/>
        <v>0</v>
      </c>
      <c r="H62" s="7">
        <f t="shared" si="8"/>
        <v>0</v>
      </c>
      <c r="I62" s="6">
        <f t="shared" si="1"/>
        <v>0</v>
      </c>
      <c r="J62" s="7">
        <f t="shared" si="2"/>
        <v>0</v>
      </c>
      <c r="K62" s="28">
        <v>0</v>
      </c>
      <c r="L62" s="29">
        <v>0</v>
      </c>
      <c r="M62" s="6">
        <f t="shared" si="3"/>
        <v>0</v>
      </c>
      <c r="N62" s="7">
        <f t="shared" si="4"/>
        <v>0</v>
      </c>
      <c r="O62" s="35"/>
      <c r="P62" s="36"/>
      <c r="Q62" s="59"/>
      <c r="R62" s="2" t="str">
        <f t="shared" si="5"/>
        <v>11131|0|0|0|0|0|0|</v>
      </c>
      <c r="S62" s="25"/>
    </row>
    <row r="63" spans="1:19" s="34" customFormat="1" ht="12.75" customHeight="1" x14ac:dyDescent="0.2">
      <c r="A63" s="70" t="s">
        <v>953</v>
      </c>
      <c r="B63" s="61" t="s">
        <v>954</v>
      </c>
      <c r="C63" s="26">
        <v>0</v>
      </c>
      <c r="D63" s="27">
        <v>0</v>
      </c>
      <c r="E63" s="28">
        <v>0</v>
      </c>
      <c r="F63" s="29">
        <v>0</v>
      </c>
      <c r="G63" s="6">
        <f t="shared" si="8"/>
        <v>0</v>
      </c>
      <c r="H63" s="7">
        <f t="shared" si="8"/>
        <v>0</v>
      </c>
      <c r="I63" s="6">
        <f t="shared" si="1"/>
        <v>0</v>
      </c>
      <c r="J63" s="7">
        <f t="shared" si="2"/>
        <v>0</v>
      </c>
      <c r="K63" s="28">
        <v>0</v>
      </c>
      <c r="L63" s="29">
        <v>0</v>
      </c>
      <c r="M63" s="6">
        <f t="shared" si="3"/>
        <v>0</v>
      </c>
      <c r="N63" s="7">
        <f t="shared" si="4"/>
        <v>0</v>
      </c>
      <c r="O63" s="35"/>
      <c r="P63" s="36"/>
      <c r="Q63" s="59"/>
      <c r="R63" s="2" t="str">
        <f t="shared" si="5"/>
        <v>11132|0|0|0|0|0|0|</v>
      </c>
      <c r="S63" s="25"/>
    </row>
    <row r="64" spans="1:19" s="34" customFormat="1" ht="12.75" customHeight="1" x14ac:dyDescent="0.2">
      <c r="A64" s="70" t="s">
        <v>955</v>
      </c>
      <c r="B64" s="61" t="s">
        <v>956</v>
      </c>
      <c r="C64" s="26">
        <v>0</v>
      </c>
      <c r="D64" s="27">
        <v>0</v>
      </c>
      <c r="E64" s="28">
        <v>0</v>
      </c>
      <c r="F64" s="29">
        <v>0</v>
      </c>
      <c r="G64" s="6">
        <f t="shared" si="8"/>
        <v>0</v>
      </c>
      <c r="H64" s="7">
        <f t="shared" si="8"/>
        <v>0</v>
      </c>
      <c r="I64" s="6">
        <f t="shared" si="1"/>
        <v>0</v>
      </c>
      <c r="J64" s="7">
        <f t="shared" si="2"/>
        <v>0</v>
      </c>
      <c r="K64" s="28">
        <v>0</v>
      </c>
      <c r="L64" s="29">
        <v>0</v>
      </c>
      <c r="M64" s="6">
        <f t="shared" si="3"/>
        <v>0</v>
      </c>
      <c r="N64" s="7">
        <f t="shared" si="4"/>
        <v>0</v>
      </c>
      <c r="O64" s="35"/>
      <c r="P64" s="36"/>
      <c r="Q64" s="59"/>
      <c r="R64" s="2" t="str">
        <f t="shared" si="5"/>
        <v>11141|0|0|0|0|0|0|</v>
      </c>
      <c r="S64" s="25"/>
    </row>
    <row r="65" spans="1:19" s="34" customFormat="1" ht="12.75" customHeight="1" x14ac:dyDescent="0.2">
      <c r="A65" s="70" t="s">
        <v>957</v>
      </c>
      <c r="B65" s="61" t="s">
        <v>958</v>
      </c>
      <c r="C65" s="26">
        <v>0</v>
      </c>
      <c r="D65" s="27">
        <v>0</v>
      </c>
      <c r="E65" s="28">
        <v>0</v>
      </c>
      <c r="F65" s="29">
        <v>0</v>
      </c>
      <c r="G65" s="6">
        <f t="shared" si="8"/>
        <v>0</v>
      </c>
      <c r="H65" s="7">
        <f t="shared" si="8"/>
        <v>0</v>
      </c>
      <c r="I65" s="6">
        <f t="shared" si="1"/>
        <v>0</v>
      </c>
      <c r="J65" s="7">
        <f t="shared" si="2"/>
        <v>0</v>
      </c>
      <c r="K65" s="28">
        <v>0</v>
      </c>
      <c r="L65" s="29">
        <v>0</v>
      </c>
      <c r="M65" s="6">
        <f t="shared" si="3"/>
        <v>0</v>
      </c>
      <c r="N65" s="7">
        <f t="shared" si="4"/>
        <v>0</v>
      </c>
      <c r="O65" s="35"/>
      <c r="P65" s="36"/>
      <c r="Q65" s="59"/>
      <c r="R65" s="2" t="str">
        <f t="shared" si="5"/>
        <v>11142|0|0|0|0|0|0|</v>
      </c>
      <c r="S65" s="25"/>
    </row>
    <row r="66" spans="1:19" s="34" customFormat="1" ht="12.75" customHeight="1" x14ac:dyDescent="0.2">
      <c r="A66" s="70" t="s">
        <v>959</v>
      </c>
      <c r="B66" s="61" t="s">
        <v>960</v>
      </c>
      <c r="C66" s="26">
        <v>0</v>
      </c>
      <c r="D66" s="27">
        <v>0</v>
      </c>
      <c r="E66" s="28">
        <v>0</v>
      </c>
      <c r="F66" s="29">
        <v>0</v>
      </c>
      <c r="G66" s="6">
        <f t="shared" si="8"/>
        <v>0</v>
      </c>
      <c r="H66" s="7">
        <f t="shared" si="8"/>
        <v>0</v>
      </c>
      <c r="I66" s="6">
        <f t="shared" si="1"/>
        <v>0</v>
      </c>
      <c r="J66" s="7">
        <f t="shared" si="2"/>
        <v>0</v>
      </c>
      <c r="K66" s="28">
        <v>0</v>
      </c>
      <c r="L66" s="29">
        <v>0</v>
      </c>
      <c r="M66" s="6">
        <f t="shared" si="3"/>
        <v>0</v>
      </c>
      <c r="N66" s="7">
        <f t="shared" si="4"/>
        <v>0</v>
      </c>
      <c r="O66" s="35"/>
      <c r="P66" s="36"/>
      <c r="Q66" s="59"/>
      <c r="R66" s="2" t="str">
        <f t="shared" si="5"/>
        <v>11151|0|0|0|0|0|0|</v>
      </c>
      <c r="S66" s="25"/>
    </row>
    <row r="67" spans="1:19" s="34" customFormat="1" ht="12.75" customHeight="1" x14ac:dyDescent="0.2">
      <c r="A67" s="70" t="s">
        <v>961</v>
      </c>
      <c r="B67" s="61" t="s">
        <v>962</v>
      </c>
      <c r="C67" s="26">
        <v>0</v>
      </c>
      <c r="D67" s="27">
        <v>0</v>
      </c>
      <c r="E67" s="28">
        <v>0</v>
      </c>
      <c r="F67" s="29">
        <v>0</v>
      </c>
      <c r="G67" s="6">
        <f t="shared" si="8"/>
        <v>0</v>
      </c>
      <c r="H67" s="7">
        <f t="shared" si="8"/>
        <v>0</v>
      </c>
      <c r="I67" s="6">
        <f t="shared" si="1"/>
        <v>0</v>
      </c>
      <c r="J67" s="7">
        <f t="shared" si="2"/>
        <v>0</v>
      </c>
      <c r="K67" s="28">
        <v>0</v>
      </c>
      <c r="L67" s="29">
        <v>0</v>
      </c>
      <c r="M67" s="6">
        <f t="shared" si="3"/>
        <v>0</v>
      </c>
      <c r="N67" s="7">
        <f t="shared" si="4"/>
        <v>0</v>
      </c>
      <c r="O67" s="35"/>
      <c r="P67" s="36"/>
      <c r="Q67" s="59"/>
      <c r="R67" s="2" t="str">
        <f t="shared" si="5"/>
        <v>11152|0|0|0|0|0|0|</v>
      </c>
      <c r="S67" s="25"/>
    </row>
    <row r="68" spans="1:19" s="34" customFormat="1" ht="12.75" customHeight="1" x14ac:dyDescent="0.2">
      <c r="A68" s="70" t="s">
        <v>963</v>
      </c>
      <c r="B68" s="61" t="s">
        <v>964</v>
      </c>
      <c r="C68" s="26">
        <v>0</v>
      </c>
      <c r="D68" s="27">
        <v>0</v>
      </c>
      <c r="E68" s="28">
        <v>0</v>
      </c>
      <c r="F68" s="29">
        <v>0</v>
      </c>
      <c r="G68" s="6">
        <f t="shared" si="8"/>
        <v>0</v>
      </c>
      <c r="H68" s="7">
        <f t="shared" si="8"/>
        <v>0</v>
      </c>
      <c r="I68" s="6">
        <f t="shared" si="1"/>
        <v>0</v>
      </c>
      <c r="J68" s="7">
        <f t="shared" si="2"/>
        <v>0</v>
      </c>
      <c r="K68" s="28">
        <v>0</v>
      </c>
      <c r="L68" s="29">
        <v>0</v>
      </c>
      <c r="M68" s="6">
        <f t="shared" si="3"/>
        <v>0</v>
      </c>
      <c r="N68" s="7">
        <f t="shared" si="4"/>
        <v>0</v>
      </c>
      <c r="O68" s="35"/>
      <c r="P68" s="36"/>
      <c r="Q68" s="59"/>
      <c r="R68" s="2" t="str">
        <f t="shared" si="5"/>
        <v>11211|0|0|0|0|0|0|</v>
      </c>
      <c r="S68" s="25"/>
    </row>
    <row r="69" spans="1:19" s="34" customFormat="1" ht="12.75" customHeight="1" x14ac:dyDescent="0.2">
      <c r="A69" s="70" t="s">
        <v>965</v>
      </c>
      <c r="B69" s="61" t="s">
        <v>966</v>
      </c>
      <c r="C69" s="26">
        <v>0</v>
      </c>
      <c r="D69" s="27">
        <v>0</v>
      </c>
      <c r="E69" s="28">
        <v>0</v>
      </c>
      <c r="F69" s="29">
        <v>0</v>
      </c>
      <c r="G69" s="6">
        <f t="shared" si="8"/>
        <v>0</v>
      </c>
      <c r="H69" s="7">
        <f t="shared" si="8"/>
        <v>0</v>
      </c>
      <c r="I69" s="6">
        <f t="shared" ref="I69:I132" si="9">IF($G69-$H69&gt;=0,$G69-$H69,0)</f>
        <v>0</v>
      </c>
      <c r="J69" s="7">
        <f t="shared" ref="J69:J132" si="10">IF($G69-$H69&lt;0,-$G69+$H69,0)</f>
        <v>0</v>
      </c>
      <c r="K69" s="28">
        <v>0</v>
      </c>
      <c r="L69" s="29">
        <v>0</v>
      </c>
      <c r="M69" s="6">
        <f t="shared" ref="M69:M132" si="11">IF($I69-$J69+$K69-$L69&gt;=0,$I69-$J69+$K69-$L69,0)</f>
        <v>0</v>
      </c>
      <c r="N69" s="7">
        <f t="shared" ref="N69:N132" si="12">IF($I69-$J69+$K69-$L69&lt;0,-($I69-$J69+$K69-$L69),0)</f>
        <v>0</v>
      </c>
      <c r="O69" s="35"/>
      <c r="P69" s="36"/>
      <c r="Q69" s="59"/>
      <c r="R69" s="2" t="str">
        <f t="shared" ref="R69:R132" si="13">CONCATENATE(A69,"|",C69,"|",D69,"|",E69,"|",F69,"|",K69,"|",L69,"|")</f>
        <v>11212|0|0|0|0|0|0|</v>
      </c>
      <c r="S69" s="25"/>
    </row>
    <row r="70" spans="1:19" s="34" customFormat="1" ht="12.75" customHeight="1" x14ac:dyDescent="0.2">
      <c r="A70" s="70" t="s">
        <v>967</v>
      </c>
      <c r="B70" s="61" t="s">
        <v>968</v>
      </c>
      <c r="C70" s="26">
        <v>0</v>
      </c>
      <c r="D70" s="27">
        <v>0</v>
      </c>
      <c r="E70" s="28">
        <v>0</v>
      </c>
      <c r="F70" s="29">
        <v>0</v>
      </c>
      <c r="G70" s="6">
        <f t="shared" si="8"/>
        <v>0</v>
      </c>
      <c r="H70" s="7">
        <f t="shared" si="8"/>
        <v>0</v>
      </c>
      <c r="I70" s="6">
        <f t="shared" si="9"/>
        <v>0</v>
      </c>
      <c r="J70" s="7">
        <f t="shared" si="10"/>
        <v>0</v>
      </c>
      <c r="K70" s="28">
        <v>0</v>
      </c>
      <c r="L70" s="29">
        <v>0</v>
      </c>
      <c r="M70" s="6">
        <f t="shared" si="11"/>
        <v>0</v>
      </c>
      <c r="N70" s="7">
        <f t="shared" si="12"/>
        <v>0</v>
      </c>
      <c r="O70" s="35"/>
      <c r="P70" s="36"/>
      <c r="Q70" s="59"/>
      <c r="R70" s="2" t="str">
        <f t="shared" si="13"/>
        <v>11221|0|0|0|0|0|0|</v>
      </c>
      <c r="S70" s="25"/>
    </row>
    <row r="71" spans="1:19" s="34" customFormat="1" ht="12.75" customHeight="1" x14ac:dyDescent="0.2">
      <c r="A71" s="70" t="s">
        <v>969</v>
      </c>
      <c r="B71" s="61" t="s">
        <v>970</v>
      </c>
      <c r="C71" s="26">
        <v>0</v>
      </c>
      <c r="D71" s="27">
        <v>0</v>
      </c>
      <c r="E71" s="28">
        <v>0</v>
      </c>
      <c r="F71" s="29">
        <v>0</v>
      </c>
      <c r="G71" s="6">
        <f t="shared" si="8"/>
        <v>0</v>
      </c>
      <c r="H71" s="7">
        <f t="shared" si="8"/>
        <v>0</v>
      </c>
      <c r="I71" s="6">
        <f t="shared" si="9"/>
        <v>0</v>
      </c>
      <c r="J71" s="7">
        <f t="shared" si="10"/>
        <v>0</v>
      </c>
      <c r="K71" s="28">
        <v>0</v>
      </c>
      <c r="L71" s="29">
        <v>0</v>
      </c>
      <c r="M71" s="6">
        <f t="shared" si="11"/>
        <v>0</v>
      </c>
      <c r="N71" s="7">
        <f t="shared" si="12"/>
        <v>0</v>
      </c>
      <c r="O71" s="35"/>
      <c r="P71" s="36"/>
      <c r="Q71" s="59"/>
      <c r="R71" s="2" t="str">
        <f t="shared" si="13"/>
        <v>11222|0|0|0|0|0|0|</v>
      </c>
      <c r="S71" s="25"/>
    </row>
    <row r="72" spans="1:19" s="34" customFormat="1" ht="12.75" customHeight="1" x14ac:dyDescent="0.2">
      <c r="A72" s="70" t="s">
        <v>971</v>
      </c>
      <c r="B72" s="61" t="s">
        <v>972</v>
      </c>
      <c r="C72" s="26">
        <v>0</v>
      </c>
      <c r="D72" s="27">
        <v>0</v>
      </c>
      <c r="E72" s="28">
        <v>0</v>
      </c>
      <c r="F72" s="29">
        <v>0</v>
      </c>
      <c r="G72" s="6">
        <f t="shared" si="8"/>
        <v>0</v>
      </c>
      <c r="H72" s="7">
        <f t="shared" si="8"/>
        <v>0</v>
      </c>
      <c r="I72" s="6">
        <f t="shared" si="9"/>
        <v>0</v>
      </c>
      <c r="J72" s="7">
        <f t="shared" si="10"/>
        <v>0</v>
      </c>
      <c r="K72" s="28">
        <v>0</v>
      </c>
      <c r="L72" s="29">
        <v>0</v>
      </c>
      <c r="M72" s="6">
        <f t="shared" si="11"/>
        <v>0</v>
      </c>
      <c r="N72" s="7">
        <f t="shared" si="12"/>
        <v>0</v>
      </c>
      <c r="O72" s="35"/>
      <c r="P72" s="36"/>
      <c r="Q72" s="59"/>
      <c r="R72" s="2" t="str">
        <f t="shared" si="13"/>
        <v>11231|0|0|0|0|0|0|</v>
      </c>
      <c r="S72" s="25"/>
    </row>
    <row r="73" spans="1:19" s="34" customFormat="1" ht="12.75" customHeight="1" x14ac:dyDescent="0.2">
      <c r="A73" s="70" t="s">
        <v>973</v>
      </c>
      <c r="B73" s="61" t="s">
        <v>974</v>
      </c>
      <c r="C73" s="26">
        <v>0</v>
      </c>
      <c r="D73" s="27">
        <v>0</v>
      </c>
      <c r="E73" s="28">
        <v>0</v>
      </c>
      <c r="F73" s="29">
        <v>0</v>
      </c>
      <c r="G73" s="6">
        <f t="shared" si="8"/>
        <v>0</v>
      </c>
      <c r="H73" s="7">
        <f t="shared" si="8"/>
        <v>0</v>
      </c>
      <c r="I73" s="6">
        <f t="shared" si="9"/>
        <v>0</v>
      </c>
      <c r="J73" s="7">
        <f t="shared" si="10"/>
        <v>0</v>
      </c>
      <c r="K73" s="28">
        <v>0</v>
      </c>
      <c r="L73" s="29">
        <v>0</v>
      </c>
      <c r="M73" s="6">
        <f t="shared" si="11"/>
        <v>0</v>
      </c>
      <c r="N73" s="7">
        <f t="shared" si="12"/>
        <v>0</v>
      </c>
      <c r="O73" s="35"/>
      <c r="P73" s="36"/>
      <c r="Q73" s="59"/>
      <c r="R73" s="2" t="str">
        <f t="shared" si="13"/>
        <v>11232|0|0|0|0|0|0|</v>
      </c>
      <c r="S73" s="25"/>
    </row>
    <row r="74" spans="1:19" s="34" customFormat="1" ht="12.75" customHeight="1" x14ac:dyDescent="0.2">
      <c r="A74" s="70" t="s">
        <v>975</v>
      </c>
      <c r="B74" s="61" t="s">
        <v>976</v>
      </c>
      <c r="C74" s="26">
        <v>0</v>
      </c>
      <c r="D74" s="27">
        <v>0</v>
      </c>
      <c r="E74" s="28">
        <v>0</v>
      </c>
      <c r="F74" s="29">
        <v>0</v>
      </c>
      <c r="G74" s="6">
        <f t="shared" si="8"/>
        <v>0</v>
      </c>
      <c r="H74" s="7">
        <f t="shared" si="8"/>
        <v>0</v>
      </c>
      <c r="I74" s="6">
        <f t="shared" si="9"/>
        <v>0</v>
      </c>
      <c r="J74" s="7">
        <f t="shared" si="10"/>
        <v>0</v>
      </c>
      <c r="K74" s="28">
        <v>0</v>
      </c>
      <c r="L74" s="29">
        <v>0</v>
      </c>
      <c r="M74" s="6">
        <f t="shared" si="11"/>
        <v>0</v>
      </c>
      <c r="N74" s="7">
        <f t="shared" si="12"/>
        <v>0</v>
      </c>
      <c r="O74" s="35"/>
      <c r="P74" s="36"/>
      <c r="Q74" s="59"/>
      <c r="R74" s="2" t="str">
        <f t="shared" si="13"/>
        <v>11241|0|0|0|0|0|0|</v>
      </c>
      <c r="S74" s="25"/>
    </row>
    <row r="75" spans="1:19" s="34" customFormat="1" ht="12.75" customHeight="1" x14ac:dyDescent="0.2">
      <c r="A75" s="70" t="s">
        <v>977</v>
      </c>
      <c r="B75" s="61" t="s">
        <v>978</v>
      </c>
      <c r="C75" s="26">
        <v>0</v>
      </c>
      <c r="D75" s="27">
        <v>0</v>
      </c>
      <c r="E75" s="28">
        <v>0</v>
      </c>
      <c r="F75" s="29">
        <v>0</v>
      </c>
      <c r="G75" s="6">
        <f t="shared" si="8"/>
        <v>0</v>
      </c>
      <c r="H75" s="7">
        <f t="shared" si="8"/>
        <v>0</v>
      </c>
      <c r="I75" s="6">
        <f t="shared" si="9"/>
        <v>0</v>
      </c>
      <c r="J75" s="7">
        <f t="shared" si="10"/>
        <v>0</v>
      </c>
      <c r="K75" s="28">
        <v>0</v>
      </c>
      <c r="L75" s="29">
        <v>0</v>
      </c>
      <c r="M75" s="6">
        <f t="shared" si="11"/>
        <v>0</v>
      </c>
      <c r="N75" s="7">
        <f t="shared" si="12"/>
        <v>0</v>
      </c>
      <c r="O75" s="35"/>
      <c r="P75" s="36"/>
      <c r="Q75" s="59"/>
      <c r="R75" s="2" t="str">
        <f t="shared" si="13"/>
        <v>11242|0|0|0|0|0|0|</v>
      </c>
      <c r="S75" s="25"/>
    </row>
    <row r="76" spans="1:19" s="34" customFormat="1" ht="12.75" customHeight="1" x14ac:dyDescent="0.2">
      <c r="A76" s="70" t="s">
        <v>979</v>
      </c>
      <c r="B76" s="61" t="s">
        <v>980</v>
      </c>
      <c r="C76" s="26">
        <v>0</v>
      </c>
      <c r="D76" s="27">
        <v>0</v>
      </c>
      <c r="E76" s="28">
        <v>0</v>
      </c>
      <c r="F76" s="29">
        <v>0</v>
      </c>
      <c r="G76" s="6">
        <f t="shared" si="8"/>
        <v>0</v>
      </c>
      <c r="H76" s="7">
        <f t="shared" si="8"/>
        <v>0</v>
      </c>
      <c r="I76" s="6">
        <f t="shared" si="9"/>
        <v>0</v>
      </c>
      <c r="J76" s="7">
        <f t="shared" si="10"/>
        <v>0</v>
      </c>
      <c r="K76" s="28">
        <v>0</v>
      </c>
      <c r="L76" s="29">
        <v>0</v>
      </c>
      <c r="M76" s="6">
        <f t="shared" si="11"/>
        <v>0</v>
      </c>
      <c r="N76" s="7">
        <f t="shared" si="12"/>
        <v>0</v>
      </c>
      <c r="O76" s="35"/>
      <c r="P76" s="36"/>
      <c r="Q76" s="59"/>
      <c r="R76" s="2" t="str">
        <f t="shared" si="13"/>
        <v>11311|0|0|0|0|0|0|</v>
      </c>
      <c r="S76" s="25"/>
    </row>
    <row r="77" spans="1:19" s="34" customFormat="1" ht="12.75" customHeight="1" x14ac:dyDescent="0.2">
      <c r="A77" s="70" t="s">
        <v>981</v>
      </c>
      <c r="B77" s="61" t="s">
        <v>982</v>
      </c>
      <c r="C77" s="26">
        <v>0</v>
      </c>
      <c r="D77" s="27">
        <v>0</v>
      </c>
      <c r="E77" s="28">
        <v>0</v>
      </c>
      <c r="F77" s="29">
        <v>0</v>
      </c>
      <c r="G77" s="6">
        <f t="shared" si="8"/>
        <v>0</v>
      </c>
      <c r="H77" s="7">
        <f t="shared" si="8"/>
        <v>0</v>
      </c>
      <c r="I77" s="6">
        <f t="shared" si="9"/>
        <v>0</v>
      </c>
      <c r="J77" s="7">
        <f t="shared" si="10"/>
        <v>0</v>
      </c>
      <c r="K77" s="28">
        <v>0</v>
      </c>
      <c r="L77" s="29">
        <v>0</v>
      </c>
      <c r="M77" s="6">
        <f t="shared" si="11"/>
        <v>0</v>
      </c>
      <c r="N77" s="7">
        <f t="shared" si="12"/>
        <v>0</v>
      </c>
      <c r="O77" s="35"/>
      <c r="P77" s="36"/>
      <c r="Q77" s="59"/>
      <c r="R77" s="2" t="str">
        <f t="shared" si="13"/>
        <v>11312|0|0|0|0|0|0|</v>
      </c>
      <c r="S77" s="25"/>
    </row>
    <row r="78" spans="1:19" s="34" customFormat="1" ht="12.75" customHeight="1" x14ac:dyDescent="0.2">
      <c r="A78" s="70" t="s">
        <v>983</v>
      </c>
      <c r="B78" s="61" t="s">
        <v>984</v>
      </c>
      <c r="C78" s="26">
        <v>0</v>
      </c>
      <c r="D78" s="27">
        <v>0</v>
      </c>
      <c r="E78" s="28">
        <v>0</v>
      </c>
      <c r="F78" s="29">
        <v>0</v>
      </c>
      <c r="G78" s="6">
        <f t="shared" si="8"/>
        <v>0</v>
      </c>
      <c r="H78" s="7">
        <f t="shared" si="8"/>
        <v>0</v>
      </c>
      <c r="I78" s="6">
        <f t="shared" si="9"/>
        <v>0</v>
      </c>
      <c r="J78" s="7">
        <f t="shared" si="10"/>
        <v>0</v>
      </c>
      <c r="K78" s="28">
        <v>0</v>
      </c>
      <c r="L78" s="29">
        <v>0</v>
      </c>
      <c r="M78" s="6">
        <f t="shared" si="11"/>
        <v>0</v>
      </c>
      <c r="N78" s="7">
        <f t="shared" si="12"/>
        <v>0</v>
      </c>
      <c r="O78" s="35"/>
      <c r="P78" s="36"/>
      <c r="Q78" s="59"/>
      <c r="R78" s="2" t="str">
        <f t="shared" si="13"/>
        <v>11321|0|0|0|0|0|0|</v>
      </c>
      <c r="S78" s="25"/>
    </row>
    <row r="79" spans="1:19" s="34" customFormat="1" ht="12.75" customHeight="1" x14ac:dyDescent="0.2">
      <c r="A79" s="70" t="s">
        <v>985</v>
      </c>
      <c r="B79" s="61" t="s">
        <v>986</v>
      </c>
      <c r="C79" s="26">
        <v>0</v>
      </c>
      <c r="D79" s="27">
        <v>0</v>
      </c>
      <c r="E79" s="28">
        <v>0</v>
      </c>
      <c r="F79" s="29">
        <v>0</v>
      </c>
      <c r="G79" s="6">
        <f t="shared" si="8"/>
        <v>0</v>
      </c>
      <c r="H79" s="7">
        <f t="shared" si="8"/>
        <v>0</v>
      </c>
      <c r="I79" s="6">
        <f t="shared" si="9"/>
        <v>0</v>
      </c>
      <c r="J79" s="7">
        <f t="shared" si="10"/>
        <v>0</v>
      </c>
      <c r="K79" s="28">
        <v>0</v>
      </c>
      <c r="L79" s="29">
        <v>0</v>
      </c>
      <c r="M79" s="6">
        <f t="shared" si="11"/>
        <v>0</v>
      </c>
      <c r="N79" s="7">
        <f t="shared" si="12"/>
        <v>0</v>
      </c>
      <c r="O79" s="35"/>
      <c r="P79" s="36"/>
      <c r="Q79" s="59"/>
      <c r="R79" s="2" t="str">
        <f t="shared" si="13"/>
        <v>11322|0|0|0|0|0|0|</v>
      </c>
      <c r="S79" s="25"/>
    </row>
    <row r="80" spans="1:19" s="34" customFormat="1" ht="12.75" customHeight="1" x14ac:dyDescent="0.2">
      <c r="A80" s="70" t="s">
        <v>336</v>
      </c>
      <c r="B80" s="61" t="s">
        <v>987</v>
      </c>
      <c r="C80" s="26">
        <v>0</v>
      </c>
      <c r="D80" s="27">
        <v>0</v>
      </c>
      <c r="E80" s="28">
        <v>0</v>
      </c>
      <c r="F80" s="29">
        <v>0</v>
      </c>
      <c r="G80" s="6">
        <f t="shared" si="8"/>
        <v>0</v>
      </c>
      <c r="H80" s="7">
        <f t="shared" si="8"/>
        <v>0</v>
      </c>
      <c r="I80" s="6">
        <f t="shared" si="9"/>
        <v>0</v>
      </c>
      <c r="J80" s="7">
        <f t="shared" si="10"/>
        <v>0</v>
      </c>
      <c r="K80" s="28">
        <v>0</v>
      </c>
      <c r="L80" s="29">
        <v>0</v>
      </c>
      <c r="M80" s="6">
        <f t="shared" si="11"/>
        <v>0</v>
      </c>
      <c r="N80" s="7">
        <f t="shared" si="12"/>
        <v>0</v>
      </c>
      <c r="O80" s="35"/>
      <c r="P80" s="36"/>
      <c r="Q80" s="59"/>
      <c r="R80" s="2" t="str">
        <f t="shared" si="13"/>
        <v>1211|0|0|0|0|0|0|</v>
      </c>
      <c r="S80" s="25"/>
    </row>
    <row r="81" spans="1:19" s="34" customFormat="1" ht="12.75" customHeight="1" x14ac:dyDescent="0.2">
      <c r="A81" s="70" t="s">
        <v>337</v>
      </c>
      <c r="B81" s="61" t="s">
        <v>988</v>
      </c>
      <c r="C81" s="26">
        <v>0</v>
      </c>
      <c r="D81" s="27">
        <v>0</v>
      </c>
      <c r="E81" s="28">
        <v>0</v>
      </c>
      <c r="F81" s="29">
        <v>0</v>
      </c>
      <c r="G81" s="6">
        <f t="shared" si="8"/>
        <v>0</v>
      </c>
      <c r="H81" s="7">
        <f t="shared" si="8"/>
        <v>0</v>
      </c>
      <c r="I81" s="6">
        <f t="shared" si="9"/>
        <v>0</v>
      </c>
      <c r="J81" s="7">
        <f t="shared" si="10"/>
        <v>0</v>
      </c>
      <c r="K81" s="28">
        <v>0</v>
      </c>
      <c r="L81" s="29">
        <v>0</v>
      </c>
      <c r="M81" s="6">
        <f t="shared" si="11"/>
        <v>0</v>
      </c>
      <c r="N81" s="7">
        <f t="shared" si="12"/>
        <v>0</v>
      </c>
      <c r="O81" s="35"/>
      <c r="P81" s="36"/>
      <c r="Q81" s="59"/>
      <c r="R81" s="2" t="str">
        <f t="shared" si="13"/>
        <v>1212|0|0|0|0|0|0|</v>
      </c>
      <c r="S81" s="25"/>
    </row>
    <row r="82" spans="1:19" s="34" customFormat="1" ht="12.75" customHeight="1" x14ac:dyDescent="0.2">
      <c r="A82" s="70" t="s">
        <v>338</v>
      </c>
      <c r="B82" s="61" t="s">
        <v>989</v>
      </c>
      <c r="C82" s="26">
        <v>0</v>
      </c>
      <c r="D82" s="27">
        <v>0</v>
      </c>
      <c r="E82" s="28">
        <v>0</v>
      </c>
      <c r="F82" s="29">
        <v>0</v>
      </c>
      <c r="G82" s="6">
        <f t="shared" si="8"/>
        <v>0</v>
      </c>
      <c r="H82" s="7">
        <f t="shared" si="8"/>
        <v>0</v>
      </c>
      <c r="I82" s="6">
        <f t="shared" si="9"/>
        <v>0</v>
      </c>
      <c r="J82" s="7">
        <f t="shared" si="10"/>
        <v>0</v>
      </c>
      <c r="K82" s="28">
        <v>0</v>
      </c>
      <c r="L82" s="29">
        <v>0</v>
      </c>
      <c r="M82" s="6">
        <f t="shared" si="11"/>
        <v>0</v>
      </c>
      <c r="N82" s="7">
        <f t="shared" si="12"/>
        <v>0</v>
      </c>
      <c r="O82" s="35"/>
      <c r="P82" s="36"/>
      <c r="Q82" s="59"/>
      <c r="R82" s="2" t="str">
        <f t="shared" si="13"/>
        <v>1213|0|0|0|0|0|0|</v>
      </c>
      <c r="S82" s="25"/>
    </row>
    <row r="83" spans="1:19" s="34" customFormat="1" ht="12.75" customHeight="1" x14ac:dyDescent="0.2">
      <c r="A83" s="70" t="s">
        <v>339</v>
      </c>
      <c r="B83" s="61" t="s">
        <v>990</v>
      </c>
      <c r="C83" s="26">
        <v>0</v>
      </c>
      <c r="D83" s="27">
        <v>0</v>
      </c>
      <c r="E83" s="28">
        <v>0</v>
      </c>
      <c r="F83" s="29">
        <v>0</v>
      </c>
      <c r="G83" s="6">
        <f t="shared" si="8"/>
        <v>0</v>
      </c>
      <c r="H83" s="7">
        <f t="shared" si="8"/>
        <v>0</v>
      </c>
      <c r="I83" s="6">
        <f t="shared" si="9"/>
        <v>0</v>
      </c>
      <c r="J83" s="7">
        <f t="shared" si="10"/>
        <v>0</v>
      </c>
      <c r="K83" s="28">
        <v>0</v>
      </c>
      <c r="L83" s="29">
        <v>0</v>
      </c>
      <c r="M83" s="6">
        <f t="shared" si="11"/>
        <v>0</v>
      </c>
      <c r="N83" s="7">
        <f t="shared" si="12"/>
        <v>0</v>
      </c>
      <c r="O83" s="35"/>
      <c r="P83" s="36"/>
      <c r="Q83" s="59"/>
      <c r="R83" s="2" t="str">
        <f t="shared" si="13"/>
        <v>1214|0|0|0|0|0|0|</v>
      </c>
      <c r="S83" s="25"/>
    </row>
    <row r="84" spans="1:19" s="34" customFormat="1" ht="12.75" customHeight="1" x14ac:dyDescent="0.2">
      <c r="A84" s="70" t="s">
        <v>340</v>
      </c>
      <c r="B84" s="63" t="s">
        <v>991</v>
      </c>
      <c r="C84" s="26">
        <v>0</v>
      </c>
      <c r="D84" s="27">
        <v>0</v>
      </c>
      <c r="E84" s="28">
        <v>0</v>
      </c>
      <c r="F84" s="29">
        <v>0</v>
      </c>
      <c r="G84" s="6">
        <f t="shared" si="8"/>
        <v>0</v>
      </c>
      <c r="H84" s="7">
        <f t="shared" si="8"/>
        <v>0</v>
      </c>
      <c r="I84" s="6">
        <f t="shared" si="9"/>
        <v>0</v>
      </c>
      <c r="J84" s="7">
        <f t="shared" si="10"/>
        <v>0</v>
      </c>
      <c r="K84" s="28">
        <v>0</v>
      </c>
      <c r="L84" s="29">
        <v>0</v>
      </c>
      <c r="M84" s="6">
        <f t="shared" si="11"/>
        <v>0</v>
      </c>
      <c r="N84" s="7">
        <f t="shared" si="12"/>
        <v>0</v>
      </c>
      <c r="O84" s="35"/>
      <c r="P84" s="36"/>
      <c r="Q84" s="59"/>
      <c r="R84" s="2" t="str">
        <f t="shared" si="13"/>
        <v>122|0|0|0|0|0|0|</v>
      </c>
      <c r="S84" s="25"/>
    </row>
    <row r="85" spans="1:19" s="34" customFormat="1" ht="12.75" customHeight="1" x14ac:dyDescent="0.2">
      <c r="A85" s="70" t="s">
        <v>341</v>
      </c>
      <c r="B85" s="61" t="s">
        <v>992</v>
      </c>
      <c r="C85" s="26">
        <v>0</v>
      </c>
      <c r="D85" s="27">
        <v>0</v>
      </c>
      <c r="E85" s="28">
        <v>0</v>
      </c>
      <c r="F85" s="29">
        <v>0</v>
      </c>
      <c r="G85" s="6">
        <f t="shared" si="8"/>
        <v>0</v>
      </c>
      <c r="H85" s="7">
        <f t="shared" si="8"/>
        <v>0</v>
      </c>
      <c r="I85" s="6">
        <f t="shared" si="9"/>
        <v>0</v>
      </c>
      <c r="J85" s="7">
        <f t="shared" si="10"/>
        <v>0</v>
      </c>
      <c r="K85" s="28">
        <v>0</v>
      </c>
      <c r="L85" s="29">
        <v>0</v>
      </c>
      <c r="M85" s="6">
        <f t="shared" si="11"/>
        <v>0</v>
      </c>
      <c r="N85" s="7">
        <f t="shared" si="12"/>
        <v>0</v>
      </c>
      <c r="O85" s="35"/>
      <c r="P85" s="36"/>
      <c r="Q85" s="59"/>
      <c r="R85" s="2" t="str">
        <f t="shared" si="13"/>
        <v>1231|0|0|0|0|0|0|</v>
      </c>
      <c r="S85" s="25"/>
    </row>
    <row r="86" spans="1:19" s="34" customFormat="1" ht="12.75" customHeight="1" x14ac:dyDescent="0.2">
      <c r="A86" s="70" t="s">
        <v>342</v>
      </c>
      <c r="B86" s="61" t="s">
        <v>993</v>
      </c>
      <c r="C86" s="26">
        <v>0</v>
      </c>
      <c r="D86" s="27">
        <v>0</v>
      </c>
      <c r="E86" s="28">
        <v>0</v>
      </c>
      <c r="F86" s="29">
        <v>0</v>
      </c>
      <c r="G86" s="6">
        <f t="shared" si="8"/>
        <v>0</v>
      </c>
      <c r="H86" s="7">
        <f t="shared" si="8"/>
        <v>0</v>
      </c>
      <c r="I86" s="6">
        <f t="shared" si="9"/>
        <v>0</v>
      </c>
      <c r="J86" s="7">
        <f t="shared" si="10"/>
        <v>0</v>
      </c>
      <c r="K86" s="28">
        <v>0</v>
      </c>
      <c r="L86" s="29">
        <v>0</v>
      </c>
      <c r="M86" s="6">
        <f t="shared" si="11"/>
        <v>0</v>
      </c>
      <c r="N86" s="7">
        <f t="shared" si="12"/>
        <v>0</v>
      </c>
      <c r="O86" s="35"/>
      <c r="P86" s="36"/>
      <c r="Q86" s="59"/>
      <c r="R86" s="2" t="str">
        <f t="shared" si="13"/>
        <v>1232|0|0|0|0|0|0|</v>
      </c>
      <c r="S86" s="25"/>
    </row>
    <row r="87" spans="1:19" s="34" customFormat="1" ht="12.75" customHeight="1" x14ac:dyDescent="0.2">
      <c r="A87" s="70" t="s">
        <v>343</v>
      </c>
      <c r="B87" s="61" t="s">
        <v>994</v>
      </c>
      <c r="C87" s="26">
        <v>0</v>
      </c>
      <c r="D87" s="27">
        <v>0</v>
      </c>
      <c r="E87" s="28">
        <v>0</v>
      </c>
      <c r="F87" s="29">
        <v>0</v>
      </c>
      <c r="G87" s="6">
        <f t="shared" si="8"/>
        <v>0</v>
      </c>
      <c r="H87" s="7">
        <f t="shared" si="8"/>
        <v>0</v>
      </c>
      <c r="I87" s="6">
        <f t="shared" si="9"/>
        <v>0</v>
      </c>
      <c r="J87" s="7">
        <f t="shared" si="10"/>
        <v>0</v>
      </c>
      <c r="K87" s="28">
        <v>0</v>
      </c>
      <c r="L87" s="29">
        <v>0</v>
      </c>
      <c r="M87" s="6">
        <f t="shared" si="11"/>
        <v>0</v>
      </c>
      <c r="N87" s="7">
        <f t="shared" si="12"/>
        <v>0</v>
      </c>
      <c r="O87" s="35"/>
      <c r="P87" s="36"/>
      <c r="Q87" s="59"/>
      <c r="R87" s="2" t="str">
        <f t="shared" si="13"/>
        <v>1233|0|0|0|0|0|0|</v>
      </c>
      <c r="S87" s="25"/>
    </row>
    <row r="88" spans="1:19" s="34" customFormat="1" ht="12.75" customHeight="1" x14ac:dyDescent="0.2">
      <c r="A88" s="70" t="s">
        <v>344</v>
      </c>
      <c r="B88" s="61" t="s">
        <v>995</v>
      </c>
      <c r="C88" s="26">
        <v>0</v>
      </c>
      <c r="D88" s="27">
        <v>0</v>
      </c>
      <c r="E88" s="28">
        <v>0</v>
      </c>
      <c r="F88" s="29">
        <v>0</v>
      </c>
      <c r="G88" s="6">
        <f t="shared" si="8"/>
        <v>0</v>
      </c>
      <c r="H88" s="7">
        <f t="shared" si="8"/>
        <v>0</v>
      </c>
      <c r="I88" s="6">
        <f t="shared" si="9"/>
        <v>0</v>
      </c>
      <c r="J88" s="7">
        <f t="shared" si="10"/>
        <v>0</v>
      </c>
      <c r="K88" s="28">
        <v>0</v>
      </c>
      <c r="L88" s="29">
        <v>0</v>
      </c>
      <c r="M88" s="6">
        <f t="shared" si="11"/>
        <v>0</v>
      </c>
      <c r="N88" s="7">
        <f t="shared" si="12"/>
        <v>0</v>
      </c>
      <c r="O88" s="35"/>
      <c r="P88" s="36"/>
      <c r="Q88" s="59"/>
      <c r="R88" s="2" t="str">
        <f t="shared" si="13"/>
        <v>13111|0|0|0|0|0|0|</v>
      </c>
      <c r="S88" s="25"/>
    </row>
    <row r="89" spans="1:19" s="34" customFormat="1" ht="12.75" customHeight="1" x14ac:dyDescent="0.2">
      <c r="A89" s="70" t="s">
        <v>345</v>
      </c>
      <c r="B89" s="61" t="s">
        <v>996</v>
      </c>
      <c r="C89" s="26">
        <v>0</v>
      </c>
      <c r="D89" s="27">
        <v>0</v>
      </c>
      <c r="E89" s="28">
        <v>0</v>
      </c>
      <c r="F89" s="29">
        <v>0</v>
      </c>
      <c r="G89" s="6">
        <f t="shared" si="8"/>
        <v>0</v>
      </c>
      <c r="H89" s="7">
        <f t="shared" si="8"/>
        <v>0</v>
      </c>
      <c r="I89" s="6">
        <f t="shared" si="9"/>
        <v>0</v>
      </c>
      <c r="J89" s="7">
        <f t="shared" si="10"/>
        <v>0</v>
      </c>
      <c r="K89" s="28">
        <v>0</v>
      </c>
      <c r="L89" s="29">
        <v>0</v>
      </c>
      <c r="M89" s="6">
        <f t="shared" si="11"/>
        <v>0</v>
      </c>
      <c r="N89" s="7">
        <f t="shared" si="12"/>
        <v>0</v>
      </c>
      <c r="O89" s="35"/>
      <c r="P89" s="36"/>
      <c r="Q89" s="59"/>
      <c r="R89" s="2" t="str">
        <f t="shared" si="13"/>
        <v>13112|0|0|0|0|0|0|</v>
      </c>
      <c r="S89" s="25"/>
    </row>
    <row r="90" spans="1:19" s="34" customFormat="1" ht="12.75" customHeight="1" x14ac:dyDescent="0.2">
      <c r="A90" s="70" t="s">
        <v>346</v>
      </c>
      <c r="B90" s="61" t="s">
        <v>997</v>
      </c>
      <c r="C90" s="26">
        <v>0</v>
      </c>
      <c r="D90" s="27">
        <v>0</v>
      </c>
      <c r="E90" s="28">
        <v>0</v>
      </c>
      <c r="F90" s="29">
        <v>0</v>
      </c>
      <c r="G90" s="6">
        <f t="shared" si="8"/>
        <v>0</v>
      </c>
      <c r="H90" s="7">
        <f t="shared" si="8"/>
        <v>0</v>
      </c>
      <c r="I90" s="6">
        <f t="shared" si="9"/>
        <v>0</v>
      </c>
      <c r="J90" s="7">
        <f t="shared" si="10"/>
        <v>0</v>
      </c>
      <c r="K90" s="28">
        <v>0</v>
      </c>
      <c r="L90" s="29">
        <v>0</v>
      </c>
      <c r="M90" s="6">
        <f t="shared" si="11"/>
        <v>0</v>
      </c>
      <c r="N90" s="7">
        <f t="shared" si="12"/>
        <v>0</v>
      </c>
      <c r="O90" s="35"/>
      <c r="P90" s="36"/>
      <c r="Q90" s="59"/>
      <c r="R90" s="2" t="str">
        <f t="shared" si="13"/>
        <v>13113|0|0|0|0|0|0|</v>
      </c>
      <c r="S90" s="25"/>
    </row>
    <row r="91" spans="1:19" s="34" customFormat="1" ht="12.75" customHeight="1" x14ac:dyDescent="0.2">
      <c r="A91" s="70" t="s">
        <v>347</v>
      </c>
      <c r="B91" s="61" t="s">
        <v>998</v>
      </c>
      <c r="C91" s="26">
        <v>0</v>
      </c>
      <c r="D91" s="27">
        <v>0</v>
      </c>
      <c r="E91" s="28">
        <v>0</v>
      </c>
      <c r="F91" s="29">
        <v>0</v>
      </c>
      <c r="G91" s="6">
        <f t="shared" si="8"/>
        <v>0</v>
      </c>
      <c r="H91" s="7">
        <f t="shared" si="8"/>
        <v>0</v>
      </c>
      <c r="I91" s="6">
        <f t="shared" si="9"/>
        <v>0</v>
      </c>
      <c r="J91" s="7">
        <f t="shared" si="10"/>
        <v>0</v>
      </c>
      <c r="K91" s="28">
        <v>0</v>
      </c>
      <c r="L91" s="29">
        <v>0</v>
      </c>
      <c r="M91" s="6">
        <f t="shared" si="11"/>
        <v>0</v>
      </c>
      <c r="N91" s="7">
        <f t="shared" si="12"/>
        <v>0</v>
      </c>
      <c r="O91" s="35"/>
      <c r="P91" s="36"/>
      <c r="Q91" s="59"/>
      <c r="R91" s="2" t="str">
        <f t="shared" si="13"/>
        <v>13114|0|0|0|0|0|0|</v>
      </c>
      <c r="S91" s="25"/>
    </row>
    <row r="92" spans="1:19" s="34" customFormat="1" ht="12.75" customHeight="1" x14ac:dyDescent="0.2">
      <c r="A92" s="70" t="s">
        <v>999</v>
      </c>
      <c r="B92" s="61" t="s">
        <v>1000</v>
      </c>
      <c r="C92" s="26">
        <v>0</v>
      </c>
      <c r="D92" s="27">
        <v>0</v>
      </c>
      <c r="E92" s="28">
        <v>0</v>
      </c>
      <c r="F92" s="29">
        <v>0</v>
      </c>
      <c r="G92" s="6">
        <f t="shared" si="8"/>
        <v>0</v>
      </c>
      <c r="H92" s="7">
        <f t="shared" si="8"/>
        <v>0</v>
      </c>
      <c r="I92" s="6">
        <f t="shared" si="9"/>
        <v>0</v>
      </c>
      <c r="J92" s="7">
        <f t="shared" si="10"/>
        <v>0</v>
      </c>
      <c r="K92" s="28">
        <v>0</v>
      </c>
      <c r="L92" s="29">
        <v>0</v>
      </c>
      <c r="M92" s="6">
        <f t="shared" si="11"/>
        <v>0</v>
      </c>
      <c r="N92" s="7">
        <f t="shared" si="12"/>
        <v>0</v>
      </c>
      <c r="O92" s="35"/>
      <c r="P92" s="36"/>
      <c r="Q92" s="59"/>
      <c r="R92" s="2" t="str">
        <f t="shared" si="13"/>
        <v>13115|0|0|0|0|0|0|</v>
      </c>
      <c r="S92" s="25"/>
    </row>
    <row r="93" spans="1:19" s="34" customFormat="1" ht="12.75" customHeight="1" x14ac:dyDescent="0.2">
      <c r="A93" s="70" t="s">
        <v>348</v>
      </c>
      <c r="B93" s="61" t="s">
        <v>1001</v>
      </c>
      <c r="C93" s="26">
        <v>0</v>
      </c>
      <c r="D93" s="27">
        <v>0</v>
      </c>
      <c r="E93" s="28">
        <v>0</v>
      </c>
      <c r="F93" s="29">
        <v>0</v>
      </c>
      <c r="G93" s="6">
        <f t="shared" si="8"/>
        <v>0</v>
      </c>
      <c r="H93" s="7">
        <f t="shared" si="8"/>
        <v>0</v>
      </c>
      <c r="I93" s="6">
        <f t="shared" si="9"/>
        <v>0</v>
      </c>
      <c r="J93" s="7">
        <f t="shared" si="10"/>
        <v>0</v>
      </c>
      <c r="K93" s="28">
        <v>0</v>
      </c>
      <c r="L93" s="29">
        <v>0</v>
      </c>
      <c r="M93" s="6">
        <f t="shared" si="11"/>
        <v>0</v>
      </c>
      <c r="N93" s="7">
        <f t="shared" si="12"/>
        <v>0</v>
      </c>
      <c r="O93" s="35"/>
      <c r="P93" s="36"/>
      <c r="Q93" s="59"/>
      <c r="R93" s="2" t="str">
        <f t="shared" si="13"/>
        <v>13121|0|0|0|0|0|0|</v>
      </c>
      <c r="S93" s="25"/>
    </row>
    <row r="94" spans="1:19" s="34" customFormat="1" ht="12.75" customHeight="1" x14ac:dyDescent="0.2">
      <c r="A94" s="70" t="s">
        <v>349</v>
      </c>
      <c r="B94" s="61" t="s">
        <v>1002</v>
      </c>
      <c r="C94" s="26">
        <v>0</v>
      </c>
      <c r="D94" s="27">
        <v>0</v>
      </c>
      <c r="E94" s="28">
        <v>0</v>
      </c>
      <c r="F94" s="29">
        <v>0</v>
      </c>
      <c r="G94" s="6">
        <f t="shared" si="8"/>
        <v>0</v>
      </c>
      <c r="H94" s="7">
        <f t="shared" si="8"/>
        <v>0</v>
      </c>
      <c r="I94" s="6">
        <f t="shared" si="9"/>
        <v>0</v>
      </c>
      <c r="J94" s="7">
        <f t="shared" si="10"/>
        <v>0</v>
      </c>
      <c r="K94" s="28">
        <v>0</v>
      </c>
      <c r="L94" s="29">
        <v>0</v>
      </c>
      <c r="M94" s="6">
        <f t="shared" si="11"/>
        <v>0</v>
      </c>
      <c r="N94" s="7">
        <f t="shared" si="12"/>
        <v>0</v>
      </c>
      <c r="O94" s="35"/>
      <c r="P94" s="36"/>
      <c r="Q94" s="59"/>
      <c r="R94" s="2" t="str">
        <f t="shared" si="13"/>
        <v>13122|0|0|0|0|0|0|</v>
      </c>
      <c r="S94" s="25"/>
    </row>
    <row r="95" spans="1:19" s="34" customFormat="1" ht="12.75" customHeight="1" x14ac:dyDescent="0.2">
      <c r="A95" s="70" t="s">
        <v>350</v>
      </c>
      <c r="B95" s="61" t="s">
        <v>1003</v>
      </c>
      <c r="C95" s="26">
        <v>0</v>
      </c>
      <c r="D95" s="27">
        <v>0</v>
      </c>
      <c r="E95" s="28">
        <v>0</v>
      </c>
      <c r="F95" s="29">
        <v>0</v>
      </c>
      <c r="G95" s="6">
        <f t="shared" si="8"/>
        <v>0</v>
      </c>
      <c r="H95" s="7">
        <f t="shared" si="8"/>
        <v>0</v>
      </c>
      <c r="I95" s="6">
        <f t="shared" si="9"/>
        <v>0</v>
      </c>
      <c r="J95" s="7">
        <f t="shared" si="10"/>
        <v>0</v>
      </c>
      <c r="K95" s="28">
        <v>0</v>
      </c>
      <c r="L95" s="29">
        <v>0</v>
      </c>
      <c r="M95" s="6">
        <f t="shared" si="11"/>
        <v>0</v>
      </c>
      <c r="N95" s="7">
        <f t="shared" si="12"/>
        <v>0</v>
      </c>
      <c r="O95" s="35"/>
      <c r="P95" s="36"/>
      <c r="Q95" s="59"/>
      <c r="R95" s="2" t="str">
        <f t="shared" si="13"/>
        <v>13123|0|0|0|0|0|0|</v>
      </c>
      <c r="S95" s="25"/>
    </row>
    <row r="96" spans="1:19" s="34" customFormat="1" ht="12.75" customHeight="1" x14ac:dyDescent="0.2">
      <c r="A96" s="70" t="s">
        <v>351</v>
      </c>
      <c r="B96" s="61" t="s">
        <v>1004</v>
      </c>
      <c r="C96" s="26">
        <v>0</v>
      </c>
      <c r="D96" s="27">
        <v>0</v>
      </c>
      <c r="E96" s="28">
        <v>0</v>
      </c>
      <c r="F96" s="29">
        <v>0</v>
      </c>
      <c r="G96" s="6">
        <f t="shared" si="8"/>
        <v>0</v>
      </c>
      <c r="H96" s="7">
        <f t="shared" si="8"/>
        <v>0</v>
      </c>
      <c r="I96" s="6">
        <f t="shared" si="9"/>
        <v>0</v>
      </c>
      <c r="J96" s="7">
        <f t="shared" si="10"/>
        <v>0</v>
      </c>
      <c r="K96" s="28">
        <v>0</v>
      </c>
      <c r="L96" s="29">
        <v>0</v>
      </c>
      <c r="M96" s="6">
        <f t="shared" si="11"/>
        <v>0</v>
      </c>
      <c r="N96" s="7">
        <f t="shared" si="12"/>
        <v>0</v>
      </c>
      <c r="O96" s="35"/>
      <c r="P96" s="36"/>
      <c r="Q96" s="59"/>
      <c r="R96" s="2" t="str">
        <f t="shared" si="13"/>
        <v>13124|0|0|0|0|0|0|</v>
      </c>
      <c r="S96" s="25"/>
    </row>
    <row r="97" spans="1:19" s="34" customFormat="1" ht="12.75" customHeight="1" x14ac:dyDescent="0.2">
      <c r="A97" s="70" t="s">
        <v>1005</v>
      </c>
      <c r="B97" s="61" t="s">
        <v>1006</v>
      </c>
      <c r="C97" s="26">
        <v>0</v>
      </c>
      <c r="D97" s="27">
        <v>0</v>
      </c>
      <c r="E97" s="28">
        <v>0</v>
      </c>
      <c r="F97" s="29">
        <v>0</v>
      </c>
      <c r="G97" s="6">
        <f t="shared" si="8"/>
        <v>0</v>
      </c>
      <c r="H97" s="7">
        <f t="shared" si="8"/>
        <v>0</v>
      </c>
      <c r="I97" s="6">
        <f t="shared" si="9"/>
        <v>0</v>
      </c>
      <c r="J97" s="7">
        <f t="shared" si="10"/>
        <v>0</v>
      </c>
      <c r="K97" s="28">
        <v>0</v>
      </c>
      <c r="L97" s="29">
        <v>0</v>
      </c>
      <c r="M97" s="6">
        <f t="shared" si="11"/>
        <v>0</v>
      </c>
      <c r="N97" s="7">
        <f t="shared" si="12"/>
        <v>0</v>
      </c>
      <c r="O97" s="35"/>
      <c r="P97" s="36"/>
      <c r="Q97" s="59"/>
      <c r="R97" s="2" t="str">
        <f t="shared" si="13"/>
        <v>13125|0|0|0|0|0|0|</v>
      </c>
      <c r="S97" s="25"/>
    </row>
    <row r="98" spans="1:19" s="34" customFormat="1" ht="12.75" customHeight="1" x14ac:dyDescent="0.2">
      <c r="A98" s="70" t="s">
        <v>352</v>
      </c>
      <c r="B98" s="61" t="s">
        <v>1007</v>
      </c>
      <c r="C98" s="26">
        <v>0</v>
      </c>
      <c r="D98" s="27">
        <v>0</v>
      </c>
      <c r="E98" s="28">
        <v>0</v>
      </c>
      <c r="F98" s="29">
        <v>0</v>
      </c>
      <c r="G98" s="6">
        <f t="shared" si="8"/>
        <v>0</v>
      </c>
      <c r="H98" s="7">
        <f t="shared" si="8"/>
        <v>0</v>
      </c>
      <c r="I98" s="6">
        <f t="shared" si="9"/>
        <v>0</v>
      </c>
      <c r="J98" s="7">
        <f t="shared" si="10"/>
        <v>0</v>
      </c>
      <c r="K98" s="28">
        <v>0</v>
      </c>
      <c r="L98" s="29">
        <v>0</v>
      </c>
      <c r="M98" s="6">
        <f t="shared" si="11"/>
        <v>0</v>
      </c>
      <c r="N98" s="7">
        <f t="shared" si="12"/>
        <v>0</v>
      </c>
      <c r="O98" s="35"/>
      <c r="P98" s="36"/>
      <c r="Q98" s="59"/>
      <c r="R98" s="2" t="str">
        <f t="shared" si="13"/>
        <v>13131|0|0|0|0|0|0|</v>
      </c>
      <c r="S98" s="25"/>
    </row>
    <row r="99" spans="1:19" s="34" customFormat="1" ht="12.75" customHeight="1" x14ac:dyDescent="0.2">
      <c r="A99" s="70" t="s">
        <v>353</v>
      </c>
      <c r="B99" s="61" t="s">
        <v>1008</v>
      </c>
      <c r="C99" s="26">
        <v>0</v>
      </c>
      <c r="D99" s="27">
        <v>0</v>
      </c>
      <c r="E99" s="28">
        <v>0</v>
      </c>
      <c r="F99" s="29">
        <v>0</v>
      </c>
      <c r="G99" s="6">
        <f t="shared" si="8"/>
        <v>0</v>
      </c>
      <c r="H99" s="7">
        <f t="shared" si="8"/>
        <v>0</v>
      </c>
      <c r="I99" s="6">
        <f t="shared" si="9"/>
        <v>0</v>
      </c>
      <c r="J99" s="7">
        <f t="shared" si="10"/>
        <v>0</v>
      </c>
      <c r="K99" s="28">
        <v>0</v>
      </c>
      <c r="L99" s="29">
        <v>0</v>
      </c>
      <c r="M99" s="6">
        <f t="shared" si="11"/>
        <v>0</v>
      </c>
      <c r="N99" s="7">
        <f t="shared" si="12"/>
        <v>0</v>
      </c>
      <c r="O99" s="35"/>
      <c r="P99" s="36"/>
      <c r="Q99" s="59"/>
      <c r="R99" s="2" t="str">
        <f t="shared" si="13"/>
        <v>13132|0|0|0|0|0|0|</v>
      </c>
      <c r="S99" s="25"/>
    </row>
    <row r="100" spans="1:19" s="34" customFormat="1" ht="12.75" customHeight="1" x14ac:dyDescent="0.2">
      <c r="A100" s="70" t="s">
        <v>354</v>
      </c>
      <c r="B100" s="61" t="s">
        <v>1009</v>
      </c>
      <c r="C100" s="26">
        <v>0</v>
      </c>
      <c r="D100" s="27">
        <v>0</v>
      </c>
      <c r="E100" s="28">
        <v>0</v>
      </c>
      <c r="F100" s="29">
        <v>0</v>
      </c>
      <c r="G100" s="6">
        <f t="shared" si="8"/>
        <v>0</v>
      </c>
      <c r="H100" s="7">
        <f t="shared" si="8"/>
        <v>0</v>
      </c>
      <c r="I100" s="6">
        <f t="shared" si="9"/>
        <v>0</v>
      </c>
      <c r="J100" s="7">
        <f t="shared" si="10"/>
        <v>0</v>
      </c>
      <c r="K100" s="28">
        <v>0</v>
      </c>
      <c r="L100" s="29">
        <v>0</v>
      </c>
      <c r="M100" s="6">
        <f t="shared" si="11"/>
        <v>0</v>
      </c>
      <c r="N100" s="7">
        <f t="shared" si="12"/>
        <v>0</v>
      </c>
      <c r="O100" s="35"/>
      <c r="P100" s="36"/>
      <c r="Q100" s="59"/>
      <c r="R100" s="2" t="str">
        <f t="shared" si="13"/>
        <v>13133|0|0|0|0|0|0|</v>
      </c>
      <c r="S100" s="25"/>
    </row>
    <row r="101" spans="1:19" s="34" customFormat="1" ht="12.75" customHeight="1" x14ac:dyDescent="0.2">
      <c r="A101" s="70" t="s">
        <v>355</v>
      </c>
      <c r="B101" s="61" t="s">
        <v>1010</v>
      </c>
      <c r="C101" s="26">
        <v>0</v>
      </c>
      <c r="D101" s="27">
        <v>0</v>
      </c>
      <c r="E101" s="28">
        <v>0</v>
      </c>
      <c r="F101" s="29">
        <v>0</v>
      </c>
      <c r="G101" s="6">
        <f t="shared" si="8"/>
        <v>0</v>
      </c>
      <c r="H101" s="7">
        <f t="shared" si="8"/>
        <v>0</v>
      </c>
      <c r="I101" s="6">
        <f t="shared" si="9"/>
        <v>0</v>
      </c>
      <c r="J101" s="7">
        <f t="shared" si="10"/>
        <v>0</v>
      </c>
      <c r="K101" s="28">
        <v>0</v>
      </c>
      <c r="L101" s="29">
        <v>0</v>
      </c>
      <c r="M101" s="6">
        <f t="shared" si="11"/>
        <v>0</v>
      </c>
      <c r="N101" s="7">
        <f t="shared" si="12"/>
        <v>0</v>
      </c>
      <c r="O101" s="35"/>
      <c r="P101" s="36"/>
      <c r="Q101" s="59"/>
      <c r="R101" s="2" t="str">
        <f t="shared" si="13"/>
        <v>13134|0|0|0|0|0|0|</v>
      </c>
      <c r="S101" s="25"/>
    </row>
    <row r="102" spans="1:19" s="34" customFormat="1" ht="12.75" customHeight="1" x14ac:dyDescent="0.2">
      <c r="A102" s="70" t="s">
        <v>1011</v>
      </c>
      <c r="B102" s="61" t="s">
        <v>1012</v>
      </c>
      <c r="C102" s="26">
        <v>0</v>
      </c>
      <c r="D102" s="27">
        <v>0</v>
      </c>
      <c r="E102" s="28">
        <v>0</v>
      </c>
      <c r="F102" s="29">
        <v>0</v>
      </c>
      <c r="G102" s="6">
        <f t="shared" si="8"/>
        <v>0</v>
      </c>
      <c r="H102" s="7">
        <f t="shared" si="8"/>
        <v>0</v>
      </c>
      <c r="I102" s="6">
        <f t="shared" si="9"/>
        <v>0</v>
      </c>
      <c r="J102" s="7">
        <f t="shared" si="10"/>
        <v>0</v>
      </c>
      <c r="K102" s="28">
        <v>0</v>
      </c>
      <c r="L102" s="29">
        <v>0</v>
      </c>
      <c r="M102" s="6">
        <f t="shared" si="11"/>
        <v>0</v>
      </c>
      <c r="N102" s="7">
        <f t="shared" si="12"/>
        <v>0</v>
      </c>
      <c r="O102" s="35"/>
      <c r="P102" s="36"/>
      <c r="Q102" s="59"/>
      <c r="R102" s="2" t="str">
        <f t="shared" si="13"/>
        <v>13135|0|0|0|0|0|0|</v>
      </c>
      <c r="S102" s="25"/>
    </row>
    <row r="103" spans="1:19" s="34" customFormat="1" ht="12.75" customHeight="1" x14ac:dyDescent="0.2">
      <c r="A103" s="70" t="s">
        <v>356</v>
      </c>
      <c r="B103" s="61" t="s">
        <v>1013</v>
      </c>
      <c r="C103" s="26">
        <v>0</v>
      </c>
      <c r="D103" s="27">
        <v>0</v>
      </c>
      <c r="E103" s="28">
        <v>0</v>
      </c>
      <c r="F103" s="29">
        <v>0</v>
      </c>
      <c r="G103" s="6">
        <f t="shared" si="8"/>
        <v>0</v>
      </c>
      <c r="H103" s="7">
        <f t="shared" si="8"/>
        <v>0</v>
      </c>
      <c r="I103" s="6">
        <f t="shared" si="9"/>
        <v>0</v>
      </c>
      <c r="J103" s="7">
        <f t="shared" si="10"/>
        <v>0</v>
      </c>
      <c r="K103" s="28">
        <v>0</v>
      </c>
      <c r="L103" s="29">
        <v>0</v>
      </c>
      <c r="M103" s="6">
        <f t="shared" si="11"/>
        <v>0</v>
      </c>
      <c r="N103" s="7">
        <f t="shared" si="12"/>
        <v>0</v>
      </c>
      <c r="O103" s="35"/>
      <c r="P103" s="36"/>
      <c r="Q103" s="59"/>
      <c r="R103" s="2" t="str">
        <f t="shared" si="13"/>
        <v>13141|0|0|0|0|0|0|</v>
      </c>
      <c r="S103" s="25"/>
    </row>
    <row r="104" spans="1:19" s="34" customFormat="1" ht="12.75" customHeight="1" x14ac:dyDescent="0.2">
      <c r="A104" s="70" t="s">
        <v>357</v>
      </c>
      <c r="B104" s="61" t="s">
        <v>1014</v>
      </c>
      <c r="C104" s="26">
        <v>0</v>
      </c>
      <c r="D104" s="27">
        <v>0</v>
      </c>
      <c r="E104" s="28">
        <v>0</v>
      </c>
      <c r="F104" s="29">
        <v>0</v>
      </c>
      <c r="G104" s="6">
        <f t="shared" si="8"/>
        <v>0</v>
      </c>
      <c r="H104" s="7">
        <f t="shared" si="8"/>
        <v>0</v>
      </c>
      <c r="I104" s="6">
        <f t="shared" si="9"/>
        <v>0</v>
      </c>
      <c r="J104" s="7">
        <f t="shared" si="10"/>
        <v>0</v>
      </c>
      <c r="K104" s="28">
        <v>0</v>
      </c>
      <c r="L104" s="29">
        <v>0</v>
      </c>
      <c r="M104" s="6">
        <f t="shared" si="11"/>
        <v>0</v>
      </c>
      <c r="N104" s="7">
        <f t="shared" si="12"/>
        <v>0</v>
      </c>
      <c r="O104" s="35"/>
      <c r="P104" s="36"/>
      <c r="Q104" s="59"/>
      <c r="R104" s="2" t="str">
        <f t="shared" si="13"/>
        <v>13142|0|0|0|0|0|0|</v>
      </c>
      <c r="S104" s="25"/>
    </row>
    <row r="105" spans="1:19" s="34" customFormat="1" ht="12.75" customHeight="1" x14ac:dyDescent="0.2">
      <c r="A105" s="70" t="s">
        <v>358</v>
      </c>
      <c r="B105" s="61" t="s">
        <v>1015</v>
      </c>
      <c r="C105" s="26">
        <v>0</v>
      </c>
      <c r="D105" s="27">
        <v>0</v>
      </c>
      <c r="E105" s="28">
        <v>0</v>
      </c>
      <c r="F105" s="29">
        <v>0</v>
      </c>
      <c r="G105" s="6">
        <f t="shared" si="8"/>
        <v>0</v>
      </c>
      <c r="H105" s="7">
        <f t="shared" si="8"/>
        <v>0</v>
      </c>
      <c r="I105" s="6">
        <f t="shared" si="9"/>
        <v>0</v>
      </c>
      <c r="J105" s="7">
        <f t="shared" si="10"/>
        <v>0</v>
      </c>
      <c r="K105" s="28">
        <v>0</v>
      </c>
      <c r="L105" s="29">
        <v>0</v>
      </c>
      <c r="M105" s="6">
        <f t="shared" si="11"/>
        <v>0</v>
      </c>
      <c r="N105" s="7">
        <f t="shared" si="12"/>
        <v>0</v>
      </c>
      <c r="O105" s="35"/>
      <c r="P105" s="36"/>
      <c r="Q105" s="59"/>
      <c r="R105" s="2" t="str">
        <f t="shared" si="13"/>
        <v>13143|0|0|0|0|0|0|</v>
      </c>
      <c r="S105" s="25"/>
    </row>
    <row r="106" spans="1:19" s="34" customFormat="1" ht="12.75" customHeight="1" x14ac:dyDescent="0.2">
      <c r="A106" s="70" t="s">
        <v>359</v>
      </c>
      <c r="B106" s="61" t="s">
        <v>1016</v>
      </c>
      <c r="C106" s="26">
        <v>0</v>
      </c>
      <c r="D106" s="27">
        <v>0</v>
      </c>
      <c r="E106" s="28">
        <v>0</v>
      </c>
      <c r="F106" s="29">
        <v>0</v>
      </c>
      <c r="G106" s="6">
        <f t="shared" si="8"/>
        <v>0</v>
      </c>
      <c r="H106" s="7">
        <f t="shared" si="8"/>
        <v>0</v>
      </c>
      <c r="I106" s="6">
        <f t="shared" si="9"/>
        <v>0</v>
      </c>
      <c r="J106" s="7">
        <f t="shared" si="10"/>
        <v>0</v>
      </c>
      <c r="K106" s="28">
        <v>0</v>
      </c>
      <c r="L106" s="29">
        <v>0</v>
      </c>
      <c r="M106" s="6">
        <f t="shared" si="11"/>
        <v>0</v>
      </c>
      <c r="N106" s="7">
        <f t="shared" si="12"/>
        <v>0</v>
      </c>
      <c r="O106" s="35"/>
      <c r="P106" s="36"/>
      <c r="Q106" s="59"/>
      <c r="R106" s="2" t="str">
        <f t="shared" si="13"/>
        <v>13144|0|0|0|0|0|0|</v>
      </c>
      <c r="S106" s="25"/>
    </row>
    <row r="107" spans="1:19" s="34" customFormat="1" ht="12.75" customHeight="1" x14ac:dyDescent="0.2">
      <c r="A107" s="70" t="s">
        <v>1017</v>
      </c>
      <c r="B107" s="61" t="s">
        <v>1018</v>
      </c>
      <c r="C107" s="26">
        <v>0</v>
      </c>
      <c r="D107" s="27">
        <v>0</v>
      </c>
      <c r="E107" s="28">
        <v>0</v>
      </c>
      <c r="F107" s="29">
        <v>0</v>
      </c>
      <c r="G107" s="6">
        <f t="shared" ref="G107:H170" si="14">+C107+E107</f>
        <v>0</v>
      </c>
      <c r="H107" s="7">
        <f t="shared" si="14"/>
        <v>0</v>
      </c>
      <c r="I107" s="6">
        <f t="shared" si="9"/>
        <v>0</v>
      </c>
      <c r="J107" s="7">
        <f t="shared" si="10"/>
        <v>0</v>
      </c>
      <c r="K107" s="28">
        <v>0</v>
      </c>
      <c r="L107" s="29">
        <v>0</v>
      </c>
      <c r="M107" s="6">
        <f t="shared" si="11"/>
        <v>0</v>
      </c>
      <c r="N107" s="7">
        <f t="shared" si="12"/>
        <v>0</v>
      </c>
      <c r="O107" s="35"/>
      <c r="P107" s="36"/>
      <c r="Q107" s="59"/>
      <c r="R107" s="2" t="str">
        <f t="shared" si="13"/>
        <v>13145|0|0|0|0|0|0|</v>
      </c>
      <c r="S107" s="25"/>
    </row>
    <row r="108" spans="1:19" s="34" customFormat="1" ht="12.75" customHeight="1" x14ac:dyDescent="0.2">
      <c r="A108" s="70" t="s">
        <v>1019</v>
      </c>
      <c r="B108" s="61" t="s">
        <v>1020</v>
      </c>
      <c r="C108" s="26">
        <v>0</v>
      </c>
      <c r="D108" s="27">
        <v>0</v>
      </c>
      <c r="E108" s="28">
        <v>0</v>
      </c>
      <c r="F108" s="29">
        <v>0</v>
      </c>
      <c r="G108" s="6">
        <f t="shared" si="14"/>
        <v>0</v>
      </c>
      <c r="H108" s="7">
        <f t="shared" si="14"/>
        <v>0</v>
      </c>
      <c r="I108" s="6">
        <f t="shared" si="9"/>
        <v>0</v>
      </c>
      <c r="J108" s="7">
        <f t="shared" si="10"/>
        <v>0</v>
      </c>
      <c r="K108" s="28">
        <v>0</v>
      </c>
      <c r="L108" s="29">
        <v>0</v>
      </c>
      <c r="M108" s="6">
        <f t="shared" si="11"/>
        <v>0</v>
      </c>
      <c r="N108" s="7">
        <f t="shared" si="12"/>
        <v>0</v>
      </c>
      <c r="O108" s="35"/>
      <c r="P108" s="36"/>
      <c r="Q108" s="59"/>
      <c r="R108" s="2" t="str">
        <f t="shared" si="13"/>
        <v>13211|0|0|0|0|0|0|</v>
      </c>
      <c r="S108" s="25"/>
    </row>
    <row r="109" spans="1:19" s="34" customFormat="1" ht="12.75" customHeight="1" x14ac:dyDescent="0.2">
      <c r="A109" s="70" t="s">
        <v>1021</v>
      </c>
      <c r="B109" s="61" t="s">
        <v>1022</v>
      </c>
      <c r="C109" s="26">
        <v>0</v>
      </c>
      <c r="D109" s="27">
        <v>0</v>
      </c>
      <c r="E109" s="28">
        <v>0</v>
      </c>
      <c r="F109" s="29">
        <v>0</v>
      </c>
      <c r="G109" s="6">
        <f t="shared" si="14"/>
        <v>0</v>
      </c>
      <c r="H109" s="7">
        <f t="shared" si="14"/>
        <v>0</v>
      </c>
      <c r="I109" s="6">
        <f t="shared" si="9"/>
        <v>0</v>
      </c>
      <c r="J109" s="7">
        <f t="shared" si="10"/>
        <v>0</v>
      </c>
      <c r="K109" s="28">
        <v>0</v>
      </c>
      <c r="L109" s="29">
        <v>0</v>
      </c>
      <c r="M109" s="6">
        <f t="shared" si="11"/>
        <v>0</v>
      </c>
      <c r="N109" s="7">
        <f t="shared" si="12"/>
        <v>0</v>
      </c>
      <c r="O109" s="35"/>
      <c r="P109" s="36"/>
      <c r="Q109" s="59"/>
      <c r="R109" s="2" t="str">
        <f t="shared" si="13"/>
        <v>13212|0|0|0|0|0|0|</v>
      </c>
      <c r="S109" s="25"/>
    </row>
    <row r="110" spans="1:19" s="34" customFormat="1" ht="12.75" customHeight="1" x14ac:dyDescent="0.2">
      <c r="A110" s="70" t="s">
        <v>1023</v>
      </c>
      <c r="B110" s="61" t="s">
        <v>1024</v>
      </c>
      <c r="C110" s="26">
        <v>0</v>
      </c>
      <c r="D110" s="27">
        <v>0</v>
      </c>
      <c r="E110" s="28">
        <v>0</v>
      </c>
      <c r="F110" s="29">
        <v>0</v>
      </c>
      <c r="G110" s="6">
        <f t="shared" si="14"/>
        <v>0</v>
      </c>
      <c r="H110" s="7">
        <f t="shared" si="14"/>
        <v>0</v>
      </c>
      <c r="I110" s="6">
        <f t="shared" si="9"/>
        <v>0</v>
      </c>
      <c r="J110" s="7">
        <f t="shared" si="10"/>
        <v>0</v>
      </c>
      <c r="K110" s="28">
        <v>0</v>
      </c>
      <c r="L110" s="29">
        <v>0</v>
      </c>
      <c r="M110" s="6">
        <f t="shared" si="11"/>
        <v>0</v>
      </c>
      <c r="N110" s="7">
        <f t="shared" si="12"/>
        <v>0</v>
      </c>
      <c r="O110" s="35"/>
      <c r="P110" s="36"/>
      <c r="Q110" s="59"/>
      <c r="R110" s="2" t="str">
        <f t="shared" si="13"/>
        <v>13213|0|0|0|0|0|0|</v>
      </c>
      <c r="S110" s="25"/>
    </row>
    <row r="111" spans="1:19" s="34" customFormat="1" ht="12.75" customHeight="1" x14ac:dyDescent="0.2">
      <c r="A111" s="70" t="s">
        <v>1025</v>
      </c>
      <c r="B111" s="61" t="s">
        <v>1026</v>
      </c>
      <c r="C111" s="26">
        <v>0</v>
      </c>
      <c r="D111" s="27">
        <v>0</v>
      </c>
      <c r="E111" s="28">
        <v>0</v>
      </c>
      <c r="F111" s="29">
        <v>0</v>
      </c>
      <c r="G111" s="6">
        <f t="shared" si="14"/>
        <v>0</v>
      </c>
      <c r="H111" s="7">
        <f t="shared" si="14"/>
        <v>0</v>
      </c>
      <c r="I111" s="6">
        <f t="shared" si="9"/>
        <v>0</v>
      </c>
      <c r="J111" s="7">
        <f t="shared" si="10"/>
        <v>0</v>
      </c>
      <c r="K111" s="28">
        <v>0</v>
      </c>
      <c r="L111" s="29">
        <v>0</v>
      </c>
      <c r="M111" s="6">
        <f t="shared" si="11"/>
        <v>0</v>
      </c>
      <c r="N111" s="7">
        <f t="shared" si="12"/>
        <v>0</v>
      </c>
      <c r="O111" s="35"/>
      <c r="P111" s="36"/>
      <c r="Q111" s="59"/>
      <c r="R111" s="2" t="str">
        <f t="shared" si="13"/>
        <v>13214|0|0|0|0|0|0|</v>
      </c>
      <c r="S111" s="25"/>
    </row>
    <row r="112" spans="1:19" s="34" customFormat="1" ht="12.75" customHeight="1" x14ac:dyDescent="0.2">
      <c r="A112" s="70" t="s">
        <v>1027</v>
      </c>
      <c r="B112" s="61" t="s">
        <v>1028</v>
      </c>
      <c r="C112" s="26">
        <v>0</v>
      </c>
      <c r="D112" s="27">
        <v>0</v>
      </c>
      <c r="E112" s="28">
        <v>0</v>
      </c>
      <c r="F112" s="29">
        <v>0</v>
      </c>
      <c r="G112" s="6">
        <f t="shared" si="14"/>
        <v>0</v>
      </c>
      <c r="H112" s="7">
        <f t="shared" si="14"/>
        <v>0</v>
      </c>
      <c r="I112" s="6">
        <f t="shared" si="9"/>
        <v>0</v>
      </c>
      <c r="J112" s="7">
        <f t="shared" si="10"/>
        <v>0</v>
      </c>
      <c r="K112" s="28">
        <v>0</v>
      </c>
      <c r="L112" s="29">
        <v>0</v>
      </c>
      <c r="M112" s="6">
        <f t="shared" si="11"/>
        <v>0</v>
      </c>
      <c r="N112" s="7">
        <f t="shared" si="12"/>
        <v>0</v>
      </c>
      <c r="O112" s="35"/>
      <c r="P112" s="36"/>
      <c r="Q112" s="59"/>
      <c r="R112" s="2" t="str">
        <f t="shared" si="13"/>
        <v>13215|0|0|0|0|0|0|</v>
      </c>
      <c r="S112" s="25"/>
    </row>
    <row r="113" spans="1:19" s="34" customFormat="1" ht="12.75" customHeight="1" x14ac:dyDescent="0.2">
      <c r="A113" s="70" t="s">
        <v>360</v>
      </c>
      <c r="B113" s="61" t="s">
        <v>1029</v>
      </c>
      <c r="C113" s="26">
        <v>0</v>
      </c>
      <c r="D113" s="27">
        <v>0</v>
      </c>
      <c r="E113" s="28">
        <v>0</v>
      </c>
      <c r="F113" s="29">
        <v>0</v>
      </c>
      <c r="G113" s="6">
        <f t="shared" si="14"/>
        <v>0</v>
      </c>
      <c r="H113" s="7">
        <f t="shared" si="14"/>
        <v>0</v>
      </c>
      <c r="I113" s="6">
        <f t="shared" si="9"/>
        <v>0</v>
      </c>
      <c r="J113" s="7">
        <f t="shared" si="10"/>
        <v>0</v>
      </c>
      <c r="K113" s="28">
        <v>0</v>
      </c>
      <c r="L113" s="29">
        <v>0</v>
      </c>
      <c r="M113" s="6">
        <f t="shared" si="11"/>
        <v>0</v>
      </c>
      <c r="N113" s="7">
        <f t="shared" si="12"/>
        <v>0</v>
      </c>
      <c r="O113" s="35"/>
      <c r="P113" s="36"/>
      <c r="Q113" s="59"/>
      <c r="R113" s="2" t="str">
        <f t="shared" si="13"/>
        <v>13311|0|0|0|0|0|0|</v>
      </c>
      <c r="S113" s="25"/>
    </row>
    <row r="114" spans="1:19" s="34" customFormat="1" ht="12.75" customHeight="1" x14ac:dyDescent="0.2">
      <c r="A114" s="70" t="s">
        <v>361</v>
      </c>
      <c r="B114" s="61" t="s">
        <v>1030</v>
      </c>
      <c r="C114" s="26">
        <v>0</v>
      </c>
      <c r="D114" s="27">
        <v>0</v>
      </c>
      <c r="E114" s="28">
        <v>0</v>
      </c>
      <c r="F114" s="29">
        <v>0</v>
      </c>
      <c r="G114" s="6">
        <f t="shared" si="14"/>
        <v>0</v>
      </c>
      <c r="H114" s="7">
        <f t="shared" si="14"/>
        <v>0</v>
      </c>
      <c r="I114" s="6">
        <f t="shared" si="9"/>
        <v>0</v>
      </c>
      <c r="J114" s="7">
        <f t="shared" si="10"/>
        <v>0</v>
      </c>
      <c r="K114" s="28">
        <v>0</v>
      </c>
      <c r="L114" s="29">
        <v>0</v>
      </c>
      <c r="M114" s="6">
        <f t="shared" si="11"/>
        <v>0</v>
      </c>
      <c r="N114" s="7">
        <f t="shared" si="12"/>
        <v>0</v>
      </c>
      <c r="O114" s="35"/>
      <c r="P114" s="36"/>
      <c r="Q114" s="59"/>
      <c r="R114" s="2" t="str">
        <f t="shared" si="13"/>
        <v>13312|0|0|0|0|0|0|</v>
      </c>
      <c r="S114" s="25"/>
    </row>
    <row r="115" spans="1:19" s="34" customFormat="1" ht="12.75" customHeight="1" x14ac:dyDescent="0.2">
      <c r="A115" s="70" t="s">
        <v>362</v>
      </c>
      <c r="B115" s="61" t="s">
        <v>1031</v>
      </c>
      <c r="C115" s="26">
        <v>0</v>
      </c>
      <c r="D115" s="27">
        <v>0</v>
      </c>
      <c r="E115" s="28">
        <v>0</v>
      </c>
      <c r="F115" s="29">
        <v>0</v>
      </c>
      <c r="G115" s="6">
        <f t="shared" si="14"/>
        <v>0</v>
      </c>
      <c r="H115" s="7">
        <f t="shared" si="14"/>
        <v>0</v>
      </c>
      <c r="I115" s="6">
        <f t="shared" si="9"/>
        <v>0</v>
      </c>
      <c r="J115" s="7">
        <f t="shared" si="10"/>
        <v>0</v>
      </c>
      <c r="K115" s="28">
        <v>0</v>
      </c>
      <c r="L115" s="29">
        <v>0</v>
      </c>
      <c r="M115" s="6">
        <f t="shared" si="11"/>
        <v>0</v>
      </c>
      <c r="N115" s="7">
        <f t="shared" si="12"/>
        <v>0</v>
      </c>
      <c r="O115" s="35"/>
      <c r="P115" s="36"/>
      <c r="Q115" s="59"/>
      <c r="R115" s="2" t="str">
        <f t="shared" si="13"/>
        <v>13313|0|0|0|0|0|0|</v>
      </c>
      <c r="S115" s="25"/>
    </row>
    <row r="116" spans="1:19" s="34" customFormat="1" ht="12.75" customHeight="1" x14ac:dyDescent="0.2">
      <c r="A116" s="70" t="s">
        <v>363</v>
      </c>
      <c r="B116" s="61" t="s">
        <v>1032</v>
      </c>
      <c r="C116" s="26">
        <v>0</v>
      </c>
      <c r="D116" s="27">
        <v>0</v>
      </c>
      <c r="E116" s="28">
        <v>0</v>
      </c>
      <c r="F116" s="29">
        <v>0</v>
      </c>
      <c r="G116" s="6">
        <f t="shared" si="14"/>
        <v>0</v>
      </c>
      <c r="H116" s="7">
        <f t="shared" si="14"/>
        <v>0</v>
      </c>
      <c r="I116" s="6">
        <f t="shared" si="9"/>
        <v>0</v>
      </c>
      <c r="J116" s="7">
        <f t="shared" si="10"/>
        <v>0</v>
      </c>
      <c r="K116" s="28">
        <v>0</v>
      </c>
      <c r="L116" s="29">
        <v>0</v>
      </c>
      <c r="M116" s="6">
        <f t="shared" si="11"/>
        <v>0</v>
      </c>
      <c r="N116" s="7">
        <f t="shared" si="12"/>
        <v>0</v>
      </c>
      <c r="O116" s="35"/>
      <c r="P116" s="36"/>
      <c r="Q116" s="59"/>
      <c r="R116" s="2" t="str">
        <f t="shared" si="13"/>
        <v>13314|0|0|0|0|0|0|</v>
      </c>
      <c r="S116" s="25"/>
    </row>
    <row r="117" spans="1:19" s="34" customFormat="1" ht="12.75" customHeight="1" x14ac:dyDescent="0.2">
      <c r="A117" s="70" t="s">
        <v>1033</v>
      </c>
      <c r="B117" s="61" t="s">
        <v>1034</v>
      </c>
      <c r="C117" s="26">
        <v>0</v>
      </c>
      <c r="D117" s="27">
        <v>0</v>
      </c>
      <c r="E117" s="28">
        <v>0</v>
      </c>
      <c r="F117" s="29">
        <v>0</v>
      </c>
      <c r="G117" s="6">
        <f t="shared" si="14"/>
        <v>0</v>
      </c>
      <c r="H117" s="7">
        <f t="shared" si="14"/>
        <v>0</v>
      </c>
      <c r="I117" s="6">
        <f t="shared" si="9"/>
        <v>0</v>
      </c>
      <c r="J117" s="7">
        <f t="shared" si="10"/>
        <v>0</v>
      </c>
      <c r="K117" s="28">
        <v>0</v>
      </c>
      <c r="L117" s="29">
        <v>0</v>
      </c>
      <c r="M117" s="6">
        <f t="shared" si="11"/>
        <v>0</v>
      </c>
      <c r="N117" s="7">
        <f t="shared" si="12"/>
        <v>0</v>
      </c>
      <c r="O117" s="35"/>
      <c r="P117" s="36"/>
      <c r="Q117" s="59"/>
      <c r="R117" s="2" t="str">
        <f t="shared" si="13"/>
        <v>13315|0|0|0|0|0|0|</v>
      </c>
      <c r="S117" s="25"/>
    </row>
    <row r="118" spans="1:19" s="34" customFormat="1" ht="12.75" customHeight="1" x14ac:dyDescent="0.2">
      <c r="A118" s="70" t="s">
        <v>364</v>
      </c>
      <c r="B118" s="61" t="s">
        <v>1035</v>
      </c>
      <c r="C118" s="26">
        <v>0</v>
      </c>
      <c r="D118" s="27">
        <v>0</v>
      </c>
      <c r="E118" s="28">
        <v>0</v>
      </c>
      <c r="F118" s="29">
        <v>0</v>
      </c>
      <c r="G118" s="6">
        <f t="shared" si="14"/>
        <v>0</v>
      </c>
      <c r="H118" s="7">
        <f t="shared" si="14"/>
        <v>0</v>
      </c>
      <c r="I118" s="6">
        <f t="shared" si="9"/>
        <v>0</v>
      </c>
      <c r="J118" s="7">
        <f t="shared" si="10"/>
        <v>0</v>
      </c>
      <c r="K118" s="28">
        <v>0</v>
      </c>
      <c r="L118" s="29">
        <v>0</v>
      </c>
      <c r="M118" s="6">
        <f t="shared" si="11"/>
        <v>0</v>
      </c>
      <c r="N118" s="7">
        <f t="shared" si="12"/>
        <v>0</v>
      </c>
      <c r="O118" s="35"/>
      <c r="P118" s="36"/>
      <c r="Q118" s="59"/>
      <c r="R118" s="2" t="str">
        <f t="shared" si="13"/>
        <v>13321|0|0|0|0|0|0|</v>
      </c>
      <c r="S118" s="25"/>
    </row>
    <row r="119" spans="1:19" s="34" customFormat="1" ht="12.75" customHeight="1" x14ac:dyDescent="0.2">
      <c r="A119" s="70" t="s">
        <v>365</v>
      </c>
      <c r="B119" s="61" t="s">
        <v>1036</v>
      </c>
      <c r="C119" s="26">
        <v>0</v>
      </c>
      <c r="D119" s="27">
        <v>0</v>
      </c>
      <c r="E119" s="28">
        <v>0</v>
      </c>
      <c r="F119" s="29">
        <v>0</v>
      </c>
      <c r="G119" s="6">
        <f t="shared" si="14"/>
        <v>0</v>
      </c>
      <c r="H119" s="7">
        <f t="shared" si="14"/>
        <v>0</v>
      </c>
      <c r="I119" s="6">
        <f t="shared" si="9"/>
        <v>0</v>
      </c>
      <c r="J119" s="7">
        <f t="shared" si="10"/>
        <v>0</v>
      </c>
      <c r="K119" s="28">
        <v>0</v>
      </c>
      <c r="L119" s="29">
        <v>0</v>
      </c>
      <c r="M119" s="6">
        <f t="shared" si="11"/>
        <v>0</v>
      </c>
      <c r="N119" s="7">
        <f t="shared" si="12"/>
        <v>0</v>
      </c>
      <c r="O119" s="35"/>
      <c r="P119" s="36"/>
      <c r="Q119" s="59"/>
      <c r="R119" s="2" t="str">
        <f t="shared" si="13"/>
        <v>13322|0|0|0|0|0|0|</v>
      </c>
      <c r="S119" s="25"/>
    </row>
    <row r="120" spans="1:19" s="34" customFormat="1" ht="12.75" customHeight="1" x14ac:dyDescent="0.2">
      <c r="A120" s="70" t="s">
        <v>419</v>
      </c>
      <c r="B120" s="61" t="s">
        <v>1037</v>
      </c>
      <c r="C120" s="26">
        <v>0</v>
      </c>
      <c r="D120" s="27">
        <v>0</v>
      </c>
      <c r="E120" s="28">
        <v>0</v>
      </c>
      <c r="F120" s="29">
        <v>0</v>
      </c>
      <c r="G120" s="6">
        <f t="shared" si="14"/>
        <v>0</v>
      </c>
      <c r="H120" s="7">
        <f t="shared" si="14"/>
        <v>0</v>
      </c>
      <c r="I120" s="6">
        <f t="shared" si="9"/>
        <v>0</v>
      </c>
      <c r="J120" s="7">
        <f t="shared" si="10"/>
        <v>0</v>
      </c>
      <c r="K120" s="28">
        <v>0</v>
      </c>
      <c r="L120" s="29">
        <v>0</v>
      </c>
      <c r="M120" s="6">
        <f t="shared" si="11"/>
        <v>0</v>
      </c>
      <c r="N120" s="7">
        <f t="shared" si="12"/>
        <v>0</v>
      </c>
      <c r="O120" s="35"/>
      <c r="P120" s="36"/>
      <c r="Q120" s="59"/>
      <c r="R120" s="2" t="str">
        <f t="shared" si="13"/>
        <v>13323|0|0|0|0|0|0|</v>
      </c>
      <c r="S120" s="25"/>
    </row>
    <row r="121" spans="1:19" s="34" customFormat="1" ht="12.75" customHeight="1" x14ac:dyDescent="0.2">
      <c r="A121" s="70" t="s">
        <v>420</v>
      </c>
      <c r="B121" s="61" t="s">
        <v>1038</v>
      </c>
      <c r="C121" s="26">
        <v>0</v>
      </c>
      <c r="D121" s="27">
        <v>0</v>
      </c>
      <c r="E121" s="28">
        <v>0</v>
      </c>
      <c r="F121" s="29">
        <v>0</v>
      </c>
      <c r="G121" s="6">
        <f t="shared" si="14"/>
        <v>0</v>
      </c>
      <c r="H121" s="7">
        <f t="shared" si="14"/>
        <v>0</v>
      </c>
      <c r="I121" s="6">
        <f t="shared" si="9"/>
        <v>0</v>
      </c>
      <c r="J121" s="7">
        <f t="shared" si="10"/>
        <v>0</v>
      </c>
      <c r="K121" s="28">
        <v>0</v>
      </c>
      <c r="L121" s="29">
        <v>0</v>
      </c>
      <c r="M121" s="6">
        <f t="shared" si="11"/>
        <v>0</v>
      </c>
      <c r="N121" s="7">
        <f t="shared" si="12"/>
        <v>0</v>
      </c>
      <c r="O121" s="35"/>
      <c r="P121" s="36"/>
      <c r="Q121" s="59"/>
      <c r="R121" s="2" t="str">
        <f t="shared" si="13"/>
        <v>13324|0|0|0|0|0|0|</v>
      </c>
      <c r="S121" s="25"/>
    </row>
    <row r="122" spans="1:19" s="34" customFormat="1" ht="12.75" customHeight="1" x14ac:dyDescent="0.2">
      <c r="A122" s="70" t="s">
        <v>1039</v>
      </c>
      <c r="B122" s="61" t="s">
        <v>1040</v>
      </c>
      <c r="C122" s="26">
        <v>0</v>
      </c>
      <c r="D122" s="27">
        <v>0</v>
      </c>
      <c r="E122" s="28">
        <v>0</v>
      </c>
      <c r="F122" s="29">
        <v>0</v>
      </c>
      <c r="G122" s="6">
        <f t="shared" si="14"/>
        <v>0</v>
      </c>
      <c r="H122" s="7">
        <f t="shared" si="14"/>
        <v>0</v>
      </c>
      <c r="I122" s="6">
        <f t="shared" si="9"/>
        <v>0</v>
      </c>
      <c r="J122" s="7">
        <f t="shared" si="10"/>
        <v>0</v>
      </c>
      <c r="K122" s="28">
        <v>0</v>
      </c>
      <c r="L122" s="29">
        <v>0</v>
      </c>
      <c r="M122" s="6">
        <f t="shared" si="11"/>
        <v>0</v>
      </c>
      <c r="N122" s="7">
        <f t="shared" si="12"/>
        <v>0</v>
      </c>
      <c r="O122" s="35"/>
      <c r="P122" s="36"/>
      <c r="Q122" s="59"/>
      <c r="R122" s="2" t="str">
        <f t="shared" si="13"/>
        <v>13325|0|0|0|0|0|0|</v>
      </c>
      <c r="S122" s="25"/>
    </row>
    <row r="123" spans="1:19" s="34" customFormat="1" ht="12.75" customHeight="1" x14ac:dyDescent="0.2">
      <c r="A123" s="70" t="s">
        <v>421</v>
      </c>
      <c r="B123" s="61" t="s">
        <v>1041</v>
      </c>
      <c r="C123" s="26">
        <v>0</v>
      </c>
      <c r="D123" s="27">
        <v>0</v>
      </c>
      <c r="E123" s="28">
        <v>0</v>
      </c>
      <c r="F123" s="29">
        <v>0</v>
      </c>
      <c r="G123" s="6">
        <f t="shared" si="14"/>
        <v>0</v>
      </c>
      <c r="H123" s="7">
        <f t="shared" si="14"/>
        <v>0</v>
      </c>
      <c r="I123" s="6">
        <f t="shared" si="9"/>
        <v>0</v>
      </c>
      <c r="J123" s="7">
        <f t="shared" si="10"/>
        <v>0</v>
      </c>
      <c r="K123" s="28">
        <v>0</v>
      </c>
      <c r="L123" s="29">
        <v>0</v>
      </c>
      <c r="M123" s="6">
        <f t="shared" si="11"/>
        <v>0</v>
      </c>
      <c r="N123" s="7">
        <f t="shared" si="12"/>
        <v>0</v>
      </c>
      <c r="O123" s="35"/>
      <c r="P123" s="36"/>
      <c r="Q123" s="59"/>
      <c r="R123" s="2" t="str">
        <f t="shared" si="13"/>
        <v>13331|0|0|0|0|0|0|</v>
      </c>
      <c r="S123" s="25"/>
    </row>
    <row r="124" spans="1:19" s="34" customFormat="1" ht="12.75" customHeight="1" x14ac:dyDescent="0.2">
      <c r="A124" s="70" t="s">
        <v>422</v>
      </c>
      <c r="B124" s="61" t="s">
        <v>1042</v>
      </c>
      <c r="C124" s="26">
        <v>0</v>
      </c>
      <c r="D124" s="27">
        <v>0</v>
      </c>
      <c r="E124" s="28">
        <v>0</v>
      </c>
      <c r="F124" s="29">
        <v>0</v>
      </c>
      <c r="G124" s="6">
        <f t="shared" si="14"/>
        <v>0</v>
      </c>
      <c r="H124" s="7">
        <f t="shared" si="14"/>
        <v>0</v>
      </c>
      <c r="I124" s="6">
        <f t="shared" si="9"/>
        <v>0</v>
      </c>
      <c r="J124" s="7">
        <f t="shared" si="10"/>
        <v>0</v>
      </c>
      <c r="K124" s="28">
        <v>0</v>
      </c>
      <c r="L124" s="29">
        <v>0</v>
      </c>
      <c r="M124" s="6">
        <f t="shared" si="11"/>
        <v>0</v>
      </c>
      <c r="N124" s="7">
        <f t="shared" si="12"/>
        <v>0</v>
      </c>
      <c r="O124" s="35"/>
      <c r="P124" s="36"/>
      <c r="Q124" s="59"/>
      <c r="R124" s="2" t="str">
        <f t="shared" si="13"/>
        <v>13332|0|0|0|0|0|0|</v>
      </c>
      <c r="S124" s="25"/>
    </row>
    <row r="125" spans="1:19" s="34" customFormat="1" ht="12.75" customHeight="1" x14ac:dyDescent="0.2">
      <c r="A125" s="70" t="s">
        <v>423</v>
      </c>
      <c r="B125" s="61" t="s">
        <v>1043</v>
      </c>
      <c r="C125" s="26">
        <v>0</v>
      </c>
      <c r="D125" s="27">
        <v>0</v>
      </c>
      <c r="E125" s="28">
        <v>0</v>
      </c>
      <c r="F125" s="29">
        <v>0</v>
      </c>
      <c r="G125" s="6">
        <f t="shared" si="14"/>
        <v>0</v>
      </c>
      <c r="H125" s="7">
        <f t="shared" si="14"/>
        <v>0</v>
      </c>
      <c r="I125" s="6">
        <f t="shared" si="9"/>
        <v>0</v>
      </c>
      <c r="J125" s="7">
        <f t="shared" si="10"/>
        <v>0</v>
      </c>
      <c r="K125" s="28">
        <v>0</v>
      </c>
      <c r="L125" s="29">
        <v>0</v>
      </c>
      <c r="M125" s="6">
        <f t="shared" si="11"/>
        <v>0</v>
      </c>
      <c r="N125" s="7">
        <f t="shared" si="12"/>
        <v>0</v>
      </c>
      <c r="O125" s="35"/>
      <c r="P125" s="36"/>
      <c r="Q125" s="59"/>
      <c r="R125" s="2" t="str">
        <f t="shared" si="13"/>
        <v>13333|0|0|0|0|0|0|</v>
      </c>
      <c r="S125" s="25"/>
    </row>
    <row r="126" spans="1:19" s="34" customFormat="1" ht="12.75" customHeight="1" x14ac:dyDescent="0.2">
      <c r="A126" s="70" t="s">
        <v>424</v>
      </c>
      <c r="B126" s="61" t="s">
        <v>1044</v>
      </c>
      <c r="C126" s="26">
        <v>0</v>
      </c>
      <c r="D126" s="27">
        <v>0</v>
      </c>
      <c r="E126" s="28">
        <v>0</v>
      </c>
      <c r="F126" s="29">
        <v>0</v>
      </c>
      <c r="G126" s="6">
        <f t="shared" si="14"/>
        <v>0</v>
      </c>
      <c r="H126" s="7">
        <f t="shared" si="14"/>
        <v>0</v>
      </c>
      <c r="I126" s="6">
        <f t="shared" si="9"/>
        <v>0</v>
      </c>
      <c r="J126" s="7">
        <f t="shared" si="10"/>
        <v>0</v>
      </c>
      <c r="K126" s="28">
        <v>0</v>
      </c>
      <c r="L126" s="29">
        <v>0</v>
      </c>
      <c r="M126" s="6">
        <f t="shared" si="11"/>
        <v>0</v>
      </c>
      <c r="N126" s="7">
        <f t="shared" si="12"/>
        <v>0</v>
      </c>
      <c r="O126" s="35"/>
      <c r="P126" s="36"/>
      <c r="Q126" s="59"/>
      <c r="R126" s="2" t="str">
        <f t="shared" si="13"/>
        <v>13334|0|0|0|0|0|0|</v>
      </c>
      <c r="S126" s="25"/>
    </row>
    <row r="127" spans="1:19" s="34" customFormat="1" ht="12.75" customHeight="1" x14ac:dyDescent="0.2">
      <c r="A127" s="70" t="s">
        <v>1045</v>
      </c>
      <c r="B127" s="61" t="s">
        <v>1046</v>
      </c>
      <c r="C127" s="26">
        <v>0</v>
      </c>
      <c r="D127" s="27">
        <v>0</v>
      </c>
      <c r="E127" s="28">
        <v>0</v>
      </c>
      <c r="F127" s="29">
        <v>0</v>
      </c>
      <c r="G127" s="6">
        <f t="shared" si="14"/>
        <v>0</v>
      </c>
      <c r="H127" s="7">
        <f t="shared" si="14"/>
        <v>0</v>
      </c>
      <c r="I127" s="6">
        <f t="shared" si="9"/>
        <v>0</v>
      </c>
      <c r="J127" s="7">
        <f t="shared" si="10"/>
        <v>0</v>
      </c>
      <c r="K127" s="28">
        <v>0</v>
      </c>
      <c r="L127" s="29">
        <v>0</v>
      </c>
      <c r="M127" s="6">
        <f t="shared" si="11"/>
        <v>0</v>
      </c>
      <c r="N127" s="7">
        <f t="shared" si="12"/>
        <v>0</v>
      </c>
      <c r="O127" s="35"/>
      <c r="P127" s="36"/>
      <c r="Q127" s="59"/>
      <c r="R127" s="2" t="str">
        <f t="shared" si="13"/>
        <v>13335|0|0|0|0|0|0|</v>
      </c>
      <c r="S127" s="25"/>
    </row>
    <row r="128" spans="1:19" s="34" customFormat="1" ht="12.75" customHeight="1" x14ac:dyDescent="0.2">
      <c r="A128" s="70" t="s">
        <v>425</v>
      </c>
      <c r="B128" s="61" t="s">
        <v>1047</v>
      </c>
      <c r="C128" s="26">
        <v>0</v>
      </c>
      <c r="D128" s="27">
        <v>0</v>
      </c>
      <c r="E128" s="28">
        <v>0</v>
      </c>
      <c r="F128" s="29">
        <v>0</v>
      </c>
      <c r="G128" s="6">
        <f t="shared" si="14"/>
        <v>0</v>
      </c>
      <c r="H128" s="7">
        <f t="shared" si="14"/>
        <v>0</v>
      </c>
      <c r="I128" s="6">
        <f t="shared" si="9"/>
        <v>0</v>
      </c>
      <c r="J128" s="7">
        <f t="shared" si="10"/>
        <v>0</v>
      </c>
      <c r="K128" s="28">
        <v>0</v>
      </c>
      <c r="L128" s="29">
        <v>0</v>
      </c>
      <c r="M128" s="6">
        <f t="shared" si="11"/>
        <v>0</v>
      </c>
      <c r="N128" s="7">
        <f t="shared" si="12"/>
        <v>0</v>
      </c>
      <c r="O128" s="35"/>
      <c r="P128" s="36"/>
      <c r="Q128" s="59"/>
      <c r="R128" s="2" t="str">
        <f t="shared" si="13"/>
        <v>1411|0|0|0|0|0|0|</v>
      </c>
      <c r="S128" s="25"/>
    </row>
    <row r="129" spans="1:19" s="34" customFormat="1" ht="12.75" customHeight="1" x14ac:dyDescent="0.2">
      <c r="A129" s="70" t="s">
        <v>426</v>
      </c>
      <c r="B129" s="61" t="s">
        <v>1048</v>
      </c>
      <c r="C129" s="26">
        <v>0</v>
      </c>
      <c r="D129" s="27">
        <v>0</v>
      </c>
      <c r="E129" s="28">
        <v>0</v>
      </c>
      <c r="F129" s="29">
        <v>0</v>
      </c>
      <c r="G129" s="6">
        <f t="shared" si="14"/>
        <v>0</v>
      </c>
      <c r="H129" s="7">
        <f t="shared" si="14"/>
        <v>0</v>
      </c>
      <c r="I129" s="6">
        <f t="shared" si="9"/>
        <v>0</v>
      </c>
      <c r="J129" s="7">
        <f t="shared" si="10"/>
        <v>0</v>
      </c>
      <c r="K129" s="28">
        <v>0</v>
      </c>
      <c r="L129" s="29">
        <v>0</v>
      </c>
      <c r="M129" s="6">
        <f t="shared" si="11"/>
        <v>0</v>
      </c>
      <c r="N129" s="7">
        <f t="shared" si="12"/>
        <v>0</v>
      </c>
      <c r="O129" s="35"/>
      <c r="P129" s="36"/>
      <c r="Q129" s="59"/>
      <c r="R129" s="2" t="str">
        <f t="shared" si="13"/>
        <v>1412|0|0|0|0|0|0|</v>
      </c>
      <c r="S129" s="25"/>
    </row>
    <row r="130" spans="1:19" s="34" customFormat="1" ht="12.75" customHeight="1" x14ac:dyDescent="0.2">
      <c r="A130" s="70" t="s">
        <v>427</v>
      </c>
      <c r="B130" s="61" t="s">
        <v>1049</v>
      </c>
      <c r="C130" s="26">
        <v>0</v>
      </c>
      <c r="D130" s="27">
        <v>0</v>
      </c>
      <c r="E130" s="28">
        <v>0</v>
      </c>
      <c r="F130" s="29">
        <v>0</v>
      </c>
      <c r="G130" s="6">
        <f t="shared" si="14"/>
        <v>0</v>
      </c>
      <c r="H130" s="7">
        <f t="shared" si="14"/>
        <v>0</v>
      </c>
      <c r="I130" s="6">
        <f t="shared" si="9"/>
        <v>0</v>
      </c>
      <c r="J130" s="7">
        <f t="shared" si="10"/>
        <v>0</v>
      </c>
      <c r="K130" s="28">
        <v>0</v>
      </c>
      <c r="L130" s="29">
        <v>0</v>
      </c>
      <c r="M130" s="6">
        <f t="shared" si="11"/>
        <v>0</v>
      </c>
      <c r="N130" s="7">
        <f t="shared" si="12"/>
        <v>0</v>
      </c>
      <c r="O130" s="35"/>
      <c r="P130" s="36"/>
      <c r="Q130" s="59"/>
      <c r="R130" s="2" t="str">
        <f t="shared" si="13"/>
        <v>1413|0|0|0|0|0|0|</v>
      </c>
      <c r="S130" s="25"/>
    </row>
    <row r="131" spans="1:19" s="34" customFormat="1" ht="12.75" customHeight="1" x14ac:dyDescent="0.2">
      <c r="A131" s="70" t="s">
        <v>1050</v>
      </c>
      <c r="B131" s="61" t="s">
        <v>1051</v>
      </c>
      <c r="C131" s="26">
        <v>0</v>
      </c>
      <c r="D131" s="27">
        <v>0</v>
      </c>
      <c r="E131" s="28">
        <v>0</v>
      </c>
      <c r="F131" s="29">
        <v>0</v>
      </c>
      <c r="G131" s="6">
        <f t="shared" si="14"/>
        <v>0</v>
      </c>
      <c r="H131" s="7">
        <f t="shared" si="14"/>
        <v>0</v>
      </c>
      <c r="I131" s="6">
        <f t="shared" si="9"/>
        <v>0</v>
      </c>
      <c r="J131" s="7">
        <f t="shared" si="10"/>
        <v>0</v>
      </c>
      <c r="K131" s="28">
        <v>0</v>
      </c>
      <c r="L131" s="29">
        <v>0</v>
      </c>
      <c r="M131" s="6">
        <f t="shared" si="11"/>
        <v>0</v>
      </c>
      <c r="N131" s="7">
        <f t="shared" si="12"/>
        <v>0</v>
      </c>
      <c r="O131" s="35"/>
      <c r="P131" s="36"/>
      <c r="Q131" s="59"/>
      <c r="R131" s="2" t="str">
        <f t="shared" si="13"/>
        <v>1419|0|0|0|0|0|0|</v>
      </c>
      <c r="S131" s="25"/>
    </row>
    <row r="132" spans="1:19" s="34" customFormat="1" ht="12.75" customHeight="1" x14ac:dyDescent="0.2">
      <c r="A132" s="70" t="s">
        <v>428</v>
      </c>
      <c r="B132" s="61" t="s">
        <v>1052</v>
      </c>
      <c r="C132" s="26">
        <v>0</v>
      </c>
      <c r="D132" s="27">
        <v>0</v>
      </c>
      <c r="E132" s="28">
        <v>0</v>
      </c>
      <c r="F132" s="29">
        <v>0</v>
      </c>
      <c r="G132" s="6">
        <f t="shared" si="14"/>
        <v>0</v>
      </c>
      <c r="H132" s="7">
        <f t="shared" si="14"/>
        <v>0</v>
      </c>
      <c r="I132" s="6">
        <f t="shared" si="9"/>
        <v>0</v>
      </c>
      <c r="J132" s="7">
        <f t="shared" si="10"/>
        <v>0</v>
      </c>
      <c r="K132" s="28">
        <v>0</v>
      </c>
      <c r="L132" s="29">
        <v>0</v>
      </c>
      <c r="M132" s="6">
        <f t="shared" si="11"/>
        <v>0</v>
      </c>
      <c r="N132" s="7">
        <f t="shared" si="12"/>
        <v>0</v>
      </c>
      <c r="O132" s="35"/>
      <c r="P132" s="36"/>
      <c r="Q132" s="59"/>
      <c r="R132" s="2" t="str">
        <f t="shared" si="13"/>
        <v>1421|0|0|0|0|0|0|</v>
      </c>
      <c r="S132" s="25"/>
    </row>
    <row r="133" spans="1:19" s="34" customFormat="1" ht="12.75" customHeight="1" x14ac:dyDescent="0.2">
      <c r="A133" s="70" t="s">
        <v>429</v>
      </c>
      <c r="B133" s="61" t="s">
        <v>1053</v>
      </c>
      <c r="C133" s="26">
        <v>0</v>
      </c>
      <c r="D133" s="27">
        <v>0</v>
      </c>
      <c r="E133" s="28">
        <v>0</v>
      </c>
      <c r="F133" s="29">
        <v>0</v>
      </c>
      <c r="G133" s="6">
        <f t="shared" si="14"/>
        <v>0</v>
      </c>
      <c r="H133" s="7">
        <f t="shared" si="14"/>
        <v>0</v>
      </c>
      <c r="I133" s="6">
        <f t="shared" ref="I133:I196" si="15">IF($G133-$H133&gt;=0,$G133-$H133,0)</f>
        <v>0</v>
      </c>
      <c r="J133" s="7">
        <f t="shared" ref="J133:J196" si="16">IF($G133-$H133&lt;0,-$G133+$H133,0)</f>
        <v>0</v>
      </c>
      <c r="K133" s="28">
        <v>0</v>
      </c>
      <c r="L133" s="29">
        <v>0</v>
      </c>
      <c r="M133" s="6">
        <f t="shared" ref="M133:M196" si="17">IF($I133-$J133+$K133-$L133&gt;=0,$I133-$J133+$K133-$L133,0)</f>
        <v>0</v>
      </c>
      <c r="N133" s="7">
        <f t="shared" ref="N133:N196" si="18">IF($I133-$J133+$K133-$L133&lt;0,-($I133-$J133+$K133-$L133),0)</f>
        <v>0</v>
      </c>
      <c r="O133" s="35"/>
      <c r="P133" s="36"/>
      <c r="Q133" s="59"/>
      <c r="R133" s="2" t="str">
        <f t="shared" ref="R133:R196" si="19">CONCATENATE(A133,"|",C133,"|",D133,"|",E133,"|",F133,"|",K133,"|",L133,"|")</f>
        <v>1422|0|0|0|0|0|0|</v>
      </c>
      <c r="S133" s="25"/>
    </row>
    <row r="134" spans="1:19" s="34" customFormat="1" ht="12.75" customHeight="1" x14ac:dyDescent="0.2">
      <c r="A134" s="70" t="s">
        <v>1054</v>
      </c>
      <c r="B134" s="61" t="s">
        <v>1055</v>
      </c>
      <c r="C134" s="26">
        <v>0</v>
      </c>
      <c r="D134" s="27">
        <v>0</v>
      </c>
      <c r="E134" s="28">
        <v>0</v>
      </c>
      <c r="F134" s="29">
        <v>0</v>
      </c>
      <c r="G134" s="6">
        <f t="shared" si="14"/>
        <v>0</v>
      </c>
      <c r="H134" s="7">
        <f t="shared" si="14"/>
        <v>0</v>
      </c>
      <c r="I134" s="6">
        <f t="shared" si="15"/>
        <v>0</v>
      </c>
      <c r="J134" s="7">
        <f t="shared" si="16"/>
        <v>0</v>
      </c>
      <c r="K134" s="28">
        <v>0</v>
      </c>
      <c r="L134" s="29">
        <v>0</v>
      </c>
      <c r="M134" s="6">
        <f t="shared" si="17"/>
        <v>0</v>
      </c>
      <c r="N134" s="7">
        <f t="shared" si="18"/>
        <v>0</v>
      </c>
      <c r="O134" s="35"/>
      <c r="P134" s="36"/>
      <c r="Q134" s="59"/>
      <c r="R134" s="2" t="str">
        <f t="shared" si="19"/>
        <v>1431|0|0|0|0|0|0|</v>
      </c>
      <c r="S134" s="25"/>
    </row>
    <row r="135" spans="1:19" s="34" customFormat="1" ht="12.75" customHeight="1" x14ac:dyDescent="0.2">
      <c r="A135" s="70" t="s">
        <v>1056</v>
      </c>
      <c r="B135" s="61" t="s">
        <v>1057</v>
      </c>
      <c r="C135" s="26">
        <v>0</v>
      </c>
      <c r="D135" s="27">
        <v>0</v>
      </c>
      <c r="E135" s="28">
        <v>0</v>
      </c>
      <c r="F135" s="29">
        <v>0</v>
      </c>
      <c r="G135" s="6">
        <f t="shared" si="14"/>
        <v>0</v>
      </c>
      <c r="H135" s="7">
        <f t="shared" si="14"/>
        <v>0</v>
      </c>
      <c r="I135" s="6">
        <f t="shared" si="15"/>
        <v>0</v>
      </c>
      <c r="J135" s="7">
        <f t="shared" si="16"/>
        <v>0</v>
      </c>
      <c r="K135" s="28">
        <v>0</v>
      </c>
      <c r="L135" s="29">
        <v>0</v>
      </c>
      <c r="M135" s="6">
        <f t="shared" si="17"/>
        <v>0</v>
      </c>
      <c r="N135" s="7">
        <f t="shared" si="18"/>
        <v>0</v>
      </c>
      <c r="O135" s="35"/>
      <c r="P135" s="36"/>
      <c r="Q135" s="59"/>
      <c r="R135" s="2" t="str">
        <f t="shared" si="19"/>
        <v>1432|0|0|0|0|0|0|</v>
      </c>
      <c r="S135" s="25"/>
    </row>
    <row r="136" spans="1:19" s="34" customFormat="1" ht="12.75" customHeight="1" x14ac:dyDescent="0.2">
      <c r="A136" s="70" t="s">
        <v>1058</v>
      </c>
      <c r="B136" s="61" t="s">
        <v>1059</v>
      </c>
      <c r="C136" s="26">
        <v>0</v>
      </c>
      <c r="D136" s="27">
        <v>0</v>
      </c>
      <c r="E136" s="28">
        <v>0</v>
      </c>
      <c r="F136" s="29">
        <v>0</v>
      </c>
      <c r="G136" s="6">
        <f t="shared" si="14"/>
        <v>0</v>
      </c>
      <c r="H136" s="7">
        <f t="shared" si="14"/>
        <v>0</v>
      </c>
      <c r="I136" s="6">
        <f t="shared" si="15"/>
        <v>0</v>
      </c>
      <c r="J136" s="7">
        <f t="shared" si="16"/>
        <v>0</v>
      </c>
      <c r="K136" s="28">
        <v>0</v>
      </c>
      <c r="L136" s="29">
        <v>0</v>
      </c>
      <c r="M136" s="6">
        <f t="shared" si="17"/>
        <v>0</v>
      </c>
      <c r="N136" s="7">
        <f t="shared" si="18"/>
        <v>0</v>
      </c>
      <c r="O136" s="35"/>
      <c r="P136" s="36"/>
      <c r="Q136" s="59"/>
      <c r="R136" s="2" t="str">
        <f t="shared" si="19"/>
        <v>1433|0|0|0|0|0|0|</v>
      </c>
      <c r="S136" s="25"/>
    </row>
    <row r="137" spans="1:19" s="34" customFormat="1" ht="12.75" customHeight="1" x14ac:dyDescent="0.2">
      <c r="A137" s="70" t="s">
        <v>1060</v>
      </c>
      <c r="B137" s="61" t="s">
        <v>1061</v>
      </c>
      <c r="C137" s="26">
        <v>0</v>
      </c>
      <c r="D137" s="27">
        <v>0</v>
      </c>
      <c r="E137" s="28">
        <v>0</v>
      </c>
      <c r="F137" s="29">
        <v>0</v>
      </c>
      <c r="G137" s="6">
        <f t="shared" si="14"/>
        <v>0</v>
      </c>
      <c r="H137" s="7">
        <f t="shared" si="14"/>
        <v>0</v>
      </c>
      <c r="I137" s="6">
        <f t="shared" si="15"/>
        <v>0</v>
      </c>
      <c r="J137" s="7">
        <f t="shared" si="16"/>
        <v>0</v>
      </c>
      <c r="K137" s="28">
        <v>0</v>
      </c>
      <c r="L137" s="29">
        <v>0</v>
      </c>
      <c r="M137" s="6">
        <f t="shared" si="17"/>
        <v>0</v>
      </c>
      <c r="N137" s="7">
        <f t="shared" si="18"/>
        <v>0</v>
      </c>
      <c r="O137" s="35"/>
      <c r="P137" s="36"/>
      <c r="Q137" s="59"/>
      <c r="R137" s="2" t="str">
        <f t="shared" si="19"/>
        <v>1441|0|0|0|0|0|0|</v>
      </c>
      <c r="S137" s="25"/>
    </row>
    <row r="138" spans="1:19" s="34" customFormat="1" ht="12.75" customHeight="1" x14ac:dyDescent="0.2">
      <c r="A138" s="70" t="s">
        <v>1062</v>
      </c>
      <c r="B138" s="61" t="s">
        <v>1063</v>
      </c>
      <c r="C138" s="26">
        <v>0</v>
      </c>
      <c r="D138" s="27">
        <v>0</v>
      </c>
      <c r="E138" s="28">
        <v>0</v>
      </c>
      <c r="F138" s="29">
        <v>0</v>
      </c>
      <c r="G138" s="6">
        <f t="shared" si="14"/>
        <v>0</v>
      </c>
      <c r="H138" s="7">
        <f t="shared" si="14"/>
        <v>0</v>
      </c>
      <c r="I138" s="6">
        <f t="shared" si="15"/>
        <v>0</v>
      </c>
      <c r="J138" s="7">
        <f t="shared" si="16"/>
        <v>0</v>
      </c>
      <c r="K138" s="28">
        <v>0</v>
      </c>
      <c r="L138" s="29">
        <v>0</v>
      </c>
      <c r="M138" s="6">
        <f t="shared" si="17"/>
        <v>0</v>
      </c>
      <c r="N138" s="7">
        <f t="shared" si="18"/>
        <v>0</v>
      </c>
      <c r="O138" s="35"/>
      <c r="P138" s="36"/>
      <c r="Q138" s="59"/>
      <c r="R138" s="2" t="str">
        <f t="shared" si="19"/>
        <v>1442|0|0|0|0|0|0|</v>
      </c>
      <c r="S138" s="25"/>
    </row>
    <row r="139" spans="1:19" s="34" customFormat="1" ht="12.75" customHeight="1" x14ac:dyDescent="0.2">
      <c r="A139" s="70" t="s">
        <v>1064</v>
      </c>
      <c r="B139" s="61" t="s">
        <v>1065</v>
      </c>
      <c r="C139" s="26">
        <v>0</v>
      </c>
      <c r="D139" s="27">
        <v>0</v>
      </c>
      <c r="E139" s="28">
        <v>0</v>
      </c>
      <c r="F139" s="29">
        <v>0</v>
      </c>
      <c r="G139" s="6">
        <f t="shared" si="14"/>
        <v>0</v>
      </c>
      <c r="H139" s="7">
        <f t="shared" si="14"/>
        <v>0</v>
      </c>
      <c r="I139" s="6">
        <f t="shared" si="15"/>
        <v>0</v>
      </c>
      <c r="J139" s="7">
        <f t="shared" si="16"/>
        <v>0</v>
      </c>
      <c r="K139" s="28">
        <v>0</v>
      </c>
      <c r="L139" s="29">
        <v>0</v>
      </c>
      <c r="M139" s="6">
        <f t="shared" si="17"/>
        <v>0</v>
      </c>
      <c r="N139" s="7">
        <f t="shared" si="18"/>
        <v>0</v>
      </c>
      <c r="O139" s="35"/>
      <c r="P139" s="36"/>
      <c r="Q139" s="59"/>
      <c r="R139" s="2" t="str">
        <f t="shared" si="19"/>
        <v>1443|0|0|0|0|0|0|</v>
      </c>
      <c r="S139" s="25"/>
    </row>
    <row r="140" spans="1:19" s="34" customFormat="1" ht="12.75" customHeight="1" x14ac:dyDescent="0.2">
      <c r="A140" s="70" t="s">
        <v>430</v>
      </c>
      <c r="B140" s="61" t="s">
        <v>1066</v>
      </c>
      <c r="C140" s="26">
        <v>0</v>
      </c>
      <c r="D140" s="27">
        <v>0</v>
      </c>
      <c r="E140" s="28">
        <v>0</v>
      </c>
      <c r="F140" s="29">
        <v>0</v>
      </c>
      <c r="G140" s="6">
        <f t="shared" si="14"/>
        <v>0</v>
      </c>
      <c r="H140" s="7">
        <f t="shared" si="14"/>
        <v>0</v>
      </c>
      <c r="I140" s="6">
        <f t="shared" si="15"/>
        <v>0</v>
      </c>
      <c r="J140" s="7">
        <f t="shared" si="16"/>
        <v>0</v>
      </c>
      <c r="K140" s="28">
        <v>0</v>
      </c>
      <c r="L140" s="29">
        <v>0</v>
      </c>
      <c r="M140" s="6">
        <f t="shared" si="17"/>
        <v>0</v>
      </c>
      <c r="N140" s="7">
        <f t="shared" si="18"/>
        <v>0</v>
      </c>
      <c r="O140" s="35"/>
      <c r="P140" s="36"/>
      <c r="Q140" s="59"/>
      <c r="R140" s="2" t="str">
        <f t="shared" si="19"/>
        <v>148|0|0|0|0|0|0|</v>
      </c>
      <c r="S140" s="25"/>
    </row>
    <row r="141" spans="1:19" s="34" customFormat="1" ht="12.75" customHeight="1" x14ac:dyDescent="0.2">
      <c r="A141" s="70" t="s">
        <v>431</v>
      </c>
      <c r="B141" s="61" t="s">
        <v>1067</v>
      </c>
      <c r="C141" s="26">
        <v>0</v>
      </c>
      <c r="D141" s="27">
        <v>0</v>
      </c>
      <c r="E141" s="28">
        <v>0</v>
      </c>
      <c r="F141" s="29">
        <v>0</v>
      </c>
      <c r="G141" s="6">
        <f t="shared" si="14"/>
        <v>0</v>
      </c>
      <c r="H141" s="7">
        <f t="shared" si="14"/>
        <v>0</v>
      </c>
      <c r="I141" s="6">
        <f t="shared" si="15"/>
        <v>0</v>
      </c>
      <c r="J141" s="7">
        <f t="shared" si="16"/>
        <v>0</v>
      </c>
      <c r="K141" s="28">
        <v>0</v>
      </c>
      <c r="L141" s="29">
        <v>0</v>
      </c>
      <c r="M141" s="6">
        <f t="shared" si="17"/>
        <v>0</v>
      </c>
      <c r="N141" s="7">
        <f t="shared" si="18"/>
        <v>0</v>
      </c>
      <c r="O141" s="35"/>
      <c r="P141" s="36"/>
      <c r="Q141" s="59"/>
      <c r="R141" s="2" t="str">
        <f t="shared" si="19"/>
        <v>1611|0|0|0|0|0|0|</v>
      </c>
      <c r="S141" s="25"/>
    </row>
    <row r="142" spans="1:19" s="34" customFormat="1" ht="12.75" customHeight="1" x14ac:dyDescent="0.2">
      <c r="A142" s="70" t="s">
        <v>432</v>
      </c>
      <c r="B142" s="61" t="s">
        <v>1068</v>
      </c>
      <c r="C142" s="26">
        <v>0</v>
      </c>
      <c r="D142" s="27">
        <v>0</v>
      </c>
      <c r="E142" s="28">
        <v>0</v>
      </c>
      <c r="F142" s="29">
        <v>0</v>
      </c>
      <c r="G142" s="6">
        <f t="shared" si="14"/>
        <v>0</v>
      </c>
      <c r="H142" s="7">
        <f t="shared" si="14"/>
        <v>0</v>
      </c>
      <c r="I142" s="6">
        <f t="shared" si="15"/>
        <v>0</v>
      </c>
      <c r="J142" s="7">
        <f t="shared" si="16"/>
        <v>0</v>
      </c>
      <c r="K142" s="28">
        <v>0</v>
      </c>
      <c r="L142" s="29">
        <v>0</v>
      </c>
      <c r="M142" s="6">
        <f t="shared" si="17"/>
        <v>0</v>
      </c>
      <c r="N142" s="7">
        <f t="shared" si="18"/>
        <v>0</v>
      </c>
      <c r="O142" s="35"/>
      <c r="P142" s="36"/>
      <c r="Q142" s="59"/>
      <c r="R142" s="2" t="str">
        <f t="shared" si="19"/>
        <v>1612|0|0|0|0|0|0|</v>
      </c>
      <c r="S142" s="25"/>
    </row>
    <row r="143" spans="1:19" s="34" customFormat="1" ht="12.75" customHeight="1" x14ac:dyDescent="0.2">
      <c r="A143" s="70" t="s">
        <v>433</v>
      </c>
      <c r="B143" s="61" t="s">
        <v>1069</v>
      </c>
      <c r="C143" s="26">
        <v>0</v>
      </c>
      <c r="D143" s="27">
        <v>0</v>
      </c>
      <c r="E143" s="28">
        <v>0</v>
      </c>
      <c r="F143" s="29">
        <v>0</v>
      </c>
      <c r="G143" s="6">
        <f t="shared" si="14"/>
        <v>0</v>
      </c>
      <c r="H143" s="7">
        <f t="shared" si="14"/>
        <v>0</v>
      </c>
      <c r="I143" s="6">
        <f t="shared" si="15"/>
        <v>0</v>
      </c>
      <c r="J143" s="7">
        <f t="shared" si="16"/>
        <v>0</v>
      </c>
      <c r="K143" s="28">
        <v>0</v>
      </c>
      <c r="L143" s="29">
        <v>0</v>
      </c>
      <c r="M143" s="6">
        <f t="shared" si="17"/>
        <v>0</v>
      </c>
      <c r="N143" s="7">
        <f t="shared" si="18"/>
        <v>0</v>
      </c>
      <c r="O143" s="35"/>
      <c r="P143" s="36"/>
      <c r="Q143" s="59"/>
      <c r="R143" s="2" t="str">
        <f t="shared" si="19"/>
        <v>1621|0|0|0|0|0|0|</v>
      </c>
      <c r="S143" s="25"/>
    </row>
    <row r="144" spans="1:19" s="34" customFormat="1" ht="12.75" customHeight="1" x14ac:dyDescent="0.2">
      <c r="A144" s="70" t="s">
        <v>434</v>
      </c>
      <c r="B144" s="61" t="s">
        <v>1070</v>
      </c>
      <c r="C144" s="26">
        <v>0</v>
      </c>
      <c r="D144" s="27">
        <v>0</v>
      </c>
      <c r="E144" s="28">
        <v>0</v>
      </c>
      <c r="F144" s="29">
        <v>0</v>
      </c>
      <c r="G144" s="6">
        <f t="shared" si="14"/>
        <v>0</v>
      </c>
      <c r="H144" s="7">
        <f t="shared" si="14"/>
        <v>0</v>
      </c>
      <c r="I144" s="6">
        <f t="shared" si="15"/>
        <v>0</v>
      </c>
      <c r="J144" s="7">
        <f t="shared" si="16"/>
        <v>0</v>
      </c>
      <c r="K144" s="28">
        <v>0</v>
      </c>
      <c r="L144" s="29">
        <v>0</v>
      </c>
      <c r="M144" s="6">
        <f t="shared" si="17"/>
        <v>0</v>
      </c>
      <c r="N144" s="7">
        <f t="shared" si="18"/>
        <v>0</v>
      </c>
      <c r="O144" s="35"/>
      <c r="P144" s="36"/>
      <c r="Q144" s="59"/>
      <c r="R144" s="2" t="str">
        <f t="shared" si="19"/>
        <v>1622|0|0|0|0|0|0|</v>
      </c>
      <c r="S144" s="25"/>
    </row>
    <row r="145" spans="1:19" s="34" customFormat="1" ht="12.75" customHeight="1" x14ac:dyDescent="0.2">
      <c r="A145" s="70" t="s">
        <v>435</v>
      </c>
      <c r="B145" s="61" t="s">
        <v>1071</v>
      </c>
      <c r="C145" s="26">
        <v>0</v>
      </c>
      <c r="D145" s="27">
        <v>0</v>
      </c>
      <c r="E145" s="28">
        <v>0</v>
      </c>
      <c r="F145" s="29">
        <v>0</v>
      </c>
      <c r="G145" s="6">
        <f t="shared" si="14"/>
        <v>0</v>
      </c>
      <c r="H145" s="7">
        <f t="shared" si="14"/>
        <v>0</v>
      </c>
      <c r="I145" s="6">
        <f t="shared" si="15"/>
        <v>0</v>
      </c>
      <c r="J145" s="7">
        <f t="shared" si="16"/>
        <v>0</v>
      </c>
      <c r="K145" s="28">
        <v>0</v>
      </c>
      <c r="L145" s="29">
        <v>0</v>
      </c>
      <c r="M145" s="6">
        <f t="shared" si="17"/>
        <v>0</v>
      </c>
      <c r="N145" s="7">
        <f t="shared" si="18"/>
        <v>0</v>
      </c>
      <c r="O145" s="35"/>
      <c r="P145" s="36"/>
      <c r="Q145" s="59"/>
      <c r="R145" s="2" t="str">
        <f t="shared" si="19"/>
        <v>1623|0|0|0|0|0|0|</v>
      </c>
      <c r="S145" s="25"/>
    </row>
    <row r="146" spans="1:19" s="34" customFormat="1" ht="12.75" customHeight="1" x14ac:dyDescent="0.2">
      <c r="A146" s="70" t="s">
        <v>1072</v>
      </c>
      <c r="B146" s="61" t="s">
        <v>1073</v>
      </c>
      <c r="C146" s="26">
        <v>0</v>
      </c>
      <c r="D146" s="27">
        <v>0</v>
      </c>
      <c r="E146" s="28">
        <v>0</v>
      </c>
      <c r="F146" s="29">
        <v>0</v>
      </c>
      <c r="G146" s="6">
        <f t="shared" si="14"/>
        <v>0</v>
      </c>
      <c r="H146" s="7">
        <f t="shared" si="14"/>
        <v>0</v>
      </c>
      <c r="I146" s="6">
        <f t="shared" si="15"/>
        <v>0</v>
      </c>
      <c r="J146" s="7">
        <f t="shared" si="16"/>
        <v>0</v>
      </c>
      <c r="K146" s="28">
        <v>0</v>
      </c>
      <c r="L146" s="29">
        <v>0</v>
      </c>
      <c r="M146" s="6">
        <f t="shared" si="17"/>
        <v>0</v>
      </c>
      <c r="N146" s="7">
        <f t="shared" si="18"/>
        <v>0</v>
      </c>
      <c r="O146" s="35"/>
      <c r="P146" s="36"/>
      <c r="Q146" s="59"/>
      <c r="R146" s="2" t="str">
        <f t="shared" si="19"/>
        <v>1624|0|0|0|0|0|0|</v>
      </c>
      <c r="S146" s="25"/>
    </row>
    <row r="147" spans="1:19" s="34" customFormat="1" ht="12.75" customHeight="1" x14ac:dyDescent="0.2">
      <c r="A147" s="70" t="s">
        <v>1074</v>
      </c>
      <c r="B147" s="61" t="s">
        <v>1075</v>
      </c>
      <c r="C147" s="26">
        <v>0</v>
      </c>
      <c r="D147" s="27">
        <v>0</v>
      </c>
      <c r="E147" s="28">
        <v>0</v>
      </c>
      <c r="F147" s="29">
        <v>0</v>
      </c>
      <c r="G147" s="6">
        <f t="shared" si="14"/>
        <v>0</v>
      </c>
      <c r="H147" s="7">
        <f t="shared" si="14"/>
        <v>0</v>
      </c>
      <c r="I147" s="6">
        <f t="shared" si="15"/>
        <v>0</v>
      </c>
      <c r="J147" s="7">
        <f t="shared" si="16"/>
        <v>0</v>
      </c>
      <c r="K147" s="28">
        <v>0</v>
      </c>
      <c r="L147" s="29">
        <v>0</v>
      </c>
      <c r="M147" s="6">
        <f t="shared" si="17"/>
        <v>0</v>
      </c>
      <c r="N147" s="7">
        <f t="shared" si="18"/>
        <v>0</v>
      </c>
      <c r="O147" s="35"/>
      <c r="P147" s="36"/>
      <c r="Q147" s="59"/>
      <c r="R147" s="2" t="str">
        <f t="shared" si="19"/>
        <v>1629|0|0|0|0|0|0|</v>
      </c>
      <c r="S147" s="25"/>
    </row>
    <row r="148" spans="1:19" s="34" customFormat="1" ht="12.75" customHeight="1" x14ac:dyDescent="0.2">
      <c r="A148" s="70" t="s">
        <v>436</v>
      </c>
      <c r="B148" s="61" t="s">
        <v>1076</v>
      </c>
      <c r="C148" s="26">
        <v>0</v>
      </c>
      <c r="D148" s="27">
        <v>0</v>
      </c>
      <c r="E148" s="28">
        <v>0</v>
      </c>
      <c r="F148" s="29">
        <v>0</v>
      </c>
      <c r="G148" s="6">
        <f t="shared" si="14"/>
        <v>0</v>
      </c>
      <c r="H148" s="7">
        <f t="shared" si="14"/>
        <v>0</v>
      </c>
      <c r="I148" s="6">
        <f t="shared" si="15"/>
        <v>0</v>
      </c>
      <c r="J148" s="7">
        <f t="shared" si="16"/>
        <v>0</v>
      </c>
      <c r="K148" s="28">
        <v>0</v>
      </c>
      <c r="L148" s="29">
        <v>0</v>
      </c>
      <c r="M148" s="6">
        <f t="shared" si="17"/>
        <v>0</v>
      </c>
      <c r="N148" s="7">
        <f t="shared" si="18"/>
        <v>0</v>
      </c>
      <c r="O148" s="35"/>
      <c r="P148" s="36"/>
      <c r="Q148" s="59"/>
      <c r="R148" s="2" t="str">
        <f t="shared" si="19"/>
        <v>1631|0|0|0|0|0|0|</v>
      </c>
      <c r="S148" s="25"/>
    </row>
    <row r="149" spans="1:19" s="34" customFormat="1" ht="12.75" customHeight="1" x14ac:dyDescent="0.2">
      <c r="A149" s="70" t="s">
        <v>437</v>
      </c>
      <c r="B149" s="61" t="s">
        <v>1077</v>
      </c>
      <c r="C149" s="26">
        <v>0</v>
      </c>
      <c r="D149" s="27">
        <v>0</v>
      </c>
      <c r="E149" s="28">
        <v>0</v>
      </c>
      <c r="F149" s="29">
        <v>0</v>
      </c>
      <c r="G149" s="6">
        <f t="shared" si="14"/>
        <v>0</v>
      </c>
      <c r="H149" s="7">
        <f t="shared" si="14"/>
        <v>0</v>
      </c>
      <c r="I149" s="6">
        <f t="shared" si="15"/>
        <v>0</v>
      </c>
      <c r="J149" s="7">
        <f t="shared" si="16"/>
        <v>0</v>
      </c>
      <c r="K149" s="28">
        <v>0</v>
      </c>
      <c r="L149" s="29">
        <v>0</v>
      </c>
      <c r="M149" s="6">
        <f t="shared" si="17"/>
        <v>0</v>
      </c>
      <c r="N149" s="7">
        <f t="shared" si="18"/>
        <v>0</v>
      </c>
      <c r="O149" s="35"/>
      <c r="P149" s="36"/>
      <c r="Q149" s="59"/>
      <c r="R149" s="2" t="str">
        <f t="shared" si="19"/>
        <v>1632|0|0|0|0|0|0|</v>
      </c>
      <c r="S149" s="25"/>
    </row>
    <row r="150" spans="1:19" s="34" customFormat="1" ht="12.75" customHeight="1" x14ac:dyDescent="0.2">
      <c r="A150" s="70" t="s">
        <v>438</v>
      </c>
      <c r="B150" s="61" t="s">
        <v>1078</v>
      </c>
      <c r="C150" s="26">
        <v>0</v>
      </c>
      <c r="D150" s="27">
        <v>0</v>
      </c>
      <c r="E150" s="28">
        <v>0</v>
      </c>
      <c r="F150" s="29">
        <v>0</v>
      </c>
      <c r="G150" s="6">
        <f t="shared" si="14"/>
        <v>0</v>
      </c>
      <c r="H150" s="7">
        <f t="shared" si="14"/>
        <v>0</v>
      </c>
      <c r="I150" s="6">
        <f t="shared" si="15"/>
        <v>0</v>
      </c>
      <c r="J150" s="7">
        <f t="shared" si="16"/>
        <v>0</v>
      </c>
      <c r="K150" s="28">
        <v>0</v>
      </c>
      <c r="L150" s="29">
        <v>0</v>
      </c>
      <c r="M150" s="6">
        <f t="shared" si="17"/>
        <v>0</v>
      </c>
      <c r="N150" s="7">
        <f t="shared" si="18"/>
        <v>0</v>
      </c>
      <c r="O150" s="35"/>
      <c r="P150" s="36"/>
      <c r="Q150" s="59"/>
      <c r="R150" s="2" t="str">
        <f t="shared" si="19"/>
        <v>1633|0|0|0|0|0|0|</v>
      </c>
      <c r="S150" s="25"/>
    </row>
    <row r="151" spans="1:19" s="34" customFormat="1" ht="12.75" customHeight="1" x14ac:dyDescent="0.2">
      <c r="A151" s="70" t="s">
        <v>439</v>
      </c>
      <c r="B151" s="61" t="s">
        <v>1079</v>
      </c>
      <c r="C151" s="26">
        <v>0</v>
      </c>
      <c r="D151" s="27">
        <v>0</v>
      </c>
      <c r="E151" s="28">
        <v>0</v>
      </c>
      <c r="F151" s="29">
        <v>0</v>
      </c>
      <c r="G151" s="6">
        <f t="shared" si="14"/>
        <v>0</v>
      </c>
      <c r="H151" s="7">
        <f t="shared" si="14"/>
        <v>0</v>
      </c>
      <c r="I151" s="6">
        <f t="shared" si="15"/>
        <v>0</v>
      </c>
      <c r="J151" s="7">
        <f t="shared" si="16"/>
        <v>0</v>
      </c>
      <c r="K151" s="28">
        <v>0</v>
      </c>
      <c r="L151" s="29">
        <v>0</v>
      </c>
      <c r="M151" s="6">
        <f t="shared" si="17"/>
        <v>0</v>
      </c>
      <c r="N151" s="7">
        <f t="shared" si="18"/>
        <v>0</v>
      </c>
      <c r="O151" s="35"/>
      <c r="P151" s="36"/>
      <c r="Q151" s="59"/>
      <c r="R151" s="2" t="str">
        <f t="shared" si="19"/>
        <v>1641|0|0|0|0|0|0|</v>
      </c>
      <c r="S151" s="25"/>
    </row>
    <row r="152" spans="1:19" s="34" customFormat="1" ht="12.75" customHeight="1" x14ac:dyDescent="0.2">
      <c r="A152" s="70" t="s">
        <v>440</v>
      </c>
      <c r="B152" s="61" t="s">
        <v>1080</v>
      </c>
      <c r="C152" s="26">
        <v>0</v>
      </c>
      <c r="D152" s="27">
        <v>0</v>
      </c>
      <c r="E152" s="28">
        <v>0</v>
      </c>
      <c r="F152" s="29">
        <v>0</v>
      </c>
      <c r="G152" s="6">
        <f t="shared" si="14"/>
        <v>0</v>
      </c>
      <c r="H152" s="7">
        <f t="shared" si="14"/>
        <v>0</v>
      </c>
      <c r="I152" s="6">
        <f t="shared" si="15"/>
        <v>0</v>
      </c>
      <c r="J152" s="7">
        <f t="shared" si="16"/>
        <v>0</v>
      </c>
      <c r="K152" s="28">
        <v>0</v>
      </c>
      <c r="L152" s="29">
        <v>0</v>
      </c>
      <c r="M152" s="6">
        <f t="shared" si="17"/>
        <v>0</v>
      </c>
      <c r="N152" s="7">
        <f t="shared" si="18"/>
        <v>0</v>
      </c>
      <c r="O152" s="35"/>
      <c r="P152" s="36"/>
      <c r="Q152" s="59"/>
      <c r="R152" s="2" t="str">
        <f t="shared" si="19"/>
        <v>1642|0|0|0|0|0|0|</v>
      </c>
      <c r="S152" s="25"/>
    </row>
    <row r="153" spans="1:19" s="34" customFormat="1" ht="12.75" customHeight="1" x14ac:dyDescent="0.2">
      <c r="A153" s="70" t="s">
        <v>1081</v>
      </c>
      <c r="B153" s="61" t="s">
        <v>1082</v>
      </c>
      <c r="C153" s="26">
        <v>0</v>
      </c>
      <c r="D153" s="27">
        <v>0</v>
      </c>
      <c r="E153" s="28">
        <v>0</v>
      </c>
      <c r="F153" s="29">
        <v>0</v>
      </c>
      <c r="G153" s="6">
        <f t="shared" si="14"/>
        <v>0</v>
      </c>
      <c r="H153" s="7">
        <f t="shared" si="14"/>
        <v>0</v>
      </c>
      <c r="I153" s="6">
        <f t="shared" si="15"/>
        <v>0</v>
      </c>
      <c r="J153" s="7">
        <f t="shared" si="16"/>
        <v>0</v>
      </c>
      <c r="K153" s="28">
        <v>0</v>
      </c>
      <c r="L153" s="29">
        <v>0</v>
      </c>
      <c r="M153" s="6">
        <f t="shared" si="17"/>
        <v>0</v>
      </c>
      <c r="N153" s="7">
        <f t="shared" si="18"/>
        <v>0</v>
      </c>
      <c r="O153" s="35"/>
      <c r="P153" s="36"/>
      <c r="Q153" s="59"/>
      <c r="R153" s="2" t="str">
        <f t="shared" si="19"/>
        <v>1644|0|0|0|0|0|0|</v>
      </c>
      <c r="S153" s="25"/>
    </row>
    <row r="154" spans="1:19" s="34" customFormat="1" ht="12.75" customHeight="1" x14ac:dyDescent="0.2">
      <c r="A154" s="70" t="s">
        <v>1083</v>
      </c>
      <c r="B154" s="61" t="s">
        <v>1084</v>
      </c>
      <c r="C154" s="26">
        <v>0</v>
      </c>
      <c r="D154" s="27">
        <v>0</v>
      </c>
      <c r="E154" s="28">
        <v>0</v>
      </c>
      <c r="F154" s="29">
        <v>0</v>
      </c>
      <c r="G154" s="6">
        <f t="shared" si="14"/>
        <v>0</v>
      </c>
      <c r="H154" s="7">
        <f t="shared" si="14"/>
        <v>0</v>
      </c>
      <c r="I154" s="6">
        <f t="shared" si="15"/>
        <v>0</v>
      </c>
      <c r="J154" s="7">
        <f t="shared" si="16"/>
        <v>0</v>
      </c>
      <c r="K154" s="28">
        <v>0</v>
      </c>
      <c r="L154" s="29">
        <v>0</v>
      </c>
      <c r="M154" s="6">
        <f t="shared" si="17"/>
        <v>0</v>
      </c>
      <c r="N154" s="7">
        <f t="shared" si="18"/>
        <v>0</v>
      </c>
      <c r="O154" s="35"/>
      <c r="P154" s="36"/>
      <c r="Q154" s="59"/>
      <c r="R154" s="2" t="str">
        <f t="shared" si="19"/>
        <v>1649|0|0|0|0|0|0|</v>
      </c>
      <c r="S154" s="25"/>
    </row>
    <row r="155" spans="1:19" s="34" customFormat="1" ht="12.75" customHeight="1" x14ac:dyDescent="0.2">
      <c r="A155" s="70" t="s">
        <v>441</v>
      </c>
      <c r="B155" s="61" t="s">
        <v>1085</v>
      </c>
      <c r="C155" s="26">
        <v>0</v>
      </c>
      <c r="D155" s="27">
        <v>0</v>
      </c>
      <c r="E155" s="28">
        <v>0</v>
      </c>
      <c r="F155" s="29">
        <v>0</v>
      </c>
      <c r="G155" s="6">
        <f t="shared" si="14"/>
        <v>0</v>
      </c>
      <c r="H155" s="7">
        <f t="shared" si="14"/>
        <v>0</v>
      </c>
      <c r="I155" s="6">
        <f t="shared" si="15"/>
        <v>0</v>
      </c>
      <c r="J155" s="7">
        <f t="shared" si="16"/>
        <v>0</v>
      </c>
      <c r="K155" s="28">
        <v>0</v>
      </c>
      <c r="L155" s="29">
        <v>0</v>
      </c>
      <c r="M155" s="6">
        <f t="shared" si="17"/>
        <v>0</v>
      </c>
      <c r="N155" s="7">
        <f t="shared" si="18"/>
        <v>0</v>
      </c>
      <c r="O155" s="35"/>
      <c r="P155" s="36"/>
      <c r="Q155" s="59"/>
      <c r="R155" s="2" t="str">
        <f t="shared" si="19"/>
        <v>1651|0|0|0|0|0|0|</v>
      </c>
      <c r="S155" s="25"/>
    </row>
    <row r="156" spans="1:19" s="34" customFormat="1" ht="12.75" customHeight="1" x14ac:dyDescent="0.2">
      <c r="A156" s="70" t="s">
        <v>442</v>
      </c>
      <c r="B156" s="61" t="s">
        <v>1086</v>
      </c>
      <c r="C156" s="26">
        <v>0</v>
      </c>
      <c r="D156" s="27">
        <v>0</v>
      </c>
      <c r="E156" s="28">
        <v>0</v>
      </c>
      <c r="F156" s="29">
        <v>0</v>
      </c>
      <c r="G156" s="6">
        <f t="shared" si="14"/>
        <v>0</v>
      </c>
      <c r="H156" s="7">
        <f t="shared" si="14"/>
        <v>0</v>
      </c>
      <c r="I156" s="6">
        <f t="shared" si="15"/>
        <v>0</v>
      </c>
      <c r="J156" s="7">
        <f t="shared" si="16"/>
        <v>0</v>
      </c>
      <c r="K156" s="28">
        <v>0</v>
      </c>
      <c r="L156" s="29">
        <v>0</v>
      </c>
      <c r="M156" s="6">
        <f t="shared" si="17"/>
        <v>0</v>
      </c>
      <c r="N156" s="7">
        <f t="shared" si="18"/>
        <v>0</v>
      </c>
      <c r="O156" s="35"/>
      <c r="P156" s="36"/>
      <c r="Q156" s="59"/>
      <c r="R156" s="2" t="str">
        <f t="shared" si="19"/>
        <v>1652|0|0|0|0|0|0|</v>
      </c>
      <c r="S156" s="25"/>
    </row>
    <row r="157" spans="1:19" s="34" customFormat="1" ht="12.75" customHeight="1" x14ac:dyDescent="0.2">
      <c r="A157" s="70" t="s">
        <v>443</v>
      </c>
      <c r="B157" s="61" t="s">
        <v>1087</v>
      </c>
      <c r="C157" s="26">
        <v>0</v>
      </c>
      <c r="D157" s="27">
        <v>0</v>
      </c>
      <c r="E157" s="28">
        <v>0</v>
      </c>
      <c r="F157" s="29">
        <v>0</v>
      </c>
      <c r="G157" s="6">
        <f t="shared" si="14"/>
        <v>0</v>
      </c>
      <c r="H157" s="7">
        <f t="shared" si="14"/>
        <v>0</v>
      </c>
      <c r="I157" s="6">
        <f t="shared" si="15"/>
        <v>0</v>
      </c>
      <c r="J157" s="7">
        <f t="shared" si="16"/>
        <v>0</v>
      </c>
      <c r="K157" s="28">
        <v>0</v>
      </c>
      <c r="L157" s="29">
        <v>0</v>
      </c>
      <c r="M157" s="6">
        <f t="shared" si="17"/>
        <v>0</v>
      </c>
      <c r="N157" s="7">
        <f t="shared" si="18"/>
        <v>0</v>
      </c>
      <c r="O157" s="35"/>
      <c r="P157" s="36"/>
      <c r="Q157" s="59"/>
      <c r="R157" s="2" t="str">
        <f t="shared" si="19"/>
        <v>1653|0|0|0|0|0|0|</v>
      </c>
      <c r="S157" s="25"/>
    </row>
    <row r="158" spans="1:19" s="34" customFormat="1" ht="12.75" customHeight="1" x14ac:dyDescent="0.2">
      <c r="A158" s="70" t="s">
        <v>444</v>
      </c>
      <c r="B158" s="61" t="s">
        <v>1088</v>
      </c>
      <c r="C158" s="26">
        <v>0</v>
      </c>
      <c r="D158" s="27">
        <v>0</v>
      </c>
      <c r="E158" s="28">
        <v>0</v>
      </c>
      <c r="F158" s="29">
        <v>0</v>
      </c>
      <c r="G158" s="6">
        <f t="shared" si="14"/>
        <v>0</v>
      </c>
      <c r="H158" s="7">
        <f t="shared" si="14"/>
        <v>0</v>
      </c>
      <c r="I158" s="6">
        <f t="shared" si="15"/>
        <v>0</v>
      </c>
      <c r="J158" s="7">
        <f t="shared" si="16"/>
        <v>0</v>
      </c>
      <c r="K158" s="28">
        <v>0</v>
      </c>
      <c r="L158" s="29">
        <v>0</v>
      </c>
      <c r="M158" s="6">
        <f t="shared" si="17"/>
        <v>0</v>
      </c>
      <c r="N158" s="7">
        <f t="shared" si="18"/>
        <v>0</v>
      </c>
      <c r="O158" s="35"/>
      <c r="P158" s="36"/>
      <c r="Q158" s="59"/>
      <c r="R158" s="2" t="str">
        <f t="shared" si="19"/>
        <v>1654|0|0|0|0|0|0|</v>
      </c>
      <c r="S158" s="25"/>
    </row>
    <row r="159" spans="1:19" s="34" customFormat="1" ht="12.75" customHeight="1" x14ac:dyDescent="0.2">
      <c r="A159" s="70" t="s">
        <v>445</v>
      </c>
      <c r="B159" s="61" t="s">
        <v>1089</v>
      </c>
      <c r="C159" s="26">
        <v>0</v>
      </c>
      <c r="D159" s="27">
        <v>0</v>
      </c>
      <c r="E159" s="28">
        <v>0</v>
      </c>
      <c r="F159" s="29">
        <v>0</v>
      </c>
      <c r="G159" s="6">
        <f t="shared" si="14"/>
        <v>0</v>
      </c>
      <c r="H159" s="7">
        <f t="shared" si="14"/>
        <v>0</v>
      </c>
      <c r="I159" s="6">
        <f t="shared" si="15"/>
        <v>0</v>
      </c>
      <c r="J159" s="7">
        <f t="shared" si="16"/>
        <v>0</v>
      </c>
      <c r="K159" s="28">
        <v>0</v>
      </c>
      <c r="L159" s="29">
        <v>0</v>
      </c>
      <c r="M159" s="6">
        <f t="shared" si="17"/>
        <v>0</v>
      </c>
      <c r="N159" s="7">
        <f t="shared" si="18"/>
        <v>0</v>
      </c>
      <c r="O159" s="35"/>
      <c r="P159" s="36"/>
      <c r="Q159" s="59"/>
      <c r="R159" s="2" t="str">
        <f t="shared" si="19"/>
        <v>1655|0|0|0|0|0|0|</v>
      </c>
      <c r="S159" s="25"/>
    </row>
    <row r="160" spans="1:19" s="34" customFormat="1" ht="12.75" customHeight="1" x14ac:dyDescent="0.2">
      <c r="A160" s="70" t="s">
        <v>446</v>
      </c>
      <c r="B160" s="61" t="s">
        <v>1090</v>
      </c>
      <c r="C160" s="26">
        <v>0</v>
      </c>
      <c r="D160" s="27">
        <v>0</v>
      </c>
      <c r="E160" s="28">
        <v>0</v>
      </c>
      <c r="F160" s="29">
        <v>0</v>
      </c>
      <c r="G160" s="6">
        <f t="shared" si="14"/>
        <v>0</v>
      </c>
      <c r="H160" s="7">
        <f t="shared" si="14"/>
        <v>0</v>
      </c>
      <c r="I160" s="6">
        <f t="shared" si="15"/>
        <v>0</v>
      </c>
      <c r="J160" s="7">
        <f t="shared" si="16"/>
        <v>0</v>
      </c>
      <c r="K160" s="28">
        <v>0</v>
      </c>
      <c r="L160" s="29">
        <v>0</v>
      </c>
      <c r="M160" s="6">
        <f t="shared" si="17"/>
        <v>0</v>
      </c>
      <c r="N160" s="7">
        <f t="shared" si="18"/>
        <v>0</v>
      </c>
      <c r="O160" s="35"/>
      <c r="P160" s="36"/>
      <c r="Q160" s="59"/>
      <c r="R160" s="2" t="str">
        <f t="shared" si="19"/>
        <v>1661|0|0|0|0|0|0|</v>
      </c>
      <c r="S160" s="25"/>
    </row>
    <row r="161" spans="1:19" s="34" customFormat="1" ht="12.75" customHeight="1" x14ac:dyDescent="0.2">
      <c r="A161" s="70" t="s">
        <v>1091</v>
      </c>
      <c r="B161" s="61" t="s">
        <v>1092</v>
      </c>
      <c r="C161" s="26">
        <v>0</v>
      </c>
      <c r="D161" s="27">
        <v>0</v>
      </c>
      <c r="E161" s="28">
        <v>0</v>
      </c>
      <c r="F161" s="29">
        <v>0</v>
      </c>
      <c r="G161" s="6">
        <f t="shared" si="14"/>
        <v>0</v>
      </c>
      <c r="H161" s="7">
        <f t="shared" si="14"/>
        <v>0</v>
      </c>
      <c r="I161" s="6">
        <f t="shared" si="15"/>
        <v>0</v>
      </c>
      <c r="J161" s="7">
        <f t="shared" si="16"/>
        <v>0</v>
      </c>
      <c r="K161" s="28">
        <v>0</v>
      </c>
      <c r="L161" s="29">
        <v>0</v>
      </c>
      <c r="M161" s="6">
        <f t="shared" si="17"/>
        <v>0</v>
      </c>
      <c r="N161" s="7">
        <f t="shared" si="18"/>
        <v>0</v>
      </c>
      <c r="O161" s="35"/>
      <c r="P161" s="36"/>
      <c r="Q161" s="59"/>
      <c r="R161" s="2" t="str">
        <f t="shared" si="19"/>
        <v>16621|0|0|0|0|0|0|</v>
      </c>
      <c r="S161" s="25"/>
    </row>
    <row r="162" spans="1:19" s="34" customFormat="1" ht="12.75" customHeight="1" x14ac:dyDescent="0.2">
      <c r="A162" s="70" t="s">
        <v>1093</v>
      </c>
      <c r="B162" s="61" t="s">
        <v>1094</v>
      </c>
      <c r="C162" s="26">
        <v>0</v>
      </c>
      <c r="D162" s="27">
        <v>0</v>
      </c>
      <c r="E162" s="28">
        <v>0</v>
      </c>
      <c r="F162" s="29">
        <v>0</v>
      </c>
      <c r="G162" s="6">
        <f t="shared" si="14"/>
        <v>0</v>
      </c>
      <c r="H162" s="7">
        <f t="shared" si="14"/>
        <v>0</v>
      </c>
      <c r="I162" s="6">
        <f t="shared" si="15"/>
        <v>0</v>
      </c>
      <c r="J162" s="7">
        <f t="shared" si="16"/>
        <v>0</v>
      </c>
      <c r="K162" s="28">
        <v>0</v>
      </c>
      <c r="L162" s="29">
        <v>0</v>
      </c>
      <c r="M162" s="6">
        <f t="shared" si="17"/>
        <v>0</v>
      </c>
      <c r="N162" s="7">
        <f t="shared" si="18"/>
        <v>0</v>
      </c>
      <c r="O162" s="35"/>
      <c r="P162" s="36"/>
      <c r="Q162" s="59"/>
      <c r="R162" s="2" t="str">
        <f t="shared" si="19"/>
        <v>16622|0|0|0|0|0|0|</v>
      </c>
      <c r="S162" s="25"/>
    </row>
    <row r="163" spans="1:19" s="34" customFormat="1" ht="12.75" customHeight="1" x14ac:dyDescent="0.2">
      <c r="A163" s="70" t="s">
        <v>1095</v>
      </c>
      <c r="B163" s="61" t="s">
        <v>1096</v>
      </c>
      <c r="C163" s="26">
        <v>0</v>
      </c>
      <c r="D163" s="27">
        <v>0</v>
      </c>
      <c r="E163" s="28">
        <v>0</v>
      </c>
      <c r="F163" s="29">
        <v>0</v>
      </c>
      <c r="G163" s="6">
        <f t="shared" si="14"/>
        <v>0</v>
      </c>
      <c r="H163" s="7">
        <f t="shared" si="14"/>
        <v>0</v>
      </c>
      <c r="I163" s="6">
        <f t="shared" si="15"/>
        <v>0</v>
      </c>
      <c r="J163" s="7">
        <f t="shared" si="16"/>
        <v>0</v>
      </c>
      <c r="K163" s="28">
        <v>0</v>
      </c>
      <c r="L163" s="29">
        <v>0</v>
      </c>
      <c r="M163" s="6">
        <f t="shared" si="17"/>
        <v>0</v>
      </c>
      <c r="N163" s="7">
        <f t="shared" si="18"/>
        <v>0</v>
      </c>
      <c r="O163" s="35"/>
      <c r="P163" s="36"/>
      <c r="Q163" s="59"/>
      <c r="R163" s="2" t="str">
        <f t="shared" si="19"/>
        <v>1681|0|0|0|0|0|0|</v>
      </c>
      <c r="S163" s="25"/>
    </row>
    <row r="164" spans="1:19" s="34" customFormat="1" ht="12.75" customHeight="1" x14ac:dyDescent="0.2">
      <c r="A164" s="70" t="s">
        <v>1097</v>
      </c>
      <c r="B164" s="61" t="s">
        <v>1098</v>
      </c>
      <c r="C164" s="26">
        <v>0</v>
      </c>
      <c r="D164" s="27">
        <v>0</v>
      </c>
      <c r="E164" s="28">
        <v>0</v>
      </c>
      <c r="F164" s="29">
        <v>0</v>
      </c>
      <c r="G164" s="6">
        <f t="shared" si="14"/>
        <v>0</v>
      </c>
      <c r="H164" s="7">
        <f t="shared" si="14"/>
        <v>0</v>
      </c>
      <c r="I164" s="6">
        <f t="shared" si="15"/>
        <v>0</v>
      </c>
      <c r="J164" s="7">
        <f t="shared" si="16"/>
        <v>0</v>
      </c>
      <c r="K164" s="28">
        <v>0</v>
      </c>
      <c r="L164" s="29">
        <v>0</v>
      </c>
      <c r="M164" s="6">
        <f t="shared" si="17"/>
        <v>0</v>
      </c>
      <c r="N164" s="7">
        <f t="shared" si="18"/>
        <v>0</v>
      </c>
      <c r="O164" s="35"/>
      <c r="P164" s="36"/>
      <c r="Q164" s="59"/>
      <c r="R164" s="2" t="str">
        <f t="shared" si="19"/>
        <v>1682|0|0|0|0|0|0|</v>
      </c>
      <c r="S164" s="25"/>
    </row>
    <row r="165" spans="1:19" s="34" customFormat="1" ht="12.75" customHeight="1" x14ac:dyDescent="0.2">
      <c r="A165" s="70" t="s">
        <v>447</v>
      </c>
      <c r="B165" s="61" t="s">
        <v>1099</v>
      </c>
      <c r="C165" s="26">
        <v>0</v>
      </c>
      <c r="D165" s="27">
        <v>0</v>
      </c>
      <c r="E165" s="28">
        <v>0</v>
      </c>
      <c r="F165" s="29">
        <v>0</v>
      </c>
      <c r="G165" s="6">
        <f t="shared" si="14"/>
        <v>0</v>
      </c>
      <c r="H165" s="7">
        <f t="shared" si="14"/>
        <v>0</v>
      </c>
      <c r="I165" s="6">
        <f t="shared" si="15"/>
        <v>0</v>
      </c>
      <c r="J165" s="7">
        <f t="shared" si="16"/>
        <v>0</v>
      </c>
      <c r="K165" s="28">
        <v>0</v>
      </c>
      <c r="L165" s="29">
        <v>0</v>
      </c>
      <c r="M165" s="6">
        <f t="shared" si="17"/>
        <v>0</v>
      </c>
      <c r="N165" s="7">
        <f t="shared" si="18"/>
        <v>0</v>
      </c>
      <c r="O165" s="35"/>
      <c r="P165" s="36"/>
      <c r="Q165" s="59"/>
      <c r="R165" s="2" t="str">
        <f t="shared" si="19"/>
        <v>17111|0|0|0|0|0|0|</v>
      </c>
      <c r="S165" s="25"/>
    </row>
    <row r="166" spans="1:19" s="34" customFormat="1" ht="12.75" customHeight="1" x14ac:dyDescent="0.2">
      <c r="A166" s="70" t="s">
        <v>448</v>
      </c>
      <c r="B166" s="61" t="s">
        <v>1100</v>
      </c>
      <c r="C166" s="26">
        <v>0</v>
      </c>
      <c r="D166" s="27">
        <v>0</v>
      </c>
      <c r="E166" s="28">
        <v>0</v>
      </c>
      <c r="F166" s="29">
        <v>0</v>
      </c>
      <c r="G166" s="6">
        <f t="shared" si="14"/>
        <v>0</v>
      </c>
      <c r="H166" s="7">
        <f t="shared" si="14"/>
        <v>0</v>
      </c>
      <c r="I166" s="6">
        <f t="shared" si="15"/>
        <v>0</v>
      </c>
      <c r="J166" s="7">
        <f t="shared" si="16"/>
        <v>0</v>
      </c>
      <c r="K166" s="28">
        <v>0</v>
      </c>
      <c r="L166" s="29">
        <v>0</v>
      </c>
      <c r="M166" s="6">
        <f t="shared" si="17"/>
        <v>0</v>
      </c>
      <c r="N166" s="7">
        <f t="shared" si="18"/>
        <v>0</v>
      </c>
      <c r="O166" s="35"/>
      <c r="P166" s="36"/>
      <c r="Q166" s="59"/>
      <c r="R166" s="2" t="str">
        <f t="shared" si="19"/>
        <v>17112|0|0|0|0|0|0|</v>
      </c>
      <c r="S166" s="25"/>
    </row>
    <row r="167" spans="1:19" s="34" customFormat="1" ht="12.75" customHeight="1" x14ac:dyDescent="0.2">
      <c r="A167" s="70" t="s">
        <v>449</v>
      </c>
      <c r="B167" s="61" t="s">
        <v>1101</v>
      </c>
      <c r="C167" s="26">
        <v>0</v>
      </c>
      <c r="D167" s="27">
        <v>0</v>
      </c>
      <c r="E167" s="28">
        <v>0</v>
      </c>
      <c r="F167" s="29">
        <v>0</v>
      </c>
      <c r="G167" s="6">
        <f t="shared" si="14"/>
        <v>0</v>
      </c>
      <c r="H167" s="7">
        <f t="shared" si="14"/>
        <v>0</v>
      </c>
      <c r="I167" s="6">
        <f t="shared" si="15"/>
        <v>0</v>
      </c>
      <c r="J167" s="7">
        <f t="shared" si="16"/>
        <v>0</v>
      </c>
      <c r="K167" s="28">
        <v>0</v>
      </c>
      <c r="L167" s="29">
        <v>0</v>
      </c>
      <c r="M167" s="6">
        <f t="shared" si="17"/>
        <v>0</v>
      </c>
      <c r="N167" s="7">
        <f t="shared" si="18"/>
        <v>0</v>
      </c>
      <c r="O167" s="35"/>
      <c r="P167" s="36"/>
      <c r="Q167" s="59"/>
      <c r="R167" s="2" t="str">
        <f t="shared" si="19"/>
        <v>17113|0|0|0|0|0|0|</v>
      </c>
      <c r="S167" s="25"/>
    </row>
    <row r="168" spans="1:19" s="34" customFormat="1" ht="12.75" customHeight="1" x14ac:dyDescent="0.2">
      <c r="A168" s="70" t="s">
        <v>450</v>
      </c>
      <c r="B168" s="61" t="s">
        <v>1102</v>
      </c>
      <c r="C168" s="26">
        <v>0</v>
      </c>
      <c r="D168" s="27">
        <v>0</v>
      </c>
      <c r="E168" s="28">
        <v>0</v>
      </c>
      <c r="F168" s="29">
        <v>0</v>
      </c>
      <c r="G168" s="6">
        <f t="shared" si="14"/>
        <v>0</v>
      </c>
      <c r="H168" s="7">
        <f t="shared" si="14"/>
        <v>0</v>
      </c>
      <c r="I168" s="6">
        <f t="shared" si="15"/>
        <v>0</v>
      </c>
      <c r="J168" s="7">
        <f t="shared" si="16"/>
        <v>0</v>
      </c>
      <c r="K168" s="28">
        <v>0</v>
      </c>
      <c r="L168" s="29">
        <v>0</v>
      </c>
      <c r="M168" s="6">
        <f t="shared" si="17"/>
        <v>0</v>
      </c>
      <c r="N168" s="7">
        <f t="shared" si="18"/>
        <v>0</v>
      </c>
      <c r="O168" s="35"/>
      <c r="P168" s="36"/>
      <c r="Q168" s="59"/>
      <c r="R168" s="2" t="str">
        <f t="shared" si="19"/>
        <v>17114|0|0|0|0|0|0|</v>
      </c>
      <c r="S168" s="25"/>
    </row>
    <row r="169" spans="1:19" s="34" customFormat="1" ht="12.75" customHeight="1" x14ac:dyDescent="0.2">
      <c r="A169" s="70" t="s">
        <v>1103</v>
      </c>
      <c r="B169" s="61" t="s">
        <v>1104</v>
      </c>
      <c r="C169" s="26">
        <v>0</v>
      </c>
      <c r="D169" s="27">
        <v>0</v>
      </c>
      <c r="E169" s="28">
        <v>0</v>
      </c>
      <c r="F169" s="29">
        <v>0</v>
      </c>
      <c r="G169" s="6">
        <f t="shared" si="14"/>
        <v>0</v>
      </c>
      <c r="H169" s="7">
        <f t="shared" si="14"/>
        <v>0</v>
      </c>
      <c r="I169" s="6">
        <f t="shared" si="15"/>
        <v>0</v>
      </c>
      <c r="J169" s="7">
        <f t="shared" si="16"/>
        <v>0</v>
      </c>
      <c r="K169" s="28">
        <v>0</v>
      </c>
      <c r="L169" s="29">
        <v>0</v>
      </c>
      <c r="M169" s="6">
        <f t="shared" si="17"/>
        <v>0</v>
      </c>
      <c r="N169" s="7">
        <f t="shared" si="18"/>
        <v>0</v>
      </c>
      <c r="O169" s="35"/>
      <c r="P169" s="36"/>
      <c r="Q169" s="59"/>
      <c r="R169" s="2" t="str">
        <f t="shared" si="19"/>
        <v>17115|0|0|0|0|0|0|</v>
      </c>
      <c r="S169" s="25"/>
    </row>
    <row r="170" spans="1:19" s="34" customFormat="1" ht="12.75" customHeight="1" x14ac:dyDescent="0.2">
      <c r="A170" s="70" t="s">
        <v>451</v>
      </c>
      <c r="B170" s="61" t="s">
        <v>1105</v>
      </c>
      <c r="C170" s="26">
        <v>0</v>
      </c>
      <c r="D170" s="27">
        <v>0</v>
      </c>
      <c r="E170" s="28">
        <v>0</v>
      </c>
      <c r="F170" s="29">
        <v>0</v>
      </c>
      <c r="G170" s="6">
        <f t="shared" si="14"/>
        <v>0</v>
      </c>
      <c r="H170" s="7">
        <f t="shared" si="14"/>
        <v>0</v>
      </c>
      <c r="I170" s="6">
        <f t="shared" si="15"/>
        <v>0</v>
      </c>
      <c r="J170" s="7">
        <f t="shared" si="16"/>
        <v>0</v>
      </c>
      <c r="K170" s="28">
        <v>0</v>
      </c>
      <c r="L170" s="29">
        <v>0</v>
      </c>
      <c r="M170" s="6">
        <f t="shared" si="17"/>
        <v>0</v>
      </c>
      <c r="N170" s="7">
        <f t="shared" si="18"/>
        <v>0</v>
      </c>
      <c r="O170" s="35"/>
      <c r="P170" s="36"/>
      <c r="Q170" s="59"/>
      <c r="R170" s="2" t="str">
        <f t="shared" si="19"/>
        <v>17121|0|0|0|0|0|0|</v>
      </c>
      <c r="S170" s="25"/>
    </row>
    <row r="171" spans="1:19" s="34" customFormat="1" ht="12.75" customHeight="1" x14ac:dyDescent="0.2">
      <c r="A171" s="70" t="s">
        <v>452</v>
      </c>
      <c r="B171" s="61" t="s">
        <v>1106</v>
      </c>
      <c r="C171" s="26">
        <v>0</v>
      </c>
      <c r="D171" s="27">
        <v>0</v>
      </c>
      <c r="E171" s="28">
        <v>0</v>
      </c>
      <c r="F171" s="29">
        <v>0</v>
      </c>
      <c r="G171" s="6">
        <f t="shared" ref="G171:H234" si="20">+C171+E171</f>
        <v>0</v>
      </c>
      <c r="H171" s="7">
        <f t="shared" si="20"/>
        <v>0</v>
      </c>
      <c r="I171" s="6">
        <f t="shared" si="15"/>
        <v>0</v>
      </c>
      <c r="J171" s="7">
        <f t="shared" si="16"/>
        <v>0</v>
      </c>
      <c r="K171" s="28">
        <v>0</v>
      </c>
      <c r="L171" s="29">
        <v>0</v>
      </c>
      <c r="M171" s="6">
        <f t="shared" si="17"/>
        <v>0</v>
      </c>
      <c r="N171" s="7">
        <f t="shared" si="18"/>
        <v>0</v>
      </c>
      <c r="O171" s="35"/>
      <c r="P171" s="36"/>
      <c r="Q171" s="59"/>
      <c r="R171" s="2" t="str">
        <f t="shared" si="19"/>
        <v>17122|0|0|0|0|0|0|</v>
      </c>
      <c r="S171" s="25"/>
    </row>
    <row r="172" spans="1:19" s="34" customFormat="1" ht="12.75" customHeight="1" x14ac:dyDescent="0.2">
      <c r="A172" s="70" t="s">
        <v>453</v>
      </c>
      <c r="B172" s="61" t="s">
        <v>1107</v>
      </c>
      <c r="C172" s="26">
        <v>0</v>
      </c>
      <c r="D172" s="27">
        <v>0</v>
      </c>
      <c r="E172" s="28">
        <v>0</v>
      </c>
      <c r="F172" s="29">
        <v>0</v>
      </c>
      <c r="G172" s="6">
        <f t="shared" si="20"/>
        <v>0</v>
      </c>
      <c r="H172" s="7">
        <f t="shared" si="20"/>
        <v>0</v>
      </c>
      <c r="I172" s="6">
        <f t="shared" si="15"/>
        <v>0</v>
      </c>
      <c r="J172" s="7">
        <f t="shared" si="16"/>
        <v>0</v>
      </c>
      <c r="K172" s="28">
        <v>0</v>
      </c>
      <c r="L172" s="29">
        <v>0</v>
      </c>
      <c r="M172" s="6">
        <f t="shared" si="17"/>
        <v>0</v>
      </c>
      <c r="N172" s="7">
        <f t="shared" si="18"/>
        <v>0</v>
      </c>
      <c r="O172" s="35"/>
      <c r="P172" s="36"/>
      <c r="Q172" s="59"/>
      <c r="R172" s="2" t="str">
        <f t="shared" si="19"/>
        <v>17123|0|0|0|0|0|0|</v>
      </c>
      <c r="S172" s="25"/>
    </row>
    <row r="173" spans="1:19" s="34" customFormat="1" ht="12.75" customHeight="1" x14ac:dyDescent="0.2">
      <c r="A173" s="70" t="s">
        <v>454</v>
      </c>
      <c r="B173" s="61" t="s">
        <v>1108</v>
      </c>
      <c r="C173" s="26">
        <v>0</v>
      </c>
      <c r="D173" s="27">
        <v>0</v>
      </c>
      <c r="E173" s="28">
        <v>0</v>
      </c>
      <c r="F173" s="29">
        <v>0</v>
      </c>
      <c r="G173" s="6">
        <f t="shared" si="20"/>
        <v>0</v>
      </c>
      <c r="H173" s="7">
        <f t="shared" si="20"/>
        <v>0</v>
      </c>
      <c r="I173" s="6">
        <f t="shared" si="15"/>
        <v>0</v>
      </c>
      <c r="J173" s="7">
        <f t="shared" si="16"/>
        <v>0</v>
      </c>
      <c r="K173" s="28">
        <v>0</v>
      </c>
      <c r="L173" s="29">
        <v>0</v>
      </c>
      <c r="M173" s="6">
        <f t="shared" si="17"/>
        <v>0</v>
      </c>
      <c r="N173" s="7">
        <f t="shared" si="18"/>
        <v>0</v>
      </c>
      <c r="O173" s="35"/>
      <c r="P173" s="36"/>
      <c r="Q173" s="59"/>
      <c r="R173" s="2" t="str">
        <f t="shared" si="19"/>
        <v>17124|0|0|0|0|0|0|</v>
      </c>
      <c r="S173" s="25"/>
    </row>
    <row r="174" spans="1:19" s="34" customFormat="1" ht="12.75" customHeight="1" x14ac:dyDescent="0.2">
      <c r="A174" s="70" t="s">
        <v>1109</v>
      </c>
      <c r="B174" s="61" t="s">
        <v>1110</v>
      </c>
      <c r="C174" s="26">
        <v>0</v>
      </c>
      <c r="D174" s="27">
        <v>0</v>
      </c>
      <c r="E174" s="28">
        <v>0</v>
      </c>
      <c r="F174" s="29">
        <v>0</v>
      </c>
      <c r="G174" s="6">
        <f t="shared" si="20"/>
        <v>0</v>
      </c>
      <c r="H174" s="7">
        <f t="shared" si="20"/>
        <v>0</v>
      </c>
      <c r="I174" s="6">
        <f t="shared" si="15"/>
        <v>0</v>
      </c>
      <c r="J174" s="7">
        <f t="shared" si="16"/>
        <v>0</v>
      </c>
      <c r="K174" s="28">
        <v>0</v>
      </c>
      <c r="L174" s="29">
        <v>0</v>
      </c>
      <c r="M174" s="6">
        <f t="shared" si="17"/>
        <v>0</v>
      </c>
      <c r="N174" s="7">
        <f t="shared" si="18"/>
        <v>0</v>
      </c>
      <c r="O174" s="35"/>
      <c r="P174" s="36"/>
      <c r="Q174" s="59"/>
      <c r="R174" s="2" t="str">
        <f t="shared" si="19"/>
        <v>17125|0|0|0|0|0|0|</v>
      </c>
      <c r="S174" s="25"/>
    </row>
    <row r="175" spans="1:19" s="34" customFormat="1" ht="12.75" customHeight="1" x14ac:dyDescent="0.2">
      <c r="A175" s="70" t="s">
        <v>1111</v>
      </c>
      <c r="B175" s="61" t="s">
        <v>1112</v>
      </c>
      <c r="C175" s="26">
        <v>0</v>
      </c>
      <c r="D175" s="27">
        <v>0</v>
      </c>
      <c r="E175" s="28">
        <v>0</v>
      </c>
      <c r="F175" s="29">
        <v>0</v>
      </c>
      <c r="G175" s="6">
        <f t="shared" si="20"/>
        <v>0</v>
      </c>
      <c r="H175" s="7">
        <f t="shared" si="20"/>
        <v>0</v>
      </c>
      <c r="I175" s="6">
        <f t="shared" si="15"/>
        <v>0</v>
      </c>
      <c r="J175" s="7">
        <f t="shared" si="16"/>
        <v>0</v>
      </c>
      <c r="K175" s="28">
        <v>0</v>
      </c>
      <c r="L175" s="29">
        <v>0</v>
      </c>
      <c r="M175" s="6">
        <f t="shared" si="17"/>
        <v>0</v>
      </c>
      <c r="N175" s="7">
        <f t="shared" si="18"/>
        <v>0</v>
      </c>
      <c r="O175" s="35"/>
      <c r="P175" s="36"/>
      <c r="Q175" s="59"/>
      <c r="R175" s="2" t="str">
        <f t="shared" si="19"/>
        <v>17311|0|0|0|0|0|0|</v>
      </c>
      <c r="S175" s="25"/>
    </row>
    <row r="176" spans="1:19" s="34" customFormat="1" ht="12.75" customHeight="1" x14ac:dyDescent="0.2">
      <c r="A176" s="70" t="s">
        <v>1113</v>
      </c>
      <c r="B176" s="61" t="s">
        <v>1114</v>
      </c>
      <c r="C176" s="26">
        <v>0</v>
      </c>
      <c r="D176" s="27">
        <v>0</v>
      </c>
      <c r="E176" s="28">
        <v>0</v>
      </c>
      <c r="F176" s="29">
        <v>0</v>
      </c>
      <c r="G176" s="6">
        <f t="shared" si="20"/>
        <v>0</v>
      </c>
      <c r="H176" s="7">
        <f t="shared" si="20"/>
        <v>0</v>
      </c>
      <c r="I176" s="6">
        <f t="shared" si="15"/>
        <v>0</v>
      </c>
      <c r="J176" s="7">
        <f t="shared" si="16"/>
        <v>0</v>
      </c>
      <c r="K176" s="28">
        <v>0</v>
      </c>
      <c r="L176" s="29">
        <v>0</v>
      </c>
      <c r="M176" s="6">
        <f t="shared" si="17"/>
        <v>0</v>
      </c>
      <c r="N176" s="7">
        <f t="shared" si="18"/>
        <v>0</v>
      </c>
      <c r="O176" s="35"/>
      <c r="P176" s="36"/>
      <c r="Q176" s="59"/>
      <c r="R176" s="2" t="str">
        <f t="shared" si="19"/>
        <v>17312|0|0|0|0|0|0|</v>
      </c>
      <c r="S176" s="25"/>
    </row>
    <row r="177" spans="1:19" s="34" customFormat="1" ht="12.75" customHeight="1" x14ac:dyDescent="0.2">
      <c r="A177" s="70" t="s">
        <v>1115</v>
      </c>
      <c r="B177" s="61" t="s">
        <v>1116</v>
      </c>
      <c r="C177" s="26">
        <v>0</v>
      </c>
      <c r="D177" s="27">
        <v>0</v>
      </c>
      <c r="E177" s="28">
        <v>0</v>
      </c>
      <c r="F177" s="29">
        <v>0</v>
      </c>
      <c r="G177" s="6">
        <f t="shared" si="20"/>
        <v>0</v>
      </c>
      <c r="H177" s="7">
        <f t="shared" si="20"/>
        <v>0</v>
      </c>
      <c r="I177" s="6">
        <f t="shared" si="15"/>
        <v>0</v>
      </c>
      <c r="J177" s="7">
        <f t="shared" si="16"/>
        <v>0</v>
      </c>
      <c r="K177" s="28">
        <v>0</v>
      </c>
      <c r="L177" s="29">
        <v>0</v>
      </c>
      <c r="M177" s="6">
        <f t="shared" si="17"/>
        <v>0</v>
      </c>
      <c r="N177" s="7">
        <f t="shared" si="18"/>
        <v>0</v>
      </c>
      <c r="O177" s="35"/>
      <c r="P177" s="36"/>
      <c r="Q177" s="59"/>
      <c r="R177" s="2" t="str">
        <f t="shared" si="19"/>
        <v>17313|0|0|0|0|0|0|</v>
      </c>
      <c r="S177" s="25"/>
    </row>
    <row r="178" spans="1:19" s="34" customFormat="1" ht="12.75" customHeight="1" x14ac:dyDescent="0.2">
      <c r="A178" s="70" t="s">
        <v>1117</v>
      </c>
      <c r="B178" s="61" t="s">
        <v>1118</v>
      </c>
      <c r="C178" s="26">
        <v>0</v>
      </c>
      <c r="D178" s="27">
        <v>0</v>
      </c>
      <c r="E178" s="28">
        <v>0</v>
      </c>
      <c r="F178" s="29">
        <v>0</v>
      </c>
      <c r="G178" s="6">
        <f t="shared" si="20"/>
        <v>0</v>
      </c>
      <c r="H178" s="7">
        <f t="shared" si="20"/>
        <v>0</v>
      </c>
      <c r="I178" s="6">
        <f t="shared" si="15"/>
        <v>0</v>
      </c>
      <c r="J178" s="7">
        <f t="shared" si="16"/>
        <v>0</v>
      </c>
      <c r="K178" s="28">
        <v>0</v>
      </c>
      <c r="L178" s="29">
        <v>0</v>
      </c>
      <c r="M178" s="6">
        <f t="shared" si="17"/>
        <v>0</v>
      </c>
      <c r="N178" s="7">
        <f t="shared" si="18"/>
        <v>0</v>
      </c>
      <c r="O178" s="35"/>
      <c r="P178" s="36"/>
      <c r="Q178" s="59"/>
      <c r="R178" s="2" t="str">
        <f t="shared" si="19"/>
        <v>17314|0|0|0|0|0|0|</v>
      </c>
      <c r="S178" s="25"/>
    </row>
    <row r="179" spans="1:19" s="34" customFormat="1" ht="12.75" customHeight="1" x14ac:dyDescent="0.2">
      <c r="A179" s="70" t="s">
        <v>1119</v>
      </c>
      <c r="B179" s="61" t="s">
        <v>1120</v>
      </c>
      <c r="C179" s="26">
        <v>0</v>
      </c>
      <c r="D179" s="27">
        <v>0</v>
      </c>
      <c r="E179" s="28">
        <v>0</v>
      </c>
      <c r="F179" s="29">
        <v>0</v>
      </c>
      <c r="G179" s="6">
        <f t="shared" si="20"/>
        <v>0</v>
      </c>
      <c r="H179" s="7">
        <f t="shared" si="20"/>
        <v>0</v>
      </c>
      <c r="I179" s="6">
        <f t="shared" si="15"/>
        <v>0</v>
      </c>
      <c r="J179" s="7">
        <f t="shared" si="16"/>
        <v>0</v>
      </c>
      <c r="K179" s="28">
        <v>0</v>
      </c>
      <c r="L179" s="29">
        <v>0</v>
      </c>
      <c r="M179" s="6">
        <f t="shared" si="17"/>
        <v>0</v>
      </c>
      <c r="N179" s="7">
        <f t="shared" si="18"/>
        <v>0</v>
      </c>
      <c r="O179" s="35"/>
      <c r="P179" s="36"/>
      <c r="Q179" s="59"/>
      <c r="R179" s="2" t="str">
        <f t="shared" si="19"/>
        <v>17315|0|0|0|0|0|0|</v>
      </c>
      <c r="S179" s="25"/>
    </row>
    <row r="180" spans="1:19" s="34" customFormat="1" ht="12.75" customHeight="1" x14ac:dyDescent="0.2">
      <c r="A180" s="70" t="s">
        <v>1121</v>
      </c>
      <c r="B180" s="61" t="s">
        <v>1122</v>
      </c>
      <c r="C180" s="26">
        <v>0</v>
      </c>
      <c r="D180" s="27">
        <v>0</v>
      </c>
      <c r="E180" s="28">
        <v>0</v>
      </c>
      <c r="F180" s="29">
        <v>0</v>
      </c>
      <c r="G180" s="6">
        <f t="shared" si="20"/>
        <v>0</v>
      </c>
      <c r="H180" s="7">
        <f t="shared" si="20"/>
        <v>0</v>
      </c>
      <c r="I180" s="6">
        <f t="shared" si="15"/>
        <v>0</v>
      </c>
      <c r="J180" s="7">
        <f t="shared" si="16"/>
        <v>0</v>
      </c>
      <c r="K180" s="28">
        <v>0</v>
      </c>
      <c r="L180" s="29">
        <v>0</v>
      </c>
      <c r="M180" s="6">
        <f t="shared" si="17"/>
        <v>0</v>
      </c>
      <c r="N180" s="7">
        <f t="shared" si="18"/>
        <v>0</v>
      </c>
      <c r="O180" s="35"/>
      <c r="P180" s="36"/>
      <c r="Q180" s="59"/>
      <c r="R180" s="2" t="str">
        <f t="shared" si="19"/>
        <v>17321|0|0|0|0|0|0|</v>
      </c>
      <c r="S180" s="25"/>
    </row>
    <row r="181" spans="1:19" s="34" customFormat="1" ht="12.75" customHeight="1" x14ac:dyDescent="0.2">
      <c r="A181" s="70" t="s">
        <v>1123</v>
      </c>
      <c r="B181" s="61" t="s">
        <v>1124</v>
      </c>
      <c r="C181" s="26">
        <v>0</v>
      </c>
      <c r="D181" s="27">
        <v>0</v>
      </c>
      <c r="E181" s="28">
        <v>0</v>
      </c>
      <c r="F181" s="29">
        <v>0</v>
      </c>
      <c r="G181" s="6">
        <f t="shared" si="20"/>
        <v>0</v>
      </c>
      <c r="H181" s="7">
        <f t="shared" si="20"/>
        <v>0</v>
      </c>
      <c r="I181" s="6">
        <f t="shared" si="15"/>
        <v>0</v>
      </c>
      <c r="J181" s="7">
        <f t="shared" si="16"/>
        <v>0</v>
      </c>
      <c r="K181" s="28">
        <v>0</v>
      </c>
      <c r="L181" s="29">
        <v>0</v>
      </c>
      <c r="M181" s="6">
        <f t="shared" si="17"/>
        <v>0</v>
      </c>
      <c r="N181" s="7">
        <f t="shared" si="18"/>
        <v>0</v>
      </c>
      <c r="O181" s="35"/>
      <c r="P181" s="36"/>
      <c r="Q181" s="59"/>
      <c r="R181" s="2" t="str">
        <f t="shared" si="19"/>
        <v>17322|0|0|0|0|0|0|</v>
      </c>
      <c r="S181" s="25"/>
    </row>
    <row r="182" spans="1:19" s="34" customFormat="1" ht="12.75" customHeight="1" x14ac:dyDescent="0.2">
      <c r="A182" s="70" t="s">
        <v>1125</v>
      </c>
      <c r="B182" s="61" t="s">
        <v>1126</v>
      </c>
      <c r="C182" s="26">
        <v>0</v>
      </c>
      <c r="D182" s="27">
        <v>0</v>
      </c>
      <c r="E182" s="28">
        <v>0</v>
      </c>
      <c r="F182" s="29">
        <v>0</v>
      </c>
      <c r="G182" s="6">
        <f t="shared" si="20"/>
        <v>0</v>
      </c>
      <c r="H182" s="7">
        <f t="shared" si="20"/>
        <v>0</v>
      </c>
      <c r="I182" s="6">
        <f t="shared" si="15"/>
        <v>0</v>
      </c>
      <c r="J182" s="7">
        <f t="shared" si="16"/>
        <v>0</v>
      </c>
      <c r="K182" s="28">
        <v>0</v>
      </c>
      <c r="L182" s="29">
        <v>0</v>
      </c>
      <c r="M182" s="6">
        <f t="shared" si="17"/>
        <v>0</v>
      </c>
      <c r="N182" s="7">
        <f t="shared" si="18"/>
        <v>0</v>
      </c>
      <c r="O182" s="35"/>
      <c r="P182" s="36"/>
      <c r="Q182" s="59"/>
      <c r="R182" s="2" t="str">
        <f t="shared" si="19"/>
        <v>17323|0|0|0|0|0|0|</v>
      </c>
      <c r="S182" s="25"/>
    </row>
    <row r="183" spans="1:19" s="34" customFormat="1" ht="12.75" customHeight="1" x14ac:dyDescent="0.2">
      <c r="A183" s="70" t="s">
        <v>1127</v>
      </c>
      <c r="B183" s="61" t="s">
        <v>1128</v>
      </c>
      <c r="C183" s="26">
        <v>0</v>
      </c>
      <c r="D183" s="27">
        <v>0</v>
      </c>
      <c r="E183" s="28">
        <v>0</v>
      </c>
      <c r="F183" s="29">
        <v>0</v>
      </c>
      <c r="G183" s="6">
        <f t="shared" si="20"/>
        <v>0</v>
      </c>
      <c r="H183" s="7">
        <f t="shared" si="20"/>
        <v>0</v>
      </c>
      <c r="I183" s="6">
        <f t="shared" si="15"/>
        <v>0</v>
      </c>
      <c r="J183" s="7">
        <f t="shared" si="16"/>
        <v>0</v>
      </c>
      <c r="K183" s="28">
        <v>0</v>
      </c>
      <c r="L183" s="29">
        <v>0</v>
      </c>
      <c r="M183" s="6">
        <f t="shared" si="17"/>
        <v>0</v>
      </c>
      <c r="N183" s="7">
        <f t="shared" si="18"/>
        <v>0</v>
      </c>
      <c r="O183" s="35"/>
      <c r="P183" s="36"/>
      <c r="Q183" s="59"/>
      <c r="R183" s="2" t="str">
        <f t="shared" si="19"/>
        <v>17324|0|0|0|0|0|0|</v>
      </c>
      <c r="S183" s="25"/>
    </row>
    <row r="184" spans="1:19" s="34" customFormat="1" ht="12.75" customHeight="1" x14ac:dyDescent="0.2">
      <c r="A184" s="70" t="s">
        <v>1129</v>
      </c>
      <c r="B184" s="61" t="s">
        <v>1130</v>
      </c>
      <c r="C184" s="26">
        <v>0</v>
      </c>
      <c r="D184" s="27">
        <v>0</v>
      </c>
      <c r="E184" s="28">
        <v>0</v>
      </c>
      <c r="F184" s="29">
        <v>0</v>
      </c>
      <c r="G184" s="6">
        <f t="shared" si="20"/>
        <v>0</v>
      </c>
      <c r="H184" s="7">
        <f t="shared" si="20"/>
        <v>0</v>
      </c>
      <c r="I184" s="6">
        <f t="shared" si="15"/>
        <v>0</v>
      </c>
      <c r="J184" s="7">
        <f t="shared" si="16"/>
        <v>0</v>
      </c>
      <c r="K184" s="28">
        <v>0</v>
      </c>
      <c r="L184" s="29">
        <v>0</v>
      </c>
      <c r="M184" s="6">
        <f t="shared" si="17"/>
        <v>0</v>
      </c>
      <c r="N184" s="7">
        <f t="shared" si="18"/>
        <v>0</v>
      </c>
      <c r="O184" s="35"/>
      <c r="P184" s="36"/>
      <c r="Q184" s="59"/>
      <c r="R184" s="2" t="str">
        <f t="shared" si="19"/>
        <v>17325|0|0|0|0|0|0|</v>
      </c>
      <c r="S184" s="25"/>
    </row>
    <row r="185" spans="1:19" s="34" customFormat="1" ht="12.75" customHeight="1" x14ac:dyDescent="0.2">
      <c r="A185" s="70" t="s">
        <v>1131</v>
      </c>
      <c r="B185" s="61" t="s">
        <v>1132</v>
      </c>
      <c r="C185" s="26">
        <v>0</v>
      </c>
      <c r="D185" s="27">
        <v>0</v>
      </c>
      <c r="E185" s="28">
        <v>0</v>
      </c>
      <c r="F185" s="29">
        <v>0</v>
      </c>
      <c r="G185" s="6">
        <f t="shared" si="20"/>
        <v>0</v>
      </c>
      <c r="H185" s="7">
        <f t="shared" si="20"/>
        <v>0</v>
      </c>
      <c r="I185" s="6">
        <f t="shared" si="15"/>
        <v>0</v>
      </c>
      <c r="J185" s="7">
        <f t="shared" si="16"/>
        <v>0</v>
      </c>
      <c r="K185" s="28">
        <v>0</v>
      </c>
      <c r="L185" s="29">
        <v>0</v>
      </c>
      <c r="M185" s="6">
        <f t="shared" si="17"/>
        <v>0</v>
      </c>
      <c r="N185" s="7">
        <f t="shared" si="18"/>
        <v>0</v>
      </c>
      <c r="O185" s="35"/>
      <c r="P185" s="36"/>
      <c r="Q185" s="59"/>
      <c r="R185" s="2" t="str">
        <f t="shared" si="19"/>
        <v>17331|0|0|0|0|0|0|</v>
      </c>
      <c r="S185" s="25"/>
    </row>
    <row r="186" spans="1:19" s="34" customFormat="1" ht="12.75" customHeight="1" x14ac:dyDescent="0.2">
      <c r="A186" s="70" t="s">
        <v>1133</v>
      </c>
      <c r="B186" s="61" t="s">
        <v>1134</v>
      </c>
      <c r="C186" s="26">
        <v>0</v>
      </c>
      <c r="D186" s="27">
        <v>0</v>
      </c>
      <c r="E186" s="28">
        <v>0</v>
      </c>
      <c r="F186" s="29">
        <v>0</v>
      </c>
      <c r="G186" s="6">
        <f t="shared" si="20"/>
        <v>0</v>
      </c>
      <c r="H186" s="7">
        <f t="shared" si="20"/>
        <v>0</v>
      </c>
      <c r="I186" s="6">
        <f t="shared" si="15"/>
        <v>0</v>
      </c>
      <c r="J186" s="7">
        <f t="shared" si="16"/>
        <v>0</v>
      </c>
      <c r="K186" s="28">
        <v>0</v>
      </c>
      <c r="L186" s="29">
        <v>0</v>
      </c>
      <c r="M186" s="6">
        <f t="shared" si="17"/>
        <v>0</v>
      </c>
      <c r="N186" s="7">
        <f t="shared" si="18"/>
        <v>0</v>
      </c>
      <c r="O186" s="35"/>
      <c r="P186" s="36"/>
      <c r="Q186" s="59"/>
      <c r="R186" s="2" t="str">
        <f t="shared" si="19"/>
        <v>17332|0|0|0|0|0|0|</v>
      </c>
      <c r="S186" s="25"/>
    </row>
    <row r="187" spans="1:19" s="34" customFormat="1" ht="12.75" customHeight="1" x14ac:dyDescent="0.2">
      <c r="A187" s="70" t="s">
        <v>1135</v>
      </c>
      <c r="B187" s="61" t="s">
        <v>1136</v>
      </c>
      <c r="C187" s="26">
        <v>0</v>
      </c>
      <c r="D187" s="27">
        <v>0</v>
      </c>
      <c r="E187" s="28">
        <v>0</v>
      </c>
      <c r="F187" s="29">
        <v>0</v>
      </c>
      <c r="G187" s="6">
        <f t="shared" si="20"/>
        <v>0</v>
      </c>
      <c r="H187" s="7">
        <f t="shared" si="20"/>
        <v>0</v>
      </c>
      <c r="I187" s="6">
        <f t="shared" si="15"/>
        <v>0</v>
      </c>
      <c r="J187" s="7">
        <f t="shared" si="16"/>
        <v>0</v>
      </c>
      <c r="K187" s="28">
        <v>0</v>
      </c>
      <c r="L187" s="29">
        <v>0</v>
      </c>
      <c r="M187" s="6">
        <f t="shared" si="17"/>
        <v>0</v>
      </c>
      <c r="N187" s="7">
        <f t="shared" si="18"/>
        <v>0</v>
      </c>
      <c r="O187" s="35"/>
      <c r="P187" s="36"/>
      <c r="Q187" s="59"/>
      <c r="R187" s="2" t="str">
        <f t="shared" si="19"/>
        <v>17333|0|0|0|0|0|0|</v>
      </c>
      <c r="S187" s="25"/>
    </row>
    <row r="188" spans="1:19" s="34" customFormat="1" ht="12.75" customHeight="1" x14ac:dyDescent="0.2">
      <c r="A188" s="70" t="s">
        <v>1137</v>
      </c>
      <c r="B188" s="61" t="s">
        <v>1138</v>
      </c>
      <c r="C188" s="26">
        <v>0</v>
      </c>
      <c r="D188" s="27">
        <v>0</v>
      </c>
      <c r="E188" s="28">
        <v>0</v>
      </c>
      <c r="F188" s="29">
        <v>0</v>
      </c>
      <c r="G188" s="6">
        <f t="shared" si="20"/>
        <v>0</v>
      </c>
      <c r="H188" s="7">
        <f t="shared" si="20"/>
        <v>0</v>
      </c>
      <c r="I188" s="6">
        <f t="shared" si="15"/>
        <v>0</v>
      </c>
      <c r="J188" s="7">
        <f t="shared" si="16"/>
        <v>0</v>
      </c>
      <c r="K188" s="28">
        <v>0</v>
      </c>
      <c r="L188" s="29">
        <v>0</v>
      </c>
      <c r="M188" s="6">
        <f t="shared" si="17"/>
        <v>0</v>
      </c>
      <c r="N188" s="7">
        <f t="shared" si="18"/>
        <v>0</v>
      </c>
      <c r="O188" s="35"/>
      <c r="P188" s="36"/>
      <c r="Q188" s="59"/>
      <c r="R188" s="2" t="str">
        <f t="shared" si="19"/>
        <v>17334|0|0|0|0|0|0|</v>
      </c>
      <c r="S188" s="25"/>
    </row>
    <row r="189" spans="1:19" s="34" customFormat="1" ht="12.75" customHeight="1" x14ac:dyDescent="0.2">
      <c r="A189" s="70" t="s">
        <v>1139</v>
      </c>
      <c r="B189" s="61" t="s">
        <v>1140</v>
      </c>
      <c r="C189" s="26">
        <v>0</v>
      </c>
      <c r="D189" s="27">
        <v>0</v>
      </c>
      <c r="E189" s="28">
        <v>0</v>
      </c>
      <c r="F189" s="29">
        <v>0</v>
      </c>
      <c r="G189" s="6">
        <f t="shared" si="20"/>
        <v>0</v>
      </c>
      <c r="H189" s="7">
        <f t="shared" si="20"/>
        <v>0</v>
      </c>
      <c r="I189" s="6">
        <f t="shared" si="15"/>
        <v>0</v>
      </c>
      <c r="J189" s="7">
        <f t="shared" si="16"/>
        <v>0</v>
      </c>
      <c r="K189" s="28">
        <v>0</v>
      </c>
      <c r="L189" s="29">
        <v>0</v>
      </c>
      <c r="M189" s="6">
        <f t="shared" si="17"/>
        <v>0</v>
      </c>
      <c r="N189" s="7">
        <f t="shared" si="18"/>
        <v>0</v>
      </c>
      <c r="O189" s="35"/>
      <c r="P189" s="36"/>
      <c r="Q189" s="59"/>
      <c r="R189" s="2" t="str">
        <f t="shared" si="19"/>
        <v>174|0|0|0|0|0|0|</v>
      </c>
      <c r="S189" s="25"/>
    </row>
    <row r="190" spans="1:19" s="34" customFormat="1" ht="12.75" customHeight="1" x14ac:dyDescent="0.2">
      <c r="A190" s="70" t="s">
        <v>1141</v>
      </c>
      <c r="B190" s="61" t="s">
        <v>1142</v>
      </c>
      <c r="C190" s="26">
        <v>0</v>
      </c>
      <c r="D190" s="27">
        <v>0</v>
      </c>
      <c r="E190" s="28">
        <v>0</v>
      </c>
      <c r="F190" s="29">
        <v>0</v>
      </c>
      <c r="G190" s="6">
        <f t="shared" si="20"/>
        <v>0</v>
      </c>
      <c r="H190" s="7">
        <f t="shared" si="20"/>
        <v>0</v>
      </c>
      <c r="I190" s="6">
        <f t="shared" si="15"/>
        <v>0</v>
      </c>
      <c r="J190" s="7">
        <f t="shared" si="16"/>
        <v>0</v>
      </c>
      <c r="K190" s="28">
        <v>0</v>
      </c>
      <c r="L190" s="29">
        <v>0</v>
      </c>
      <c r="M190" s="6">
        <f t="shared" si="17"/>
        <v>0</v>
      </c>
      <c r="N190" s="7">
        <f t="shared" si="18"/>
        <v>0</v>
      </c>
      <c r="O190" s="35"/>
      <c r="P190" s="36"/>
      <c r="Q190" s="59"/>
      <c r="R190" s="2" t="str">
        <f t="shared" si="19"/>
        <v>1751|0|0|0|0|0|0|</v>
      </c>
      <c r="S190" s="25"/>
    </row>
    <row r="191" spans="1:19" s="34" customFormat="1" ht="12.75" customHeight="1" x14ac:dyDescent="0.2">
      <c r="A191" s="70" t="s">
        <v>1143</v>
      </c>
      <c r="B191" s="61" t="s">
        <v>1144</v>
      </c>
      <c r="C191" s="26">
        <v>0</v>
      </c>
      <c r="D191" s="27">
        <v>0</v>
      </c>
      <c r="E191" s="28">
        <v>0</v>
      </c>
      <c r="F191" s="29">
        <v>0</v>
      </c>
      <c r="G191" s="6">
        <f t="shared" si="20"/>
        <v>0</v>
      </c>
      <c r="H191" s="7">
        <f t="shared" si="20"/>
        <v>0</v>
      </c>
      <c r="I191" s="6">
        <f t="shared" si="15"/>
        <v>0</v>
      </c>
      <c r="J191" s="7">
        <f t="shared" si="16"/>
        <v>0</v>
      </c>
      <c r="K191" s="28">
        <v>0</v>
      </c>
      <c r="L191" s="29">
        <v>0</v>
      </c>
      <c r="M191" s="6">
        <f t="shared" si="17"/>
        <v>0</v>
      </c>
      <c r="N191" s="7">
        <f t="shared" si="18"/>
        <v>0</v>
      </c>
      <c r="O191" s="35"/>
      <c r="P191" s="36"/>
      <c r="Q191" s="59"/>
      <c r="R191" s="2" t="str">
        <f t="shared" si="19"/>
        <v>1752|0|0|0|0|0|0|</v>
      </c>
      <c r="S191" s="25"/>
    </row>
    <row r="192" spans="1:19" s="34" customFormat="1" ht="12.75" customHeight="1" x14ac:dyDescent="0.2">
      <c r="A192" s="70" t="s">
        <v>1145</v>
      </c>
      <c r="B192" s="61" t="s">
        <v>1146</v>
      </c>
      <c r="C192" s="26">
        <v>0</v>
      </c>
      <c r="D192" s="27">
        <v>0</v>
      </c>
      <c r="E192" s="28">
        <v>0</v>
      </c>
      <c r="F192" s="29">
        <v>0</v>
      </c>
      <c r="G192" s="6">
        <f t="shared" si="20"/>
        <v>0</v>
      </c>
      <c r="H192" s="7">
        <f t="shared" si="20"/>
        <v>0</v>
      </c>
      <c r="I192" s="6">
        <f t="shared" si="15"/>
        <v>0</v>
      </c>
      <c r="J192" s="7">
        <f t="shared" si="16"/>
        <v>0</v>
      </c>
      <c r="K192" s="28">
        <v>0</v>
      </c>
      <c r="L192" s="29">
        <v>0</v>
      </c>
      <c r="M192" s="6">
        <f t="shared" si="17"/>
        <v>0</v>
      </c>
      <c r="N192" s="7">
        <f t="shared" si="18"/>
        <v>0</v>
      </c>
      <c r="O192" s="35"/>
      <c r="P192" s="36"/>
      <c r="Q192" s="59"/>
      <c r="R192" s="2" t="str">
        <f t="shared" si="19"/>
        <v>1753|0|0|0|0|0|0|</v>
      </c>
      <c r="S192" s="25"/>
    </row>
    <row r="193" spans="1:19" s="34" customFormat="1" ht="12.75" customHeight="1" x14ac:dyDescent="0.2">
      <c r="A193" s="70" t="s">
        <v>1147</v>
      </c>
      <c r="B193" s="61" t="s">
        <v>1148</v>
      </c>
      <c r="C193" s="26">
        <v>0</v>
      </c>
      <c r="D193" s="27">
        <v>0</v>
      </c>
      <c r="E193" s="28">
        <v>0</v>
      </c>
      <c r="F193" s="29">
        <v>0</v>
      </c>
      <c r="G193" s="6">
        <f t="shared" si="20"/>
        <v>0</v>
      </c>
      <c r="H193" s="7">
        <f t="shared" si="20"/>
        <v>0</v>
      </c>
      <c r="I193" s="6">
        <f t="shared" si="15"/>
        <v>0</v>
      </c>
      <c r="J193" s="7">
        <f t="shared" si="16"/>
        <v>0</v>
      </c>
      <c r="K193" s="28">
        <v>0</v>
      </c>
      <c r="L193" s="29">
        <v>0</v>
      </c>
      <c r="M193" s="6">
        <f t="shared" si="17"/>
        <v>0</v>
      </c>
      <c r="N193" s="7">
        <f t="shared" si="18"/>
        <v>0</v>
      </c>
      <c r="O193" s="35"/>
      <c r="P193" s="36"/>
      <c r="Q193" s="59"/>
      <c r="R193" s="2" t="str">
        <f t="shared" si="19"/>
        <v>1754|0|0|0|0|0|0|</v>
      </c>
      <c r="S193" s="25"/>
    </row>
    <row r="194" spans="1:19" s="34" customFormat="1" ht="12.75" customHeight="1" x14ac:dyDescent="0.2">
      <c r="A194" s="70" t="s">
        <v>1149</v>
      </c>
      <c r="B194" s="61" t="s">
        <v>1150</v>
      </c>
      <c r="C194" s="26">
        <v>0</v>
      </c>
      <c r="D194" s="27">
        <v>0</v>
      </c>
      <c r="E194" s="28">
        <v>0</v>
      </c>
      <c r="F194" s="29">
        <v>0</v>
      </c>
      <c r="G194" s="6">
        <f t="shared" si="20"/>
        <v>0</v>
      </c>
      <c r="H194" s="7">
        <f t="shared" si="20"/>
        <v>0</v>
      </c>
      <c r="I194" s="6">
        <f t="shared" si="15"/>
        <v>0</v>
      </c>
      <c r="J194" s="7">
        <f t="shared" si="16"/>
        <v>0</v>
      </c>
      <c r="K194" s="28">
        <v>0</v>
      </c>
      <c r="L194" s="29">
        <v>0</v>
      </c>
      <c r="M194" s="6">
        <f t="shared" si="17"/>
        <v>0</v>
      </c>
      <c r="N194" s="7">
        <f t="shared" si="18"/>
        <v>0</v>
      </c>
      <c r="O194" s="35"/>
      <c r="P194" s="36"/>
      <c r="Q194" s="59"/>
      <c r="R194" s="2" t="str">
        <f t="shared" si="19"/>
        <v>1755|0|0|0|0|0|0|</v>
      </c>
      <c r="S194" s="25"/>
    </row>
    <row r="195" spans="1:19" s="34" customFormat="1" ht="12.75" customHeight="1" x14ac:dyDescent="0.2">
      <c r="A195" s="70" t="s">
        <v>1151</v>
      </c>
      <c r="B195" s="61" t="s">
        <v>1152</v>
      </c>
      <c r="C195" s="26">
        <v>0</v>
      </c>
      <c r="D195" s="27">
        <v>0</v>
      </c>
      <c r="E195" s="28">
        <v>0</v>
      </c>
      <c r="F195" s="29">
        <v>0</v>
      </c>
      <c r="G195" s="6">
        <f t="shared" si="20"/>
        <v>0</v>
      </c>
      <c r="H195" s="7">
        <f t="shared" si="20"/>
        <v>0</v>
      </c>
      <c r="I195" s="6">
        <f t="shared" si="15"/>
        <v>0</v>
      </c>
      <c r="J195" s="7">
        <f t="shared" si="16"/>
        <v>0</v>
      </c>
      <c r="K195" s="28">
        <v>0</v>
      </c>
      <c r="L195" s="29">
        <v>0</v>
      </c>
      <c r="M195" s="6">
        <f t="shared" si="17"/>
        <v>0</v>
      </c>
      <c r="N195" s="7">
        <f t="shared" si="18"/>
        <v>0</v>
      </c>
      <c r="O195" s="35"/>
      <c r="P195" s="36"/>
      <c r="Q195" s="59"/>
      <c r="R195" s="2" t="str">
        <f t="shared" si="19"/>
        <v>176|0|0|0|0|0|0|</v>
      </c>
      <c r="S195" s="25"/>
    </row>
    <row r="196" spans="1:19" s="34" customFormat="1" ht="12.75" customHeight="1" x14ac:dyDescent="0.2">
      <c r="A196" s="70" t="s">
        <v>455</v>
      </c>
      <c r="B196" s="61" t="s">
        <v>1153</v>
      </c>
      <c r="C196" s="26">
        <v>0</v>
      </c>
      <c r="D196" s="27">
        <v>0</v>
      </c>
      <c r="E196" s="28">
        <v>0</v>
      </c>
      <c r="F196" s="29">
        <v>0</v>
      </c>
      <c r="G196" s="6">
        <f t="shared" si="20"/>
        <v>0</v>
      </c>
      <c r="H196" s="7">
        <f t="shared" si="20"/>
        <v>0</v>
      </c>
      <c r="I196" s="6">
        <f t="shared" si="15"/>
        <v>0</v>
      </c>
      <c r="J196" s="7">
        <f t="shared" si="16"/>
        <v>0</v>
      </c>
      <c r="K196" s="28">
        <v>0</v>
      </c>
      <c r="L196" s="29">
        <v>0</v>
      </c>
      <c r="M196" s="6">
        <f t="shared" si="17"/>
        <v>0</v>
      </c>
      <c r="N196" s="7">
        <f t="shared" si="18"/>
        <v>0</v>
      </c>
      <c r="O196" s="35"/>
      <c r="P196" s="36"/>
      <c r="Q196" s="59"/>
      <c r="R196" s="2" t="str">
        <f t="shared" si="19"/>
        <v>178|0|0|0|0|0|0|</v>
      </c>
      <c r="S196" s="25"/>
    </row>
    <row r="197" spans="1:19" s="34" customFormat="1" ht="12.75" customHeight="1" x14ac:dyDescent="0.2">
      <c r="A197" s="70" t="s">
        <v>456</v>
      </c>
      <c r="B197" s="61" t="s">
        <v>1154</v>
      </c>
      <c r="C197" s="26">
        <v>0</v>
      </c>
      <c r="D197" s="27">
        <v>0</v>
      </c>
      <c r="E197" s="28">
        <v>0</v>
      </c>
      <c r="F197" s="29">
        <v>0</v>
      </c>
      <c r="G197" s="6">
        <f t="shared" si="20"/>
        <v>0</v>
      </c>
      <c r="H197" s="7">
        <f t="shared" si="20"/>
        <v>0</v>
      </c>
      <c r="I197" s="6">
        <f t="shared" ref="I197:I260" si="21">IF($G197-$H197&gt;=0,$G197-$H197,0)</f>
        <v>0</v>
      </c>
      <c r="J197" s="7">
        <f t="shared" ref="J197:J260" si="22">IF($G197-$H197&lt;0,-$G197+$H197,0)</f>
        <v>0</v>
      </c>
      <c r="K197" s="28">
        <v>0</v>
      </c>
      <c r="L197" s="29">
        <v>0</v>
      </c>
      <c r="M197" s="6">
        <f t="shared" ref="M197:M260" si="23">IF($I197-$J197+$K197-$L197&gt;=0,$I197-$J197+$K197-$L197,0)</f>
        <v>0</v>
      </c>
      <c r="N197" s="7">
        <f t="shared" ref="N197:N260" si="24">IF($I197-$J197+$K197-$L197&lt;0,-($I197-$J197+$K197-$L197),0)</f>
        <v>0</v>
      </c>
      <c r="O197" s="35"/>
      <c r="P197" s="36"/>
      <c r="Q197" s="59"/>
      <c r="R197" s="2" t="str">
        <f t="shared" ref="R197:R260" si="25">CONCATENATE(A197,"|",C197,"|",D197,"|",E197,"|",F197,"|",K197,"|",L197,"|")</f>
        <v>181|0|0|0|0|0|0|</v>
      </c>
      <c r="S197" s="25"/>
    </row>
    <row r="198" spans="1:19" s="34" customFormat="1" ht="12.75" customHeight="1" x14ac:dyDescent="0.2">
      <c r="A198" s="70" t="s">
        <v>457</v>
      </c>
      <c r="B198" s="61" t="s">
        <v>1155</v>
      </c>
      <c r="C198" s="26">
        <v>0</v>
      </c>
      <c r="D198" s="27">
        <v>0</v>
      </c>
      <c r="E198" s="28">
        <v>0</v>
      </c>
      <c r="F198" s="29">
        <v>0</v>
      </c>
      <c r="G198" s="6">
        <f t="shared" si="20"/>
        <v>0</v>
      </c>
      <c r="H198" s="7">
        <f t="shared" si="20"/>
        <v>0</v>
      </c>
      <c r="I198" s="6">
        <f t="shared" si="21"/>
        <v>0</v>
      </c>
      <c r="J198" s="7">
        <f t="shared" si="22"/>
        <v>0</v>
      </c>
      <c r="K198" s="28">
        <v>0</v>
      </c>
      <c r="L198" s="29">
        <v>0</v>
      </c>
      <c r="M198" s="6">
        <f t="shared" si="23"/>
        <v>0</v>
      </c>
      <c r="N198" s="7">
        <f t="shared" si="24"/>
        <v>0</v>
      </c>
      <c r="O198" s="35"/>
      <c r="P198" s="36"/>
      <c r="Q198" s="59"/>
      <c r="R198" s="2" t="str">
        <f t="shared" si="25"/>
        <v>182|0|0|0|0|0|0|</v>
      </c>
      <c r="S198" s="25"/>
    </row>
    <row r="199" spans="1:19" s="34" customFormat="1" ht="12.75" customHeight="1" x14ac:dyDescent="0.2">
      <c r="A199" s="70" t="s">
        <v>458</v>
      </c>
      <c r="B199" s="61" t="s">
        <v>1156</v>
      </c>
      <c r="C199" s="26">
        <v>0</v>
      </c>
      <c r="D199" s="27">
        <v>0</v>
      </c>
      <c r="E199" s="28">
        <v>0</v>
      </c>
      <c r="F199" s="29">
        <v>0</v>
      </c>
      <c r="G199" s="6">
        <f t="shared" si="20"/>
        <v>0</v>
      </c>
      <c r="H199" s="7">
        <f t="shared" si="20"/>
        <v>0</v>
      </c>
      <c r="I199" s="6">
        <f t="shared" si="21"/>
        <v>0</v>
      </c>
      <c r="J199" s="7">
        <f t="shared" si="22"/>
        <v>0</v>
      </c>
      <c r="K199" s="28">
        <v>0</v>
      </c>
      <c r="L199" s="29">
        <v>0</v>
      </c>
      <c r="M199" s="6">
        <f t="shared" si="23"/>
        <v>0</v>
      </c>
      <c r="N199" s="7">
        <f t="shared" si="24"/>
        <v>0</v>
      </c>
      <c r="O199" s="35"/>
      <c r="P199" s="36"/>
      <c r="Q199" s="59"/>
      <c r="R199" s="2" t="str">
        <f t="shared" si="25"/>
        <v>183|0|0|0|0|0|0|</v>
      </c>
      <c r="S199" s="25"/>
    </row>
    <row r="200" spans="1:19" s="34" customFormat="1" ht="12.75" customHeight="1" x14ac:dyDescent="0.2">
      <c r="A200" s="70" t="s">
        <v>459</v>
      </c>
      <c r="B200" s="61" t="s">
        <v>1157</v>
      </c>
      <c r="C200" s="26">
        <v>0</v>
      </c>
      <c r="D200" s="27">
        <v>0</v>
      </c>
      <c r="E200" s="28">
        <v>0</v>
      </c>
      <c r="F200" s="29">
        <v>0</v>
      </c>
      <c r="G200" s="6">
        <f t="shared" si="20"/>
        <v>0</v>
      </c>
      <c r="H200" s="7">
        <f t="shared" si="20"/>
        <v>0</v>
      </c>
      <c r="I200" s="6">
        <f t="shared" si="21"/>
        <v>0</v>
      </c>
      <c r="J200" s="7">
        <f t="shared" si="22"/>
        <v>0</v>
      </c>
      <c r="K200" s="28">
        <v>0</v>
      </c>
      <c r="L200" s="29">
        <v>0</v>
      </c>
      <c r="M200" s="6">
        <f t="shared" si="23"/>
        <v>0</v>
      </c>
      <c r="N200" s="7">
        <f t="shared" si="24"/>
        <v>0</v>
      </c>
      <c r="O200" s="35"/>
      <c r="P200" s="36"/>
      <c r="Q200" s="59"/>
      <c r="R200" s="2" t="str">
        <f t="shared" si="25"/>
        <v>184|0|0|0|0|0|0|</v>
      </c>
      <c r="S200" s="25"/>
    </row>
    <row r="201" spans="1:19" s="34" customFormat="1" ht="12.75" customHeight="1" x14ac:dyDescent="0.2">
      <c r="A201" s="70" t="s">
        <v>460</v>
      </c>
      <c r="B201" s="61" t="s">
        <v>1158</v>
      </c>
      <c r="C201" s="26">
        <v>0</v>
      </c>
      <c r="D201" s="27">
        <v>0</v>
      </c>
      <c r="E201" s="28">
        <v>0</v>
      </c>
      <c r="F201" s="29">
        <v>0</v>
      </c>
      <c r="G201" s="6">
        <f t="shared" si="20"/>
        <v>0</v>
      </c>
      <c r="H201" s="7">
        <f t="shared" si="20"/>
        <v>0</v>
      </c>
      <c r="I201" s="6">
        <f t="shared" si="21"/>
        <v>0</v>
      </c>
      <c r="J201" s="7">
        <f t="shared" si="22"/>
        <v>0</v>
      </c>
      <c r="K201" s="28">
        <v>0</v>
      </c>
      <c r="L201" s="29">
        <v>0</v>
      </c>
      <c r="M201" s="6">
        <f t="shared" si="23"/>
        <v>0</v>
      </c>
      <c r="N201" s="7">
        <f t="shared" si="24"/>
        <v>0</v>
      </c>
      <c r="O201" s="35"/>
      <c r="P201" s="36"/>
      <c r="Q201" s="59"/>
      <c r="R201" s="2" t="str">
        <f t="shared" si="25"/>
        <v>185|0|0|0|0|0|0|</v>
      </c>
      <c r="S201" s="25"/>
    </row>
    <row r="202" spans="1:19" s="34" customFormat="1" ht="12.75" customHeight="1" x14ac:dyDescent="0.2">
      <c r="A202" s="70" t="s">
        <v>461</v>
      </c>
      <c r="B202" s="61" t="s">
        <v>1159</v>
      </c>
      <c r="C202" s="26">
        <v>0</v>
      </c>
      <c r="D202" s="27">
        <v>0</v>
      </c>
      <c r="E202" s="28">
        <v>0</v>
      </c>
      <c r="F202" s="29">
        <v>0</v>
      </c>
      <c r="G202" s="6">
        <f t="shared" si="20"/>
        <v>0</v>
      </c>
      <c r="H202" s="7">
        <f t="shared" si="20"/>
        <v>0</v>
      </c>
      <c r="I202" s="6">
        <f t="shared" si="21"/>
        <v>0</v>
      </c>
      <c r="J202" s="7">
        <f t="shared" si="22"/>
        <v>0</v>
      </c>
      <c r="K202" s="28">
        <v>0</v>
      </c>
      <c r="L202" s="29">
        <v>0</v>
      </c>
      <c r="M202" s="6">
        <f t="shared" si="23"/>
        <v>0</v>
      </c>
      <c r="N202" s="7">
        <f t="shared" si="24"/>
        <v>0</v>
      </c>
      <c r="O202" s="35"/>
      <c r="P202" s="36"/>
      <c r="Q202" s="59"/>
      <c r="R202" s="2" t="str">
        <f t="shared" si="25"/>
        <v>189|0|0|0|0|0|0|</v>
      </c>
      <c r="S202" s="25"/>
    </row>
    <row r="203" spans="1:19" s="34" customFormat="1" ht="12.75" customHeight="1" x14ac:dyDescent="0.2">
      <c r="A203" s="70" t="s">
        <v>462</v>
      </c>
      <c r="B203" s="61" t="s">
        <v>1160</v>
      </c>
      <c r="C203" s="26">
        <v>0</v>
      </c>
      <c r="D203" s="27">
        <v>0</v>
      </c>
      <c r="E203" s="28">
        <v>0</v>
      </c>
      <c r="F203" s="29">
        <v>0</v>
      </c>
      <c r="G203" s="6">
        <f t="shared" si="20"/>
        <v>0</v>
      </c>
      <c r="H203" s="7">
        <f t="shared" si="20"/>
        <v>0</v>
      </c>
      <c r="I203" s="6">
        <f t="shared" si="21"/>
        <v>0</v>
      </c>
      <c r="J203" s="7">
        <f t="shared" si="22"/>
        <v>0</v>
      </c>
      <c r="K203" s="28">
        <v>0</v>
      </c>
      <c r="L203" s="29">
        <v>0</v>
      </c>
      <c r="M203" s="6">
        <f t="shared" si="23"/>
        <v>0</v>
      </c>
      <c r="N203" s="7">
        <f t="shared" si="24"/>
        <v>0</v>
      </c>
      <c r="O203" s="35"/>
      <c r="P203" s="36"/>
      <c r="Q203" s="59"/>
      <c r="R203" s="2" t="str">
        <f t="shared" si="25"/>
        <v>1911|0|0|0|0|0|0|</v>
      </c>
      <c r="S203" s="25"/>
    </row>
    <row r="204" spans="1:19" s="34" customFormat="1" ht="12.75" customHeight="1" x14ac:dyDescent="0.2">
      <c r="A204" s="71">
        <v>1913</v>
      </c>
      <c r="B204" s="64" t="s">
        <v>2558</v>
      </c>
      <c r="C204" s="26">
        <v>0</v>
      </c>
      <c r="D204" s="27">
        <v>0</v>
      </c>
      <c r="E204" s="28">
        <v>0</v>
      </c>
      <c r="F204" s="29">
        <v>0</v>
      </c>
      <c r="G204" s="6">
        <f t="shared" si="20"/>
        <v>0</v>
      </c>
      <c r="H204" s="7">
        <f t="shared" si="20"/>
        <v>0</v>
      </c>
      <c r="I204" s="6">
        <f t="shared" si="21"/>
        <v>0</v>
      </c>
      <c r="J204" s="7">
        <f t="shared" si="22"/>
        <v>0</v>
      </c>
      <c r="K204" s="28">
        <v>0</v>
      </c>
      <c r="L204" s="29">
        <v>0</v>
      </c>
      <c r="M204" s="6">
        <f t="shared" si="23"/>
        <v>0</v>
      </c>
      <c r="N204" s="7">
        <f t="shared" si="24"/>
        <v>0</v>
      </c>
      <c r="O204" s="35"/>
      <c r="P204" s="36"/>
      <c r="Q204" s="59"/>
      <c r="R204" s="2" t="str">
        <f t="shared" si="25"/>
        <v>1913|0|0|0|0|0|0|</v>
      </c>
      <c r="S204" s="25"/>
    </row>
    <row r="205" spans="1:19" s="34" customFormat="1" ht="12.75" customHeight="1" x14ac:dyDescent="0.2">
      <c r="A205" s="70" t="s">
        <v>463</v>
      </c>
      <c r="B205" s="61" t="s">
        <v>1161</v>
      </c>
      <c r="C205" s="26">
        <v>0</v>
      </c>
      <c r="D205" s="27">
        <v>0</v>
      </c>
      <c r="E205" s="28">
        <v>0</v>
      </c>
      <c r="F205" s="29">
        <v>0</v>
      </c>
      <c r="G205" s="6">
        <f t="shared" si="20"/>
        <v>0</v>
      </c>
      <c r="H205" s="7">
        <f t="shared" si="20"/>
        <v>0</v>
      </c>
      <c r="I205" s="6">
        <f t="shared" si="21"/>
        <v>0</v>
      </c>
      <c r="J205" s="7">
        <f t="shared" si="22"/>
        <v>0</v>
      </c>
      <c r="K205" s="28">
        <v>0</v>
      </c>
      <c r="L205" s="29">
        <v>0</v>
      </c>
      <c r="M205" s="6">
        <f t="shared" si="23"/>
        <v>0</v>
      </c>
      <c r="N205" s="7">
        <f t="shared" si="24"/>
        <v>0</v>
      </c>
      <c r="O205" s="35"/>
      <c r="P205" s="36"/>
      <c r="Q205" s="59"/>
      <c r="R205" s="2" t="str">
        <f t="shared" si="25"/>
        <v>1921|0|0|0|0|0|0|</v>
      </c>
      <c r="S205" s="25"/>
    </row>
    <row r="206" spans="1:19" s="34" customFormat="1" ht="12.75" customHeight="1" x14ac:dyDescent="0.2">
      <c r="A206" s="70" t="s">
        <v>464</v>
      </c>
      <c r="B206" s="61" t="s">
        <v>1162</v>
      </c>
      <c r="C206" s="26">
        <v>0</v>
      </c>
      <c r="D206" s="27">
        <v>0</v>
      </c>
      <c r="E206" s="28">
        <v>0</v>
      </c>
      <c r="F206" s="29">
        <v>0</v>
      </c>
      <c r="G206" s="6">
        <f t="shared" si="20"/>
        <v>0</v>
      </c>
      <c r="H206" s="7">
        <f t="shared" si="20"/>
        <v>0</v>
      </c>
      <c r="I206" s="6">
        <f t="shared" si="21"/>
        <v>0</v>
      </c>
      <c r="J206" s="7">
        <f t="shared" si="22"/>
        <v>0</v>
      </c>
      <c r="K206" s="28">
        <v>0</v>
      </c>
      <c r="L206" s="29">
        <v>0</v>
      </c>
      <c r="M206" s="6">
        <f t="shared" si="23"/>
        <v>0</v>
      </c>
      <c r="N206" s="7">
        <f t="shared" si="24"/>
        <v>0</v>
      </c>
      <c r="O206" s="35"/>
      <c r="P206" s="36"/>
      <c r="Q206" s="59"/>
      <c r="R206" s="2" t="str">
        <f t="shared" si="25"/>
        <v>1922|0|0|0|0|0|0|</v>
      </c>
      <c r="S206" s="25"/>
    </row>
    <row r="207" spans="1:19" s="34" customFormat="1" ht="12.75" customHeight="1" x14ac:dyDescent="0.2">
      <c r="A207" s="70" t="s">
        <v>1163</v>
      </c>
      <c r="B207" s="61" t="s">
        <v>1164</v>
      </c>
      <c r="C207" s="26">
        <v>0</v>
      </c>
      <c r="D207" s="27">
        <v>0</v>
      </c>
      <c r="E207" s="28">
        <v>0</v>
      </c>
      <c r="F207" s="29">
        <v>0</v>
      </c>
      <c r="G207" s="6">
        <f t="shared" si="20"/>
        <v>0</v>
      </c>
      <c r="H207" s="7">
        <f t="shared" si="20"/>
        <v>0</v>
      </c>
      <c r="I207" s="6">
        <f t="shared" si="21"/>
        <v>0</v>
      </c>
      <c r="J207" s="7">
        <f t="shared" si="22"/>
        <v>0</v>
      </c>
      <c r="K207" s="28">
        <v>0</v>
      </c>
      <c r="L207" s="29">
        <v>0</v>
      </c>
      <c r="M207" s="6">
        <f t="shared" si="23"/>
        <v>0</v>
      </c>
      <c r="N207" s="7">
        <f t="shared" si="24"/>
        <v>0</v>
      </c>
      <c r="O207" s="35"/>
      <c r="P207" s="36"/>
      <c r="Q207" s="59"/>
      <c r="R207" s="2" t="str">
        <f t="shared" si="25"/>
        <v>1931|0|0|0|0|0|0|</v>
      </c>
      <c r="S207" s="25"/>
    </row>
    <row r="208" spans="1:19" s="34" customFormat="1" ht="12.75" customHeight="1" x14ac:dyDescent="0.2">
      <c r="A208" s="70" t="s">
        <v>1165</v>
      </c>
      <c r="B208" s="61" t="s">
        <v>1166</v>
      </c>
      <c r="C208" s="26">
        <v>0</v>
      </c>
      <c r="D208" s="27">
        <v>0</v>
      </c>
      <c r="E208" s="28">
        <v>0</v>
      </c>
      <c r="F208" s="29">
        <v>0</v>
      </c>
      <c r="G208" s="6">
        <f t="shared" si="20"/>
        <v>0</v>
      </c>
      <c r="H208" s="7">
        <f t="shared" si="20"/>
        <v>0</v>
      </c>
      <c r="I208" s="6">
        <f t="shared" si="21"/>
        <v>0</v>
      </c>
      <c r="J208" s="7">
        <f t="shared" si="22"/>
        <v>0</v>
      </c>
      <c r="K208" s="28">
        <v>0</v>
      </c>
      <c r="L208" s="29">
        <v>0</v>
      </c>
      <c r="M208" s="6">
        <f t="shared" si="23"/>
        <v>0</v>
      </c>
      <c r="N208" s="7">
        <f t="shared" si="24"/>
        <v>0</v>
      </c>
      <c r="O208" s="35"/>
      <c r="P208" s="36"/>
      <c r="Q208" s="59"/>
      <c r="R208" s="2" t="str">
        <f t="shared" si="25"/>
        <v>1932|0|0|0|0|0|0|</v>
      </c>
      <c r="S208" s="25"/>
    </row>
    <row r="209" spans="1:19" s="34" customFormat="1" ht="12.75" customHeight="1" x14ac:dyDescent="0.2">
      <c r="A209" s="70" t="s">
        <v>1167</v>
      </c>
      <c r="B209" s="61" t="s">
        <v>1168</v>
      </c>
      <c r="C209" s="26">
        <v>0</v>
      </c>
      <c r="D209" s="27">
        <v>0</v>
      </c>
      <c r="E209" s="28">
        <v>0</v>
      </c>
      <c r="F209" s="29">
        <v>0</v>
      </c>
      <c r="G209" s="6">
        <f t="shared" si="20"/>
        <v>0</v>
      </c>
      <c r="H209" s="7">
        <f t="shared" si="20"/>
        <v>0</v>
      </c>
      <c r="I209" s="6">
        <f t="shared" si="21"/>
        <v>0</v>
      </c>
      <c r="J209" s="7">
        <f t="shared" si="22"/>
        <v>0</v>
      </c>
      <c r="K209" s="28">
        <v>0</v>
      </c>
      <c r="L209" s="29">
        <v>0</v>
      </c>
      <c r="M209" s="6">
        <f t="shared" si="23"/>
        <v>0</v>
      </c>
      <c r="N209" s="7">
        <f t="shared" si="24"/>
        <v>0</v>
      </c>
      <c r="O209" s="35"/>
      <c r="P209" s="36"/>
      <c r="Q209" s="59"/>
      <c r="R209" s="2" t="str">
        <f t="shared" si="25"/>
        <v>1933|0|0|0|0|0|0|</v>
      </c>
      <c r="S209" s="25"/>
    </row>
    <row r="210" spans="1:19" s="34" customFormat="1" ht="12.75" customHeight="1" x14ac:dyDescent="0.2">
      <c r="A210" s="70" t="s">
        <v>1169</v>
      </c>
      <c r="B210" s="61" t="s">
        <v>1170</v>
      </c>
      <c r="C210" s="26">
        <v>0</v>
      </c>
      <c r="D210" s="27">
        <v>0</v>
      </c>
      <c r="E210" s="28">
        <v>0</v>
      </c>
      <c r="F210" s="29">
        <v>0</v>
      </c>
      <c r="G210" s="6">
        <f t="shared" si="20"/>
        <v>0</v>
      </c>
      <c r="H210" s="7">
        <f t="shared" si="20"/>
        <v>0</v>
      </c>
      <c r="I210" s="6">
        <f t="shared" si="21"/>
        <v>0</v>
      </c>
      <c r="J210" s="7">
        <f t="shared" si="22"/>
        <v>0</v>
      </c>
      <c r="K210" s="28">
        <v>0</v>
      </c>
      <c r="L210" s="29">
        <v>0</v>
      </c>
      <c r="M210" s="6">
        <f t="shared" si="23"/>
        <v>0</v>
      </c>
      <c r="N210" s="7">
        <f t="shared" si="24"/>
        <v>0</v>
      </c>
      <c r="O210" s="35"/>
      <c r="P210" s="36"/>
      <c r="Q210" s="59"/>
      <c r="R210" s="2" t="str">
        <f t="shared" si="25"/>
        <v>1934|0|0|0|0|0|0|</v>
      </c>
      <c r="S210" s="25"/>
    </row>
    <row r="211" spans="1:19" s="34" customFormat="1" ht="12.75" customHeight="1" x14ac:dyDescent="0.2">
      <c r="A211" s="70" t="s">
        <v>1171</v>
      </c>
      <c r="B211" s="61" t="s">
        <v>1172</v>
      </c>
      <c r="C211" s="26">
        <v>0</v>
      </c>
      <c r="D211" s="27">
        <v>0</v>
      </c>
      <c r="E211" s="28">
        <v>0</v>
      </c>
      <c r="F211" s="29">
        <v>0</v>
      </c>
      <c r="G211" s="6">
        <f t="shared" si="20"/>
        <v>0</v>
      </c>
      <c r="H211" s="7">
        <f t="shared" si="20"/>
        <v>0</v>
      </c>
      <c r="I211" s="6">
        <f t="shared" si="21"/>
        <v>0</v>
      </c>
      <c r="J211" s="7">
        <f t="shared" si="22"/>
        <v>0</v>
      </c>
      <c r="K211" s="28">
        <v>0</v>
      </c>
      <c r="L211" s="29">
        <v>0</v>
      </c>
      <c r="M211" s="6">
        <f t="shared" si="23"/>
        <v>0</v>
      </c>
      <c r="N211" s="7">
        <f t="shared" si="24"/>
        <v>0</v>
      </c>
      <c r="O211" s="35"/>
      <c r="P211" s="36"/>
      <c r="Q211" s="59"/>
      <c r="R211" s="2" t="str">
        <f t="shared" si="25"/>
        <v>1938|0|0|0|0|0|0|</v>
      </c>
      <c r="S211" s="25"/>
    </row>
    <row r="212" spans="1:19" s="34" customFormat="1" ht="12.75" customHeight="1" x14ac:dyDescent="0.2">
      <c r="A212" s="70" t="s">
        <v>465</v>
      </c>
      <c r="B212" s="61" t="s">
        <v>1173</v>
      </c>
      <c r="C212" s="26">
        <v>0</v>
      </c>
      <c r="D212" s="27">
        <v>0</v>
      </c>
      <c r="E212" s="28">
        <v>0</v>
      </c>
      <c r="F212" s="29">
        <v>0</v>
      </c>
      <c r="G212" s="6">
        <f t="shared" si="20"/>
        <v>0</v>
      </c>
      <c r="H212" s="7">
        <f t="shared" si="20"/>
        <v>0</v>
      </c>
      <c r="I212" s="6">
        <f t="shared" si="21"/>
        <v>0</v>
      </c>
      <c r="J212" s="7">
        <f t="shared" si="22"/>
        <v>0</v>
      </c>
      <c r="K212" s="28">
        <v>0</v>
      </c>
      <c r="L212" s="29">
        <v>0</v>
      </c>
      <c r="M212" s="6">
        <f t="shared" si="23"/>
        <v>0</v>
      </c>
      <c r="N212" s="7">
        <f t="shared" si="24"/>
        <v>0</v>
      </c>
      <c r="O212" s="35"/>
      <c r="P212" s="36"/>
      <c r="Q212" s="59"/>
      <c r="R212" s="2" t="str">
        <f t="shared" si="25"/>
        <v>1941|0|0|0|0|0|0|</v>
      </c>
      <c r="S212" s="25"/>
    </row>
    <row r="213" spans="1:19" s="34" customFormat="1" ht="12.75" customHeight="1" x14ac:dyDescent="0.2">
      <c r="A213" s="70" t="s">
        <v>466</v>
      </c>
      <c r="B213" s="61" t="s">
        <v>1174</v>
      </c>
      <c r="C213" s="26">
        <v>0</v>
      </c>
      <c r="D213" s="27">
        <v>0</v>
      </c>
      <c r="E213" s="28">
        <v>0</v>
      </c>
      <c r="F213" s="29">
        <v>0</v>
      </c>
      <c r="G213" s="6">
        <f t="shared" si="20"/>
        <v>0</v>
      </c>
      <c r="H213" s="7">
        <f t="shared" si="20"/>
        <v>0</v>
      </c>
      <c r="I213" s="6">
        <f t="shared" si="21"/>
        <v>0</v>
      </c>
      <c r="J213" s="7">
        <f t="shared" si="22"/>
        <v>0</v>
      </c>
      <c r="K213" s="28">
        <v>0</v>
      </c>
      <c r="L213" s="29">
        <v>0</v>
      </c>
      <c r="M213" s="6">
        <f t="shared" si="23"/>
        <v>0</v>
      </c>
      <c r="N213" s="7">
        <f t="shared" si="24"/>
        <v>0</v>
      </c>
      <c r="O213" s="35"/>
      <c r="P213" s="36"/>
      <c r="Q213" s="59"/>
      <c r="R213" s="2" t="str">
        <f t="shared" si="25"/>
        <v>1942|0|0|0|0|0|0|</v>
      </c>
      <c r="S213" s="25"/>
    </row>
    <row r="214" spans="1:19" s="34" customFormat="1" ht="12.75" customHeight="1" x14ac:dyDescent="0.2">
      <c r="A214" s="70" t="s">
        <v>467</v>
      </c>
      <c r="B214" s="61" t="s">
        <v>1175</v>
      </c>
      <c r="C214" s="26">
        <v>0</v>
      </c>
      <c r="D214" s="27">
        <v>0</v>
      </c>
      <c r="E214" s="28">
        <v>0</v>
      </c>
      <c r="F214" s="29">
        <v>0</v>
      </c>
      <c r="G214" s="6">
        <f t="shared" si="20"/>
        <v>0</v>
      </c>
      <c r="H214" s="7">
        <f t="shared" si="20"/>
        <v>0</v>
      </c>
      <c r="I214" s="6">
        <f t="shared" si="21"/>
        <v>0</v>
      </c>
      <c r="J214" s="7">
        <f t="shared" si="22"/>
        <v>0</v>
      </c>
      <c r="K214" s="28">
        <v>0</v>
      </c>
      <c r="L214" s="29">
        <v>0</v>
      </c>
      <c r="M214" s="6">
        <f t="shared" si="23"/>
        <v>0</v>
      </c>
      <c r="N214" s="7">
        <f t="shared" si="24"/>
        <v>0</v>
      </c>
      <c r="O214" s="35"/>
      <c r="P214" s="36"/>
      <c r="Q214" s="59"/>
      <c r="R214" s="2" t="str">
        <f t="shared" si="25"/>
        <v>1943|0|0|0|0|0|0|</v>
      </c>
      <c r="S214" s="25"/>
    </row>
    <row r="215" spans="1:19" s="34" customFormat="1" ht="12.75" customHeight="1" x14ac:dyDescent="0.2">
      <c r="A215" s="70" t="s">
        <v>468</v>
      </c>
      <c r="B215" s="61" t="s">
        <v>1176</v>
      </c>
      <c r="C215" s="26">
        <v>0</v>
      </c>
      <c r="D215" s="27">
        <v>0</v>
      </c>
      <c r="E215" s="28">
        <v>0</v>
      </c>
      <c r="F215" s="29">
        <v>0</v>
      </c>
      <c r="G215" s="6">
        <f t="shared" si="20"/>
        <v>0</v>
      </c>
      <c r="H215" s="7">
        <f t="shared" si="20"/>
        <v>0</v>
      </c>
      <c r="I215" s="6">
        <f t="shared" si="21"/>
        <v>0</v>
      </c>
      <c r="J215" s="7">
        <f t="shared" si="22"/>
        <v>0</v>
      </c>
      <c r="K215" s="28">
        <v>0</v>
      </c>
      <c r="L215" s="29">
        <v>0</v>
      </c>
      <c r="M215" s="6">
        <f t="shared" si="23"/>
        <v>0</v>
      </c>
      <c r="N215" s="7">
        <f t="shared" si="24"/>
        <v>0</v>
      </c>
      <c r="O215" s="35"/>
      <c r="P215" s="36"/>
      <c r="Q215" s="59"/>
      <c r="R215" s="2" t="str">
        <f t="shared" si="25"/>
        <v>1944|0|0|0|0|0|0|</v>
      </c>
      <c r="S215" s="25"/>
    </row>
    <row r="216" spans="1:19" s="34" customFormat="1" ht="12.75" customHeight="1" x14ac:dyDescent="0.2">
      <c r="A216" s="70" t="s">
        <v>469</v>
      </c>
      <c r="B216" s="61" t="s">
        <v>1177</v>
      </c>
      <c r="C216" s="26">
        <v>0</v>
      </c>
      <c r="D216" s="27">
        <v>0</v>
      </c>
      <c r="E216" s="28">
        <v>0</v>
      </c>
      <c r="F216" s="29">
        <v>0</v>
      </c>
      <c r="G216" s="6">
        <f t="shared" si="20"/>
        <v>0</v>
      </c>
      <c r="H216" s="7">
        <f t="shared" si="20"/>
        <v>0</v>
      </c>
      <c r="I216" s="6">
        <f t="shared" si="21"/>
        <v>0</v>
      </c>
      <c r="J216" s="7">
        <f t="shared" si="22"/>
        <v>0</v>
      </c>
      <c r="K216" s="28">
        <v>0</v>
      </c>
      <c r="L216" s="29">
        <v>0</v>
      </c>
      <c r="M216" s="6">
        <f t="shared" si="23"/>
        <v>0</v>
      </c>
      <c r="N216" s="7">
        <f t="shared" si="24"/>
        <v>0</v>
      </c>
      <c r="O216" s="35"/>
      <c r="P216" s="36"/>
      <c r="Q216" s="59"/>
      <c r="R216" s="2" t="str">
        <f t="shared" si="25"/>
        <v>1945|0|0|0|0|0|0|</v>
      </c>
      <c r="S216" s="25"/>
    </row>
    <row r="217" spans="1:19" s="34" customFormat="1" ht="12.75" customHeight="1" x14ac:dyDescent="0.2">
      <c r="A217" s="70" t="s">
        <v>1178</v>
      </c>
      <c r="B217" s="61" t="s">
        <v>1179</v>
      </c>
      <c r="C217" s="26">
        <v>0</v>
      </c>
      <c r="D217" s="27">
        <v>0</v>
      </c>
      <c r="E217" s="28">
        <v>0</v>
      </c>
      <c r="F217" s="29">
        <v>0</v>
      </c>
      <c r="G217" s="6">
        <f t="shared" si="20"/>
        <v>0</v>
      </c>
      <c r="H217" s="7">
        <f t="shared" si="20"/>
        <v>0</v>
      </c>
      <c r="I217" s="6">
        <f t="shared" si="21"/>
        <v>0</v>
      </c>
      <c r="J217" s="7">
        <f t="shared" si="22"/>
        <v>0</v>
      </c>
      <c r="K217" s="28">
        <v>0</v>
      </c>
      <c r="L217" s="29">
        <v>0</v>
      </c>
      <c r="M217" s="6">
        <f t="shared" si="23"/>
        <v>0</v>
      </c>
      <c r="N217" s="7">
        <f t="shared" si="24"/>
        <v>0</v>
      </c>
      <c r="O217" s="35"/>
      <c r="P217" s="36"/>
      <c r="Q217" s="59"/>
      <c r="R217" s="2" t="str">
        <f t="shared" si="25"/>
        <v>1946|0|0|0|0|0|0|</v>
      </c>
      <c r="S217" s="25"/>
    </row>
    <row r="218" spans="1:19" s="34" customFormat="1" ht="12.75" customHeight="1" x14ac:dyDescent="0.2">
      <c r="A218" s="70" t="s">
        <v>470</v>
      </c>
      <c r="B218" s="61" t="s">
        <v>1180</v>
      </c>
      <c r="C218" s="26">
        <v>0</v>
      </c>
      <c r="D218" s="27">
        <v>0</v>
      </c>
      <c r="E218" s="28">
        <v>0</v>
      </c>
      <c r="F218" s="29">
        <v>0</v>
      </c>
      <c r="G218" s="6">
        <f t="shared" si="20"/>
        <v>0</v>
      </c>
      <c r="H218" s="7">
        <f t="shared" si="20"/>
        <v>0</v>
      </c>
      <c r="I218" s="6">
        <f t="shared" si="21"/>
        <v>0</v>
      </c>
      <c r="J218" s="7">
        <f t="shared" si="22"/>
        <v>0</v>
      </c>
      <c r="K218" s="28">
        <v>0</v>
      </c>
      <c r="L218" s="29">
        <v>0</v>
      </c>
      <c r="M218" s="6">
        <f t="shared" si="23"/>
        <v>0</v>
      </c>
      <c r="N218" s="7">
        <f t="shared" si="24"/>
        <v>0</v>
      </c>
      <c r="O218" s="35"/>
      <c r="P218" s="36"/>
      <c r="Q218" s="59"/>
      <c r="R218" s="2" t="str">
        <f t="shared" si="25"/>
        <v>1949|0|0|0|0|0|0|</v>
      </c>
      <c r="S218" s="25"/>
    </row>
    <row r="219" spans="1:19" s="34" customFormat="1" ht="12.75" customHeight="1" x14ac:dyDescent="0.2">
      <c r="A219" s="70" t="s">
        <v>1181</v>
      </c>
      <c r="B219" s="61" t="s">
        <v>1182</v>
      </c>
      <c r="C219" s="26">
        <v>0</v>
      </c>
      <c r="D219" s="27">
        <v>0</v>
      </c>
      <c r="E219" s="28">
        <v>0</v>
      </c>
      <c r="F219" s="29">
        <v>0</v>
      </c>
      <c r="G219" s="6">
        <f t="shared" si="20"/>
        <v>0</v>
      </c>
      <c r="H219" s="7">
        <f t="shared" si="20"/>
        <v>0</v>
      </c>
      <c r="I219" s="6">
        <f t="shared" si="21"/>
        <v>0</v>
      </c>
      <c r="J219" s="7">
        <f t="shared" si="22"/>
        <v>0</v>
      </c>
      <c r="K219" s="28">
        <v>0</v>
      </c>
      <c r="L219" s="29">
        <v>0</v>
      </c>
      <c r="M219" s="6">
        <f t="shared" si="23"/>
        <v>0</v>
      </c>
      <c r="N219" s="7">
        <f t="shared" si="24"/>
        <v>0</v>
      </c>
      <c r="O219" s="35"/>
      <c r="P219" s="36"/>
      <c r="Q219" s="59"/>
      <c r="R219" s="2" t="str">
        <f t="shared" si="25"/>
        <v>1951|0|0|0|0|0|0|</v>
      </c>
      <c r="S219" s="25"/>
    </row>
    <row r="220" spans="1:19" s="34" customFormat="1" ht="12.75" customHeight="1" x14ac:dyDescent="0.2">
      <c r="A220" s="70" t="s">
        <v>1183</v>
      </c>
      <c r="B220" s="61" t="s">
        <v>1184</v>
      </c>
      <c r="C220" s="26">
        <v>0</v>
      </c>
      <c r="D220" s="27">
        <v>0</v>
      </c>
      <c r="E220" s="28">
        <v>0</v>
      </c>
      <c r="F220" s="29">
        <v>0</v>
      </c>
      <c r="G220" s="6">
        <f t="shared" si="20"/>
        <v>0</v>
      </c>
      <c r="H220" s="7">
        <f t="shared" si="20"/>
        <v>0</v>
      </c>
      <c r="I220" s="6">
        <f t="shared" si="21"/>
        <v>0</v>
      </c>
      <c r="J220" s="7">
        <f t="shared" si="22"/>
        <v>0</v>
      </c>
      <c r="K220" s="28">
        <v>0</v>
      </c>
      <c r="L220" s="29">
        <v>0</v>
      </c>
      <c r="M220" s="6">
        <f t="shared" si="23"/>
        <v>0</v>
      </c>
      <c r="N220" s="7">
        <f t="shared" si="24"/>
        <v>0</v>
      </c>
      <c r="O220" s="35"/>
      <c r="P220" s="36"/>
      <c r="Q220" s="59"/>
      <c r="R220" s="2" t="str">
        <f t="shared" si="25"/>
        <v>1953|0|0|0|0|0|0|</v>
      </c>
      <c r="S220" s="25"/>
    </row>
    <row r="221" spans="1:19" s="34" customFormat="1" ht="12.75" customHeight="1" x14ac:dyDescent="0.2">
      <c r="A221" s="70" t="s">
        <v>1185</v>
      </c>
      <c r="B221" s="61" t="s">
        <v>1186</v>
      </c>
      <c r="C221" s="26">
        <v>0</v>
      </c>
      <c r="D221" s="27">
        <v>0</v>
      </c>
      <c r="E221" s="28">
        <v>0</v>
      </c>
      <c r="F221" s="29">
        <v>0</v>
      </c>
      <c r="G221" s="6">
        <f t="shared" si="20"/>
        <v>0</v>
      </c>
      <c r="H221" s="7">
        <f t="shared" si="20"/>
        <v>0</v>
      </c>
      <c r="I221" s="6">
        <f t="shared" si="21"/>
        <v>0</v>
      </c>
      <c r="J221" s="7">
        <f t="shared" si="22"/>
        <v>0</v>
      </c>
      <c r="K221" s="28">
        <v>0</v>
      </c>
      <c r="L221" s="29">
        <v>0</v>
      </c>
      <c r="M221" s="6">
        <f t="shared" si="23"/>
        <v>0</v>
      </c>
      <c r="N221" s="7">
        <f t="shared" si="24"/>
        <v>0</v>
      </c>
      <c r="O221" s="35"/>
      <c r="P221" s="36"/>
      <c r="Q221" s="59"/>
      <c r="R221" s="2" t="str">
        <f t="shared" si="25"/>
        <v>1954|0|0|0|0|0|0|</v>
      </c>
      <c r="S221" s="25"/>
    </row>
    <row r="222" spans="1:19" s="34" customFormat="1" ht="12.75" customHeight="1" x14ac:dyDescent="0.2">
      <c r="A222" s="70" t="s">
        <v>1187</v>
      </c>
      <c r="B222" s="61" t="s">
        <v>1188</v>
      </c>
      <c r="C222" s="26">
        <v>0</v>
      </c>
      <c r="D222" s="27">
        <v>0</v>
      </c>
      <c r="E222" s="28">
        <v>0</v>
      </c>
      <c r="F222" s="29">
        <v>0</v>
      </c>
      <c r="G222" s="6">
        <f t="shared" si="20"/>
        <v>0</v>
      </c>
      <c r="H222" s="7">
        <f t="shared" si="20"/>
        <v>0</v>
      </c>
      <c r="I222" s="6">
        <f t="shared" si="21"/>
        <v>0</v>
      </c>
      <c r="J222" s="7">
        <f t="shared" si="22"/>
        <v>0</v>
      </c>
      <c r="K222" s="28">
        <v>0</v>
      </c>
      <c r="L222" s="29">
        <v>0</v>
      </c>
      <c r="M222" s="6">
        <f t="shared" si="23"/>
        <v>0</v>
      </c>
      <c r="N222" s="7">
        <f t="shared" si="24"/>
        <v>0</v>
      </c>
      <c r="O222" s="35"/>
      <c r="P222" s="36"/>
      <c r="Q222" s="59"/>
      <c r="R222" s="2" t="str">
        <f t="shared" si="25"/>
        <v>1955|0|0|0|0|0|0|</v>
      </c>
      <c r="S222" s="25"/>
    </row>
    <row r="223" spans="1:19" s="34" customFormat="1" ht="12.75" customHeight="1" x14ac:dyDescent="0.2">
      <c r="A223" s="70" t="s">
        <v>1189</v>
      </c>
      <c r="B223" s="61" t="s">
        <v>1190</v>
      </c>
      <c r="C223" s="26">
        <v>0</v>
      </c>
      <c r="D223" s="27">
        <v>0</v>
      </c>
      <c r="E223" s="28">
        <v>0</v>
      </c>
      <c r="F223" s="29">
        <v>0</v>
      </c>
      <c r="G223" s="6">
        <f t="shared" si="20"/>
        <v>0</v>
      </c>
      <c r="H223" s="7">
        <f t="shared" si="20"/>
        <v>0</v>
      </c>
      <c r="I223" s="6">
        <f t="shared" si="21"/>
        <v>0</v>
      </c>
      <c r="J223" s="7">
        <f t="shared" si="22"/>
        <v>0</v>
      </c>
      <c r="K223" s="28">
        <v>0</v>
      </c>
      <c r="L223" s="29">
        <v>0</v>
      </c>
      <c r="M223" s="6">
        <f t="shared" si="23"/>
        <v>0</v>
      </c>
      <c r="N223" s="7">
        <f t="shared" si="24"/>
        <v>0</v>
      </c>
      <c r="O223" s="35"/>
      <c r="P223" s="36"/>
      <c r="Q223" s="59"/>
      <c r="R223" s="2" t="str">
        <f t="shared" si="25"/>
        <v>1956|0|0|0|0|0|0|</v>
      </c>
      <c r="S223" s="25"/>
    </row>
    <row r="224" spans="1:19" s="34" customFormat="1" ht="12.75" customHeight="1" x14ac:dyDescent="0.2">
      <c r="A224" s="70" t="s">
        <v>1191</v>
      </c>
      <c r="B224" s="61" t="s">
        <v>1192</v>
      </c>
      <c r="C224" s="26">
        <v>0</v>
      </c>
      <c r="D224" s="27">
        <v>0</v>
      </c>
      <c r="E224" s="28">
        <v>0</v>
      </c>
      <c r="F224" s="29">
        <v>0</v>
      </c>
      <c r="G224" s="6">
        <f t="shared" si="20"/>
        <v>0</v>
      </c>
      <c r="H224" s="7">
        <f t="shared" si="20"/>
        <v>0</v>
      </c>
      <c r="I224" s="6">
        <f t="shared" si="21"/>
        <v>0</v>
      </c>
      <c r="J224" s="7">
        <f t="shared" si="22"/>
        <v>0</v>
      </c>
      <c r="K224" s="28">
        <v>0</v>
      </c>
      <c r="L224" s="29">
        <v>0</v>
      </c>
      <c r="M224" s="6">
        <f t="shared" si="23"/>
        <v>0</v>
      </c>
      <c r="N224" s="7">
        <f t="shared" si="24"/>
        <v>0</v>
      </c>
      <c r="O224" s="35"/>
      <c r="P224" s="36"/>
      <c r="Q224" s="59"/>
      <c r="R224" s="2" t="str">
        <f t="shared" si="25"/>
        <v>1958|0|0|0|0|0|0|</v>
      </c>
      <c r="S224" s="25"/>
    </row>
    <row r="225" spans="1:19" s="34" customFormat="1" ht="12.75" customHeight="1" x14ac:dyDescent="0.2">
      <c r="A225" s="70" t="s">
        <v>471</v>
      </c>
      <c r="B225" s="61" t="s">
        <v>1193</v>
      </c>
      <c r="C225" s="26">
        <v>0</v>
      </c>
      <c r="D225" s="27">
        <v>0</v>
      </c>
      <c r="E225" s="28">
        <v>0</v>
      </c>
      <c r="F225" s="29">
        <v>0</v>
      </c>
      <c r="G225" s="6">
        <f t="shared" si="20"/>
        <v>0</v>
      </c>
      <c r="H225" s="7">
        <f t="shared" si="20"/>
        <v>0</v>
      </c>
      <c r="I225" s="6">
        <f t="shared" si="21"/>
        <v>0</v>
      </c>
      <c r="J225" s="7">
        <f t="shared" si="22"/>
        <v>0</v>
      </c>
      <c r="K225" s="28">
        <v>0</v>
      </c>
      <c r="L225" s="29">
        <v>0</v>
      </c>
      <c r="M225" s="6">
        <f t="shared" si="23"/>
        <v>0</v>
      </c>
      <c r="N225" s="7">
        <f t="shared" si="24"/>
        <v>0</v>
      </c>
      <c r="O225" s="35"/>
      <c r="P225" s="36"/>
      <c r="Q225" s="59"/>
      <c r="R225" s="2" t="str">
        <f t="shared" si="25"/>
        <v>20111|0|0|0|0|0|0|</v>
      </c>
      <c r="S225" s="25"/>
    </row>
    <row r="226" spans="1:19" s="34" customFormat="1" ht="12.75" customHeight="1" x14ac:dyDescent="0.2">
      <c r="A226" s="70" t="s">
        <v>472</v>
      </c>
      <c r="B226" s="61" t="s">
        <v>1194</v>
      </c>
      <c r="C226" s="26">
        <v>0</v>
      </c>
      <c r="D226" s="27">
        <v>0</v>
      </c>
      <c r="E226" s="28">
        <v>0</v>
      </c>
      <c r="F226" s="29">
        <v>0</v>
      </c>
      <c r="G226" s="6">
        <f t="shared" si="20"/>
        <v>0</v>
      </c>
      <c r="H226" s="7">
        <f t="shared" si="20"/>
        <v>0</v>
      </c>
      <c r="I226" s="6">
        <f t="shared" si="21"/>
        <v>0</v>
      </c>
      <c r="J226" s="7">
        <f t="shared" si="22"/>
        <v>0</v>
      </c>
      <c r="K226" s="28">
        <v>0</v>
      </c>
      <c r="L226" s="29">
        <v>0</v>
      </c>
      <c r="M226" s="6">
        <f t="shared" si="23"/>
        <v>0</v>
      </c>
      <c r="N226" s="7">
        <f t="shared" si="24"/>
        <v>0</v>
      </c>
      <c r="O226" s="35"/>
      <c r="P226" s="36"/>
      <c r="Q226" s="59"/>
      <c r="R226" s="2" t="str">
        <f t="shared" si="25"/>
        <v>20112|0|0|0|0|0|0|</v>
      </c>
      <c r="S226" s="25"/>
    </row>
    <row r="227" spans="1:19" s="34" customFormat="1" ht="12.75" customHeight="1" x14ac:dyDescent="0.2">
      <c r="A227" s="70" t="s">
        <v>473</v>
      </c>
      <c r="B227" s="61" t="s">
        <v>1195</v>
      </c>
      <c r="C227" s="26">
        <v>0</v>
      </c>
      <c r="D227" s="27">
        <v>0</v>
      </c>
      <c r="E227" s="28">
        <v>0</v>
      </c>
      <c r="F227" s="29">
        <v>0</v>
      </c>
      <c r="G227" s="6">
        <f t="shared" si="20"/>
        <v>0</v>
      </c>
      <c r="H227" s="7">
        <f t="shared" si="20"/>
        <v>0</v>
      </c>
      <c r="I227" s="6">
        <f t="shared" si="21"/>
        <v>0</v>
      </c>
      <c r="J227" s="7">
        <f t="shared" si="22"/>
        <v>0</v>
      </c>
      <c r="K227" s="28">
        <v>0</v>
      </c>
      <c r="L227" s="29">
        <v>0</v>
      </c>
      <c r="M227" s="6">
        <f t="shared" si="23"/>
        <v>0</v>
      </c>
      <c r="N227" s="7">
        <f t="shared" si="24"/>
        <v>0</v>
      </c>
      <c r="O227" s="35"/>
      <c r="P227" s="36"/>
      <c r="Q227" s="59"/>
      <c r="R227" s="2" t="str">
        <f t="shared" si="25"/>
        <v>202|0|0|0|0|0|0|</v>
      </c>
      <c r="S227" s="25"/>
    </row>
    <row r="228" spans="1:19" s="34" customFormat="1" ht="12.75" customHeight="1" x14ac:dyDescent="0.2">
      <c r="A228" s="70" t="s">
        <v>474</v>
      </c>
      <c r="B228" s="61" t="s">
        <v>1196</v>
      </c>
      <c r="C228" s="26">
        <v>0</v>
      </c>
      <c r="D228" s="27">
        <v>0</v>
      </c>
      <c r="E228" s="28">
        <v>0</v>
      </c>
      <c r="F228" s="29">
        <v>0</v>
      </c>
      <c r="G228" s="6">
        <f t="shared" si="20"/>
        <v>0</v>
      </c>
      <c r="H228" s="7">
        <f t="shared" si="20"/>
        <v>0</v>
      </c>
      <c r="I228" s="6">
        <f t="shared" si="21"/>
        <v>0</v>
      </c>
      <c r="J228" s="7">
        <f t="shared" si="22"/>
        <v>0</v>
      </c>
      <c r="K228" s="28">
        <v>0</v>
      </c>
      <c r="L228" s="29">
        <v>0</v>
      </c>
      <c r="M228" s="6">
        <f t="shared" si="23"/>
        <v>0</v>
      </c>
      <c r="N228" s="7">
        <f t="shared" si="24"/>
        <v>0</v>
      </c>
      <c r="O228" s="35"/>
      <c r="P228" s="36"/>
      <c r="Q228" s="59"/>
      <c r="R228" s="2" t="str">
        <f t="shared" si="25"/>
        <v>2031|0|0|0|0|0|0|</v>
      </c>
      <c r="S228" s="25"/>
    </row>
    <row r="229" spans="1:19" s="34" customFormat="1" ht="12.75" customHeight="1" x14ac:dyDescent="0.2">
      <c r="A229" s="70" t="s">
        <v>475</v>
      </c>
      <c r="B229" s="61" t="s">
        <v>1197</v>
      </c>
      <c r="C229" s="26">
        <v>0</v>
      </c>
      <c r="D229" s="27">
        <v>0</v>
      </c>
      <c r="E229" s="28">
        <v>0</v>
      </c>
      <c r="F229" s="29">
        <v>0</v>
      </c>
      <c r="G229" s="6">
        <f t="shared" si="20"/>
        <v>0</v>
      </c>
      <c r="H229" s="7">
        <f t="shared" si="20"/>
        <v>0</v>
      </c>
      <c r="I229" s="6">
        <f t="shared" si="21"/>
        <v>0</v>
      </c>
      <c r="J229" s="7">
        <f t="shared" si="22"/>
        <v>0</v>
      </c>
      <c r="K229" s="28">
        <v>0</v>
      </c>
      <c r="L229" s="29">
        <v>0</v>
      </c>
      <c r="M229" s="6">
        <f t="shared" si="23"/>
        <v>0</v>
      </c>
      <c r="N229" s="7">
        <f t="shared" si="24"/>
        <v>0</v>
      </c>
      <c r="O229" s="35"/>
      <c r="P229" s="36"/>
      <c r="Q229" s="59"/>
      <c r="R229" s="2" t="str">
        <f t="shared" si="25"/>
        <v>2032|0|0|0|0|0|0|</v>
      </c>
      <c r="S229" s="25"/>
    </row>
    <row r="230" spans="1:19" s="34" customFormat="1" ht="12.75" customHeight="1" x14ac:dyDescent="0.2">
      <c r="A230" s="70" t="s">
        <v>476</v>
      </c>
      <c r="B230" s="61" t="s">
        <v>1198</v>
      </c>
      <c r="C230" s="26">
        <v>0</v>
      </c>
      <c r="D230" s="27">
        <v>0</v>
      </c>
      <c r="E230" s="28">
        <v>0</v>
      </c>
      <c r="F230" s="29">
        <v>0</v>
      </c>
      <c r="G230" s="6">
        <f t="shared" si="20"/>
        <v>0</v>
      </c>
      <c r="H230" s="7">
        <f t="shared" si="20"/>
        <v>0</v>
      </c>
      <c r="I230" s="6">
        <f t="shared" si="21"/>
        <v>0</v>
      </c>
      <c r="J230" s="7">
        <f t="shared" si="22"/>
        <v>0</v>
      </c>
      <c r="K230" s="28">
        <v>0</v>
      </c>
      <c r="L230" s="29">
        <v>0</v>
      </c>
      <c r="M230" s="6">
        <f t="shared" si="23"/>
        <v>0</v>
      </c>
      <c r="N230" s="7">
        <f t="shared" si="24"/>
        <v>0</v>
      </c>
      <c r="O230" s="35"/>
      <c r="P230" s="36"/>
      <c r="Q230" s="59"/>
      <c r="R230" s="2" t="str">
        <f t="shared" si="25"/>
        <v>204|0|0|0|0|0|0|</v>
      </c>
      <c r="S230" s="25"/>
    </row>
    <row r="231" spans="1:19" s="34" customFormat="1" ht="12.75" customHeight="1" x14ac:dyDescent="0.2">
      <c r="A231" s="70" t="s">
        <v>477</v>
      </c>
      <c r="B231" s="61" t="s">
        <v>1199</v>
      </c>
      <c r="C231" s="26">
        <v>0</v>
      </c>
      <c r="D231" s="27">
        <v>0</v>
      </c>
      <c r="E231" s="28">
        <v>0</v>
      </c>
      <c r="F231" s="29">
        <v>0</v>
      </c>
      <c r="G231" s="6">
        <f t="shared" si="20"/>
        <v>0</v>
      </c>
      <c r="H231" s="7">
        <f t="shared" si="20"/>
        <v>0</v>
      </c>
      <c r="I231" s="6">
        <f t="shared" si="21"/>
        <v>0</v>
      </c>
      <c r="J231" s="7">
        <f t="shared" si="22"/>
        <v>0</v>
      </c>
      <c r="K231" s="28">
        <v>0</v>
      </c>
      <c r="L231" s="29">
        <v>0</v>
      </c>
      <c r="M231" s="6">
        <f t="shared" si="23"/>
        <v>0</v>
      </c>
      <c r="N231" s="7">
        <f t="shared" si="24"/>
        <v>0</v>
      </c>
      <c r="O231" s="35"/>
      <c r="P231" s="36"/>
      <c r="Q231" s="59"/>
      <c r="R231" s="2" t="str">
        <f t="shared" si="25"/>
        <v>208|0|0|0|0|0|0|</v>
      </c>
      <c r="S231" s="25"/>
    </row>
    <row r="232" spans="1:19" s="34" customFormat="1" ht="12.75" customHeight="1" x14ac:dyDescent="0.2">
      <c r="A232" s="70" t="s">
        <v>478</v>
      </c>
      <c r="B232" s="61" t="s">
        <v>1200</v>
      </c>
      <c r="C232" s="26">
        <v>0</v>
      </c>
      <c r="D232" s="27">
        <v>0</v>
      </c>
      <c r="E232" s="28">
        <v>0</v>
      </c>
      <c r="F232" s="29">
        <v>0</v>
      </c>
      <c r="G232" s="6">
        <f t="shared" si="20"/>
        <v>0</v>
      </c>
      <c r="H232" s="7">
        <f t="shared" si="20"/>
        <v>0</v>
      </c>
      <c r="I232" s="6">
        <f t="shared" si="21"/>
        <v>0</v>
      </c>
      <c r="J232" s="7">
        <f t="shared" si="22"/>
        <v>0</v>
      </c>
      <c r="K232" s="28">
        <v>0</v>
      </c>
      <c r="L232" s="29">
        <v>0</v>
      </c>
      <c r="M232" s="6">
        <f t="shared" si="23"/>
        <v>0</v>
      </c>
      <c r="N232" s="7">
        <f t="shared" si="24"/>
        <v>0</v>
      </c>
      <c r="O232" s="35"/>
      <c r="P232" s="36"/>
      <c r="Q232" s="59"/>
      <c r="R232" s="2" t="str">
        <f t="shared" si="25"/>
        <v>211|0|0|0|0|0|0|</v>
      </c>
      <c r="S232" s="25"/>
    </row>
    <row r="233" spans="1:19" s="34" customFormat="1" ht="12.75" customHeight="1" x14ac:dyDescent="0.2">
      <c r="A233" s="70" t="s">
        <v>479</v>
      </c>
      <c r="B233" s="61" t="s">
        <v>1201</v>
      </c>
      <c r="C233" s="26">
        <v>0</v>
      </c>
      <c r="D233" s="27">
        <v>0</v>
      </c>
      <c r="E233" s="28">
        <v>0</v>
      </c>
      <c r="F233" s="29">
        <v>0</v>
      </c>
      <c r="G233" s="6">
        <f t="shared" si="20"/>
        <v>0</v>
      </c>
      <c r="H233" s="7">
        <f t="shared" si="20"/>
        <v>0</v>
      </c>
      <c r="I233" s="6">
        <f t="shared" si="21"/>
        <v>0</v>
      </c>
      <c r="J233" s="7">
        <f t="shared" si="22"/>
        <v>0</v>
      </c>
      <c r="K233" s="28">
        <v>0</v>
      </c>
      <c r="L233" s="29">
        <v>0</v>
      </c>
      <c r="M233" s="6">
        <f t="shared" si="23"/>
        <v>0</v>
      </c>
      <c r="N233" s="7">
        <f t="shared" si="24"/>
        <v>0</v>
      </c>
      <c r="O233" s="35"/>
      <c r="P233" s="36"/>
      <c r="Q233" s="59"/>
      <c r="R233" s="2" t="str">
        <f t="shared" si="25"/>
        <v>212|0|0|0|0|0|0|</v>
      </c>
      <c r="S233" s="25"/>
    </row>
    <row r="234" spans="1:19" s="34" customFormat="1" ht="12.75" customHeight="1" x14ac:dyDescent="0.2">
      <c r="A234" s="70" t="s">
        <v>480</v>
      </c>
      <c r="B234" s="61" t="s">
        <v>1202</v>
      </c>
      <c r="C234" s="26">
        <v>0</v>
      </c>
      <c r="D234" s="27">
        <v>0</v>
      </c>
      <c r="E234" s="28">
        <v>0</v>
      </c>
      <c r="F234" s="29">
        <v>0</v>
      </c>
      <c r="G234" s="6">
        <f t="shared" si="20"/>
        <v>0</v>
      </c>
      <c r="H234" s="7">
        <f t="shared" si="20"/>
        <v>0</v>
      </c>
      <c r="I234" s="6">
        <f t="shared" si="21"/>
        <v>0</v>
      </c>
      <c r="J234" s="7">
        <f t="shared" si="22"/>
        <v>0</v>
      </c>
      <c r="K234" s="28">
        <v>0</v>
      </c>
      <c r="L234" s="29">
        <v>0</v>
      </c>
      <c r="M234" s="6">
        <f t="shared" si="23"/>
        <v>0</v>
      </c>
      <c r="N234" s="7">
        <f t="shared" si="24"/>
        <v>0</v>
      </c>
      <c r="O234" s="35"/>
      <c r="P234" s="36"/>
      <c r="Q234" s="59"/>
      <c r="R234" s="2" t="str">
        <f t="shared" si="25"/>
        <v>21311|0|0|0|0|0|0|</v>
      </c>
      <c r="S234" s="25"/>
    </row>
    <row r="235" spans="1:19" s="34" customFormat="1" ht="12.75" customHeight="1" x14ac:dyDescent="0.2">
      <c r="A235" s="70" t="s">
        <v>481</v>
      </c>
      <c r="B235" s="61" t="s">
        <v>1203</v>
      </c>
      <c r="C235" s="26">
        <v>0</v>
      </c>
      <c r="D235" s="27">
        <v>0</v>
      </c>
      <c r="E235" s="28">
        <v>0</v>
      </c>
      <c r="F235" s="29">
        <v>0</v>
      </c>
      <c r="G235" s="6">
        <f t="shared" ref="G235:H298" si="26">+C235+E235</f>
        <v>0</v>
      </c>
      <c r="H235" s="7">
        <f t="shared" si="26"/>
        <v>0</v>
      </c>
      <c r="I235" s="6">
        <f t="shared" si="21"/>
        <v>0</v>
      </c>
      <c r="J235" s="7">
        <f t="shared" si="22"/>
        <v>0</v>
      </c>
      <c r="K235" s="28">
        <v>0</v>
      </c>
      <c r="L235" s="29">
        <v>0</v>
      </c>
      <c r="M235" s="6">
        <f t="shared" si="23"/>
        <v>0</v>
      </c>
      <c r="N235" s="7">
        <f t="shared" si="24"/>
        <v>0</v>
      </c>
      <c r="O235" s="35"/>
      <c r="P235" s="36"/>
      <c r="Q235" s="59"/>
      <c r="R235" s="2" t="str">
        <f t="shared" si="25"/>
        <v>21312|0|0|0|0|0|0|</v>
      </c>
      <c r="S235" s="25"/>
    </row>
    <row r="236" spans="1:19" s="34" customFormat="1" ht="12.75" customHeight="1" x14ac:dyDescent="0.2">
      <c r="A236" s="70" t="s">
        <v>482</v>
      </c>
      <c r="B236" s="61" t="s">
        <v>1204</v>
      </c>
      <c r="C236" s="26">
        <v>0</v>
      </c>
      <c r="D236" s="27">
        <v>0</v>
      </c>
      <c r="E236" s="28">
        <v>0</v>
      </c>
      <c r="F236" s="29">
        <v>0</v>
      </c>
      <c r="G236" s="6">
        <f t="shared" si="26"/>
        <v>0</v>
      </c>
      <c r="H236" s="7">
        <f t="shared" si="26"/>
        <v>0</v>
      </c>
      <c r="I236" s="6">
        <f t="shared" si="21"/>
        <v>0</v>
      </c>
      <c r="J236" s="7">
        <f t="shared" si="22"/>
        <v>0</v>
      </c>
      <c r="K236" s="28">
        <v>0</v>
      </c>
      <c r="L236" s="29">
        <v>0</v>
      </c>
      <c r="M236" s="6">
        <f t="shared" si="23"/>
        <v>0</v>
      </c>
      <c r="N236" s="7">
        <f t="shared" si="24"/>
        <v>0</v>
      </c>
      <c r="O236" s="35"/>
      <c r="P236" s="36"/>
      <c r="Q236" s="59"/>
      <c r="R236" s="2" t="str">
        <f t="shared" si="25"/>
        <v>21321|0|0|0|0|0|0|</v>
      </c>
      <c r="S236" s="25"/>
    </row>
    <row r="237" spans="1:19" s="34" customFormat="1" ht="12.75" customHeight="1" x14ac:dyDescent="0.2">
      <c r="A237" s="70" t="s">
        <v>483</v>
      </c>
      <c r="B237" s="61" t="s">
        <v>1205</v>
      </c>
      <c r="C237" s="26">
        <v>0</v>
      </c>
      <c r="D237" s="27">
        <v>0</v>
      </c>
      <c r="E237" s="28">
        <v>0</v>
      </c>
      <c r="F237" s="29">
        <v>0</v>
      </c>
      <c r="G237" s="6">
        <f t="shared" si="26"/>
        <v>0</v>
      </c>
      <c r="H237" s="7">
        <f t="shared" si="26"/>
        <v>0</v>
      </c>
      <c r="I237" s="6">
        <f t="shared" si="21"/>
        <v>0</v>
      </c>
      <c r="J237" s="7">
        <f t="shared" si="22"/>
        <v>0</v>
      </c>
      <c r="K237" s="28">
        <v>0</v>
      </c>
      <c r="L237" s="29">
        <v>0</v>
      </c>
      <c r="M237" s="6">
        <f t="shared" si="23"/>
        <v>0</v>
      </c>
      <c r="N237" s="7">
        <f t="shared" si="24"/>
        <v>0</v>
      </c>
      <c r="O237" s="35"/>
      <c r="P237" s="36"/>
      <c r="Q237" s="59"/>
      <c r="R237" s="2" t="str">
        <f t="shared" si="25"/>
        <v>21322|0|0|0|0|0|0|</v>
      </c>
      <c r="S237" s="25"/>
    </row>
    <row r="238" spans="1:19" s="34" customFormat="1" ht="12.75" customHeight="1" x14ac:dyDescent="0.2">
      <c r="A238" s="70" t="s">
        <v>484</v>
      </c>
      <c r="B238" s="61" t="s">
        <v>1206</v>
      </c>
      <c r="C238" s="26">
        <v>0</v>
      </c>
      <c r="D238" s="27">
        <v>0</v>
      </c>
      <c r="E238" s="28">
        <v>0</v>
      </c>
      <c r="F238" s="29">
        <v>0</v>
      </c>
      <c r="G238" s="6">
        <f t="shared" si="26"/>
        <v>0</v>
      </c>
      <c r="H238" s="7">
        <f t="shared" si="26"/>
        <v>0</v>
      </c>
      <c r="I238" s="6">
        <f t="shared" si="21"/>
        <v>0</v>
      </c>
      <c r="J238" s="7">
        <f t="shared" si="22"/>
        <v>0</v>
      </c>
      <c r="K238" s="28">
        <v>0</v>
      </c>
      <c r="L238" s="29">
        <v>0</v>
      </c>
      <c r="M238" s="6">
        <f t="shared" si="23"/>
        <v>0</v>
      </c>
      <c r="N238" s="7">
        <f t="shared" si="24"/>
        <v>0</v>
      </c>
      <c r="O238" s="35"/>
      <c r="P238" s="36"/>
      <c r="Q238" s="59"/>
      <c r="R238" s="2" t="str">
        <f t="shared" si="25"/>
        <v>214|0|0|0|0|0|0|</v>
      </c>
      <c r="S238" s="25"/>
    </row>
    <row r="239" spans="1:19" s="34" customFormat="1" ht="12.75" customHeight="1" x14ac:dyDescent="0.2">
      <c r="A239" s="70" t="s">
        <v>485</v>
      </c>
      <c r="B239" s="61" t="s">
        <v>1207</v>
      </c>
      <c r="C239" s="26">
        <v>0</v>
      </c>
      <c r="D239" s="27">
        <v>0</v>
      </c>
      <c r="E239" s="28">
        <v>0</v>
      </c>
      <c r="F239" s="29">
        <v>0</v>
      </c>
      <c r="G239" s="6">
        <f t="shared" si="26"/>
        <v>0</v>
      </c>
      <c r="H239" s="7">
        <f t="shared" si="26"/>
        <v>0</v>
      </c>
      <c r="I239" s="6">
        <f t="shared" si="21"/>
        <v>0</v>
      </c>
      <c r="J239" s="7">
        <f t="shared" si="22"/>
        <v>0</v>
      </c>
      <c r="K239" s="28">
        <v>0</v>
      </c>
      <c r="L239" s="29">
        <v>0</v>
      </c>
      <c r="M239" s="6">
        <f t="shared" si="23"/>
        <v>0</v>
      </c>
      <c r="N239" s="7">
        <f t="shared" si="24"/>
        <v>0</v>
      </c>
      <c r="O239" s="35"/>
      <c r="P239" s="36"/>
      <c r="Q239" s="59"/>
      <c r="R239" s="2" t="str">
        <f t="shared" si="25"/>
        <v>215|0|0|0|0|0|0|</v>
      </c>
      <c r="S239" s="25"/>
    </row>
    <row r="240" spans="1:19" s="34" customFormat="1" ht="12.75" customHeight="1" x14ac:dyDescent="0.2">
      <c r="A240" s="70" t="s">
        <v>486</v>
      </c>
      <c r="B240" s="61" t="s">
        <v>1208</v>
      </c>
      <c r="C240" s="26">
        <v>0</v>
      </c>
      <c r="D240" s="27">
        <v>0</v>
      </c>
      <c r="E240" s="28">
        <v>0</v>
      </c>
      <c r="F240" s="29">
        <v>0</v>
      </c>
      <c r="G240" s="6">
        <f t="shared" si="26"/>
        <v>0</v>
      </c>
      <c r="H240" s="7">
        <f t="shared" si="26"/>
        <v>0</v>
      </c>
      <c r="I240" s="6">
        <f t="shared" si="21"/>
        <v>0</v>
      </c>
      <c r="J240" s="7">
        <f t="shared" si="22"/>
        <v>0</v>
      </c>
      <c r="K240" s="28">
        <v>0</v>
      </c>
      <c r="L240" s="29">
        <v>0</v>
      </c>
      <c r="M240" s="6">
        <f t="shared" si="23"/>
        <v>0</v>
      </c>
      <c r="N240" s="7">
        <f t="shared" si="24"/>
        <v>0</v>
      </c>
      <c r="O240" s="35"/>
      <c r="P240" s="36"/>
      <c r="Q240" s="59"/>
      <c r="R240" s="2" t="str">
        <f t="shared" si="25"/>
        <v>217|0|0|0|0|0|0|</v>
      </c>
      <c r="S240" s="25"/>
    </row>
    <row r="241" spans="1:19" s="34" customFormat="1" ht="12.75" customHeight="1" x14ac:dyDescent="0.2">
      <c r="A241" s="70" t="s">
        <v>487</v>
      </c>
      <c r="B241" s="61" t="s">
        <v>1209</v>
      </c>
      <c r="C241" s="26">
        <v>0</v>
      </c>
      <c r="D241" s="27">
        <v>0</v>
      </c>
      <c r="E241" s="28">
        <v>0</v>
      </c>
      <c r="F241" s="29">
        <v>0</v>
      </c>
      <c r="G241" s="6">
        <f t="shared" si="26"/>
        <v>0</v>
      </c>
      <c r="H241" s="7">
        <f t="shared" si="26"/>
        <v>0</v>
      </c>
      <c r="I241" s="6">
        <f t="shared" si="21"/>
        <v>0</v>
      </c>
      <c r="J241" s="7">
        <f t="shared" si="22"/>
        <v>0</v>
      </c>
      <c r="K241" s="28">
        <v>0</v>
      </c>
      <c r="L241" s="29">
        <v>0</v>
      </c>
      <c r="M241" s="6">
        <f t="shared" si="23"/>
        <v>0</v>
      </c>
      <c r="N241" s="7">
        <f t="shared" si="24"/>
        <v>0</v>
      </c>
      <c r="O241" s="35"/>
      <c r="P241" s="36"/>
      <c r="Q241" s="59"/>
      <c r="R241" s="2" t="str">
        <f t="shared" si="25"/>
        <v>218|0|0|0|0|0|0|</v>
      </c>
      <c r="S241" s="25"/>
    </row>
    <row r="242" spans="1:19" s="34" customFormat="1" ht="12.75" customHeight="1" x14ac:dyDescent="0.2">
      <c r="A242" s="70" t="s">
        <v>489</v>
      </c>
      <c r="B242" s="61" t="s">
        <v>1210</v>
      </c>
      <c r="C242" s="26">
        <v>0</v>
      </c>
      <c r="D242" s="27">
        <v>0</v>
      </c>
      <c r="E242" s="28">
        <v>0</v>
      </c>
      <c r="F242" s="29">
        <v>0</v>
      </c>
      <c r="G242" s="6">
        <f t="shared" si="26"/>
        <v>0</v>
      </c>
      <c r="H242" s="7">
        <f t="shared" si="26"/>
        <v>0</v>
      </c>
      <c r="I242" s="6">
        <f t="shared" si="21"/>
        <v>0</v>
      </c>
      <c r="J242" s="7">
        <f t="shared" si="22"/>
        <v>0</v>
      </c>
      <c r="K242" s="28">
        <v>0</v>
      </c>
      <c r="L242" s="29">
        <v>0</v>
      </c>
      <c r="M242" s="6">
        <f t="shared" si="23"/>
        <v>0</v>
      </c>
      <c r="N242" s="7">
        <f t="shared" si="24"/>
        <v>0</v>
      </c>
      <c r="O242" s="35"/>
      <c r="P242" s="36"/>
      <c r="Q242" s="59"/>
      <c r="R242" s="2" t="str">
        <f t="shared" si="25"/>
        <v>221|0|0|0|0|0|0|</v>
      </c>
      <c r="S242" s="25"/>
    </row>
    <row r="243" spans="1:19" s="34" customFormat="1" ht="12.75" customHeight="1" x14ac:dyDescent="0.2">
      <c r="A243" s="70" t="s">
        <v>490</v>
      </c>
      <c r="B243" s="61" t="s">
        <v>1211</v>
      </c>
      <c r="C243" s="26">
        <v>0</v>
      </c>
      <c r="D243" s="27">
        <v>0</v>
      </c>
      <c r="E243" s="28">
        <v>0</v>
      </c>
      <c r="F243" s="29">
        <v>0</v>
      </c>
      <c r="G243" s="6">
        <f t="shared" si="26"/>
        <v>0</v>
      </c>
      <c r="H243" s="7">
        <f t="shared" si="26"/>
        <v>0</v>
      </c>
      <c r="I243" s="6">
        <f t="shared" si="21"/>
        <v>0</v>
      </c>
      <c r="J243" s="7">
        <f t="shared" si="22"/>
        <v>0</v>
      </c>
      <c r="K243" s="28">
        <v>0</v>
      </c>
      <c r="L243" s="29">
        <v>0</v>
      </c>
      <c r="M243" s="6">
        <f t="shared" si="23"/>
        <v>0</v>
      </c>
      <c r="N243" s="7">
        <f t="shared" si="24"/>
        <v>0</v>
      </c>
      <c r="O243" s="35"/>
      <c r="P243" s="36"/>
      <c r="Q243" s="59"/>
      <c r="R243" s="2" t="str">
        <f t="shared" si="25"/>
        <v>222|0|0|0|0|0|0|</v>
      </c>
      <c r="S243" s="25"/>
    </row>
    <row r="244" spans="1:19" s="34" customFormat="1" ht="12.75" customHeight="1" x14ac:dyDescent="0.2">
      <c r="A244" s="70" t="s">
        <v>491</v>
      </c>
      <c r="B244" s="61" t="s">
        <v>1212</v>
      </c>
      <c r="C244" s="26">
        <v>0</v>
      </c>
      <c r="D244" s="27">
        <v>0</v>
      </c>
      <c r="E244" s="28">
        <v>0</v>
      </c>
      <c r="F244" s="29">
        <v>0</v>
      </c>
      <c r="G244" s="6">
        <f t="shared" si="26"/>
        <v>0</v>
      </c>
      <c r="H244" s="7">
        <f t="shared" si="26"/>
        <v>0</v>
      </c>
      <c r="I244" s="6">
        <f t="shared" si="21"/>
        <v>0</v>
      </c>
      <c r="J244" s="7">
        <f t="shared" si="22"/>
        <v>0</v>
      </c>
      <c r="K244" s="28">
        <v>0</v>
      </c>
      <c r="L244" s="29">
        <v>0</v>
      </c>
      <c r="M244" s="6">
        <f t="shared" si="23"/>
        <v>0</v>
      </c>
      <c r="N244" s="7">
        <f t="shared" si="24"/>
        <v>0</v>
      </c>
      <c r="O244" s="35"/>
      <c r="P244" s="36"/>
      <c r="Q244" s="59"/>
      <c r="R244" s="2" t="str">
        <f t="shared" si="25"/>
        <v>231|0|0|0|0|0|0|</v>
      </c>
      <c r="S244" s="25"/>
    </row>
    <row r="245" spans="1:19" s="34" customFormat="1" ht="12.75" customHeight="1" x14ac:dyDescent="0.2">
      <c r="A245" s="70" t="s">
        <v>492</v>
      </c>
      <c r="B245" s="61" t="s">
        <v>1213</v>
      </c>
      <c r="C245" s="26">
        <v>0</v>
      </c>
      <c r="D245" s="27">
        <v>0</v>
      </c>
      <c r="E245" s="28">
        <v>0</v>
      </c>
      <c r="F245" s="29">
        <v>0</v>
      </c>
      <c r="G245" s="6">
        <f t="shared" si="26"/>
        <v>0</v>
      </c>
      <c r="H245" s="7">
        <f t="shared" si="26"/>
        <v>0</v>
      </c>
      <c r="I245" s="6">
        <f t="shared" si="21"/>
        <v>0</v>
      </c>
      <c r="J245" s="7">
        <f t="shared" si="22"/>
        <v>0</v>
      </c>
      <c r="K245" s="28">
        <v>0</v>
      </c>
      <c r="L245" s="29">
        <v>0</v>
      </c>
      <c r="M245" s="6">
        <f t="shared" si="23"/>
        <v>0</v>
      </c>
      <c r="N245" s="7">
        <f t="shared" si="24"/>
        <v>0</v>
      </c>
      <c r="O245" s="35"/>
      <c r="P245" s="36"/>
      <c r="Q245" s="59"/>
      <c r="R245" s="2" t="str">
        <f t="shared" si="25"/>
        <v>232|0|0|0|0|0|0|</v>
      </c>
      <c r="S245" s="25"/>
    </row>
    <row r="246" spans="1:19" s="34" customFormat="1" ht="12.75" customHeight="1" x14ac:dyDescent="0.2">
      <c r="A246" s="70" t="s">
        <v>493</v>
      </c>
      <c r="B246" s="61" t="s">
        <v>1214</v>
      </c>
      <c r="C246" s="26">
        <v>0</v>
      </c>
      <c r="D246" s="27">
        <v>0</v>
      </c>
      <c r="E246" s="28">
        <v>0</v>
      </c>
      <c r="F246" s="29">
        <v>0</v>
      </c>
      <c r="G246" s="6">
        <f t="shared" si="26"/>
        <v>0</v>
      </c>
      <c r="H246" s="7">
        <f t="shared" si="26"/>
        <v>0</v>
      </c>
      <c r="I246" s="6">
        <f t="shared" si="21"/>
        <v>0</v>
      </c>
      <c r="J246" s="7">
        <f t="shared" si="22"/>
        <v>0</v>
      </c>
      <c r="K246" s="28">
        <v>0</v>
      </c>
      <c r="L246" s="29">
        <v>0</v>
      </c>
      <c r="M246" s="6">
        <f t="shared" si="23"/>
        <v>0</v>
      </c>
      <c r="N246" s="7">
        <f t="shared" si="24"/>
        <v>0</v>
      </c>
      <c r="O246" s="35"/>
      <c r="P246" s="36"/>
      <c r="Q246" s="59"/>
      <c r="R246" s="2" t="str">
        <f t="shared" si="25"/>
        <v>23311|0|0|0|0|0|0|</v>
      </c>
      <c r="S246" s="25"/>
    </row>
    <row r="247" spans="1:19" s="34" customFormat="1" ht="12.75" customHeight="1" x14ac:dyDescent="0.2">
      <c r="A247" s="70" t="s">
        <v>494</v>
      </c>
      <c r="B247" s="61" t="s">
        <v>1215</v>
      </c>
      <c r="C247" s="26">
        <v>0</v>
      </c>
      <c r="D247" s="27">
        <v>0</v>
      </c>
      <c r="E247" s="28">
        <v>0</v>
      </c>
      <c r="F247" s="29">
        <v>0</v>
      </c>
      <c r="G247" s="6">
        <f t="shared" si="26"/>
        <v>0</v>
      </c>
      <c r="H247" s="7">
        <f t="shared" si="26"/>
        <v>0</v>
      </c>
      <c r="I247" s="6">
        <f t="shared" si="21"/>
        <v>0</v>
      </c>
      <c r="J247" s="7">
        <f t="shared" si="22"/>
        <v>0</v>
      </c>
      <c r="K247" s="28">
        <v>0</v>
      </c>
      <c r="L247" s="29">
        <v>0</v>
      </c>
      <c r="M247" s="6">
        <f t="shared" si="23"/>
        <v>0</v>
      </c>
      <c r="N247" s="7">
        <f t="shared" si="24"/>
        <v>0</v>
      </c>
      <c r="O247" s="35"/>
      <c r="P247" s="36"/>
      <c r="Q247" s="59"/>
      <c r="R247" s="2" t="str">
        <f t="shared" si="25"/>
        <v>23312|0|0|0|0|0|0|</v>
      </c>
      <c r="S247" s="25"/>
    </row>
    <row r="248" spans="1:19" s="34" customFormat="1" ht="12.75" customHeight="1" x14ac:dyDescent="0.2">
      <c r="A248" s="70" t="s">
        <v>495</v>
      </c>
      <c r="B248" s="61" t="s">
        <v>1216</v>
      </c>
      <c r="C248" s="26">
        <v>0</v>
      </c>
      <c r="D248" s="27">
        <v>0</v>
      </c>
      <c r="E248" s="28">
        <v>0</v>
      </c>
      <c r="F248" s="29">
        <v>0</v>
      </c>
      <c r="G248" s="6">
        <f t="shared" si="26"/>
        <v>0</v>
      </c>
      <c r="H248" s="7">
        <f t="shared" si="26"/>
        <v>0</v>
      </c>
      <c r="I248" s="6">
        <f t="shared" si="21"/>
        <v>0</v>
      </c>
      <c r="J248" s="7">
        <f t="shared" si="22"/>
        <v>0</v>
      </c>
      <c r="K248" s="28">
        <v>0</v>
      </c>
      <c r="L248" s="29">
        <v>0</v>
      </c>
      <c r="M248" s="6">
        <f t="shared" si="23"/>
        <v>0</v>
      </c>
      <c r="N248" s="7">
        <f t="shared" si="24"/>
        <v>0</v>
      </c>
      <c r="O248" s="35"/>
      <c r="P248" s="36"/>
      <c r="Q248" s="59"/>
      <c r="R248" s="2" t="str">
        <f t="shared" si="25"/>
        <v>23321|0|0|0|0|0|0|</v>
      </c>
      <c r="S248" s="25"/>
    </row>
    <row r="249" spans="1:19" s="34" customFormat="1" ht="12.75" customHeight="1" x14ac:dyDescent="0.2">
      <c r="A249" s="70" t="s">
        <v>496</v>
      </c>
      <c r="B249" s="61" t="s">
        <v>1217</v>
      </c>
      <c r="C249" s="26">
        <v>0</v>
      </c>
      <c r="D249" s="27">
        <v>0</v>
      </c>
      <c r="E249" s="28">
        <v>0</v>
      </c>
      <c r="F249" s="29">
        <v>0</v>
      </c>
      <c r="G249" s="6">
        <f t="shared" si="26"/>
        <v>0</v>
      </c>
      <c r="H249" s="7">
        <f t="shared" si="26"/>
        <v>0</v>
      </c>
      <c r="I249" s="6">
        <f t="shared" si="21"/>
        <v>0</v>
      </c>
      <c r="J249" s="7">
        <f t="shared" si="22"/>
        <v>0</v>
      </c>
      <c r="K249" s="28">
        <v>0</v>
      </c>
      <c r="L249" s="29">
        <v>0</v>
      </c>
      <c r="M249" s="6">
        <f t="shared" si="23"/>
        <v>0</v>
      </c>
      <c r="N249" s="7">
        <f t="shared" si="24"/>
        <v>0</v>
      </c>
      <c r="O249" s="35"/>
      <c r="P249" s="36"/>
      <c r="Q249" s="59"/>
      <c r="R249" s="2" t="str">
        <f t="shared" si="25"/>
        <v>23322|0|0|0|0|0|0|</v>
      </c>
      <c r="S249" s="25"/>
    </row>
    <row r="250" spans="1:19" s="34" customFormat="1" ht="12.75" customHeight="1" x14ac:dyDescent="0.2">
      <c r="A250" s="70" t="s">
        <v>497</v>
      </c>
      <c r="B250" s="61" t="s">
        <v>1218</v>
      </c>
      <c r="C250" s="26">
        <v>0</v>
      </c>
      <c r="D250" s="27">
        <v>0</v>
      </c>
      <c r="E250" s="28">
        <v>0</v>
      </c>
      <c r="F250" s="29">
        <v>0</v>
      </c>
      <c r="G250" s="6">
        <f t="shared" si="26"/>
        <v>0</v>
      </c>
      <c r="H250" s="7">
        <f t="shared" si="26"/>
        <v>0</v>
      </c>
      <c r="I250" s="6">
        <f t="shared" si="21"/>
        <v>0</v>
      </c>
      <c r="J250" s="7">
        <f t="shared" si="22"/>
        <v>0</v>
      </c>
      <c r="K250" s="28">
        <v>0</v>
      </c>
      <c r="L250" s="29">
        <v>0</v>
      </c>
      <c r="M250" s="6">
        <f t="shared" si="23"/>
        <v>0</v>
      </c>
      <c r="N250" s="7">
        <f t="shared" si="24"/>
        <v>0</v>
      </c>
      <c r="O250" s="35"/>
      <c r="P250" s="36"/>
      <c r="Q250" s="59"/>
      <c r="R250" s="2" t="str">
        <f t="shared" si="25"/>
        <v>234|0|0|0|0|0|0|</v>
      </c>
      <c r="S250" s="25"/>
    </row>
    <row r="251" spans="1:19" s="34" customFormat="1" ht="12.75" customHeight="1" x14ac:dyDescent="0.2">
      <c r="A251" s="70" t="s">
        <v>498</v>
      </c>
      <c r="B251" s="61" t="s">
        <v>1219</v>
      </c>
      <c r="C251" s="26">
        <v>0</v>
      </c>
      <c r="D251" s="27">
        <v>0</v>
      </c>
      <c r="E251" s="28">
        <v>0</v>
      </c>
      <c r="F251" s="29">
        <v>0</v>
      </c>
      <c r="G251" s="6">
        <f t="shared" si="26"/>
        <v>0</v>
      </c>
      <c r="H251" s="7">
        <f t="shared" si="26"/>
        <v>0</v>
      </c>
      <c r="I251" s="6">
        <f t="shared" si="21"/>
        <v>0</v>
      </c>
      <c r="J251" s="7">
        <f t="shared" si="22"/>
        <v>0</v>
      </c>
      <c r="K251" s="28">
        <v>0</v>
      </c>
      <c r="L251" s="29">
        <v>0</v>
      </c>
      <c r="M251" s="6">
        <f t="shared" si="23"/>
        <v>0</v>
      </c>
      <c r="N251" s="7">
        <f t="shared" si="24"/>
        <v>0</v>
      </c>
      <c r="O251" s="35"/>
      <c r="P251" s="36"/>
      <c r="Q251" s="59"/>
      <c r="R251" s="2" t="str">
        <f t="shared" si="25"/>
        <v>235|0|0|0|0|0|0|</v>
      </c>
      <c r="S251" s="25"/>
    </row>
    <row r="252" spans="1:19" s="34" customFormat="1" ht="12.75" customHeight="1" x14ac:dyDescent="0.2">
      <c r="A252" s="70" t="s">
        <v>499</v>
      </c>
      <c r="B252" s="61" t="s">
        <v>1220</v>
      </c>
      <c r="C252" s="26">
        <v>0</v>
      </c>
      <c r="D252" s="27">
        <v>0</v>
      </c>
      <c r="E252" s="28">
        <v>0</v>
      </c>
      <c r="F252" s="29">
        <v>0</v>
      </c>
      <c r="G252" s="6">
        <f t="shared" si="26"/>
        <v>0</v>
      </c>
      <c r="H252" s="7">
        <f t="shared" si="26"/>
        <v>0</v>
      </c>
      <c r="I252" s="6">
        <f t="shared" si="21"/>
        <v>0</v>
      </c>
      <c r="J252" s="7">
        <f t="shared" si="22"/>
        <v>0</v>
      </c>
      <c r="K252" s="28">
        <v>0</v>
      </c>
      <c r="L252" s="29">
        <v>0</v>
      </c>
      <c r="M252" s="6">
        <f t="shared" si="23"/>
        <v>0</v>
      </c>
      <c r="N252" s="7">
        <f t="shared" si="24"/>
        <v>0</v>
      </c>
      <c r="O252" s="35"/>
      <c r="P252" s="36"/>
      <c r="Q252" s="59"/>
      <c r="R252" s="2" t="str">
        <f t="shared" si="25"/>
        <v>237|0|0|0|0|0|0|</v>
      </c>
      <c r="S252" s="25"/>
    </row>
    <row r="253" spans="1:19" s="34" customFormat="1" ht="12.75" customHeight="1" x14ac:dyDescent="0.2">
      <c r="A253" s="70" t="s">
        <v>500</v>
      </c>
      <c r="B253" s="61" t="s">
        <v>1221</v>
      </c>
      <c r="C253" s="26">
        <v>0</v>
      </c>
      <c r="D253" s="27">
        <v>0</v>
      </c>
      <c r="E253" s="28">
        <v>0</v>
      </c>
      <c r="F253" s="29">
        <v>0</v>
      </c>
      <c r="G253" s="6">
        <f t="shared" si="26"/>
        <v>0</v>
      </c>
      <c r="H253" s="7">
        <f t="shared" si="26"/>
        <v>0</v>
      </c>
      <c r="I253" s="6">
        <f t="shared" si="21"/>
        <v>0</v>
      </c>
      <c r="J253" s="7">
        <f t="shared" si="22"/>
        <v>0</v>
      </c>
      <c r="K253" s="28">
        <v>0</v>
      </c>
      <c r="L253" s="29">
        <v>0</v>
      </c>
      <c r="M253" s="6">
        <f t="shared" si="23"/>
        <v>0</v>
      </c>
      <c r="N253" s="7">
        <f t="shared" si="24"/>
        <v>0</v>
      </c>
      <c r="O253" s="35"/>
      <c r="P253" s="36"/>
      <c r="Q253" s="59"/>
      <c r="R253" s="2" t="str">
        <f t="shared" si="25"/>
        <v>238|0|0|0|0|0|0|</v>
      </c>
      <c r="S253" s="25"/>
    </row>
    <row r="254" spans="1:19" s="34" customFormat="1" ht="12.75" customHeight="1" x14ac:dyDescent="0.2">
      <c r="A254" s="70" t="s">
        <v>501</v>
      </c>
      <c r="B254" s="61" t="s">
        <v>1222</v>
      </c>
      <c r="C254" s="26">
        <v>0</v>
      </c>
      <c r="D254" s="27">
        <v>0</v>
      </c>
      <c r="E254" s="28">
        <v>0</v>
      </c>
      <c r="F254" s="29">
        <v>0</v>
      </c>
      <c r="G254" s="6">
        <f t="shared" si="26"/>
        <v>0</v>
      </c>
      <c r="H254" s="7">
        <f t="shared" si="26"/>
        <v>0</v>
      </c>
      <c r="I254" s="6">
        <f t="shared" si="21"/>
        <v>0</v>
      </c>
      <c r="J254" s="7">
        <f t="shared" si="22"/>
        <v>0</v>
      </c>
      <c r="K254" s="28">
        <v>0</v>
      </c>
      <c r="L254" s="29">
        <v>0</v>
      </c>
      <c r="M254" s="6">
        <f t="shared" si="23"/>
        <v>0</v>
      </c>
      <c r="N254" s="7">
        <f t="shared" si="24"/>
        <v>0</v>
      </c>
      <c r="O254" s="35"/>
      <c r="P254" s="36"/>
      <c r="Q254" s="59"/>
      <c r="R254" s="2" t="str">
        <f t="shared" si="25"/>
        <v>241|0|0|0|0|0|0|</v>
      </c>
      <c r="S254" s="25"/>
    </row>
    <row r="255" spans="1:19" s="34" customFormat="1" ht="12.75" customHeight="1" x14ac:dyDescent="0.2">
      <c r="A255" s="70" t="s">
        <v>502</v>
      </c>
      <c r="B255" s="61" t="s">
        <v>1223</v>
      </c>
      <c r="C255" s="26">
        <v>0</v>
      </c>
      <c r="D255" s="27">
        <v>0</v>
      </c>
      <c r="E255" s="28">
        <v>0</v>
      </c>
      <c r="F255" s="29">
        <v>0</v>
      </c>
      <c r="G255" s="6">
        <f t="shared" si="26"/>
        <v>0</v>
      </c>
      <c r="H255" s="7">
        <f t="shared" si="26"/>
        <v>0</v>
      </c>
      <c r="I255" s="6">
        <f t="shared" si="21"/>
        <v>0</v>
      </c>
      <c r="J255" s="7">
        <f t="shared" si="22"/>
        <v>0</v>
      </c>
      <c r="K255" s="28">
        <v>0</v>
      </c>
      <c r="L255" s="29">
        <v>0</v>
      </c>
      <c r="M255" s="6">
        <f t="shared" si="23"/>
        <v>0</v>
      </c>
      <c r="N255" s="7">
        <f t="shared" si="24"/>
        <v>0</v>
      </c>
      <c r="O255" s="35"/>
      <c r="P255" s="36"/>
      <c r="Q255" s="59"/>
      <c r="R255" s="2" t="str">
        <f t="shared" si="25"/>
        <v>242|0|0|0|0|0|0|</v>
      </c>
      <c r="S255" s="25"/>
    </row>
    <row r="256" spans="1:19" s="34" customFormat="1" ht="12.75" customHeight="1" x14ac:dyDescent="0.2">
      <c r="A256" s="70" t="s">
        <v>503</v>
      </c>
      <c r="B256" s="61" t="s">
        <v>1224</v>
      </c>
      <c r="C256" s="26">
        <v>0</v>
      </c>
      <c r="D256" s="27">
        <v>0</v>
      </c>
      <c r="E256" s="28">
        <v>0</v>
      </c>
      <c r="F256" s="29">
        <v>0</v>
      </c>
      <c r="G256" s="6">
        <f t="shared" si="26"/>
        <v>0</v>
      </c>
      <c r="H256" s="7">
        <f t="shared" si="26"/>
        <v>0</v>
      </c>
      <c r="I256" s="6">
        <f t="shared" si="21"/>
        <v>0</v>
      </c>
      <c r="J256" s="7">
        <f t="shared" si="22"/>
        <v>0</v>
      </c>
      <c r="K256" s="28">
        <v>0</v>
      </c>
      <c r="L256" s="29">
        <v>0</v>
      </c>
      <c r="M256" s="6">
        <f t="shared" si="23"/>
        <v>0</v>
      </c>
      <c r="N256" s="7">
        <f t="shared" si="24"/>
        <v>0</v>
      </c>
      <c r="O256" s="35"/>
      <c r="P256" s="36"/>
      <c r="Q256" s="59"/>
      <c r="R256" s="2" t="str">
        <f t="shared" si="25"/>
        <v>243|0|0|0|0|0|0|</v>
      </c>
      <c r="S256" s="25"/>
    </row>
    <row r="257" spans="1:19" s="34" customFormat="1" ht="12.75" customHeight="1" x14ac:dyDescent="0.2">
      <c r="A257" s="70" t="s">
        <v>504</v>
      </c>
      <c r="B257" s="61" t="s">
        <v>1225</v>
      </c>
      <c r="C257" s="26">
        <v>0</v>
      </c>
      <c r="D257" s="27">
        <v>0</v>
      </c>
      <c r="E257" s="28">
        <v>0</v>
      </c>
      <c r="F257" s="29">
        <v>0</v>
      </c>
      <c r="G257" s="6">
        <f t="shared" si="26"/>
        <v>0</v>
      </c>
      <c r="H257" s="7">
        <f t="shared" si="26"/>
        <v>0</v>
      </c>
      <c r="I257" s="6">
        <f t="shared" si="21"/>
        <v>0</v>
      </c>
      <c r="J257" s="7">
        <f t="shared" si="22"/>
        <v>0</v>
      </c>
      <c r="K257" s="28">
        <v>0</v>
      </c>
      <c r="L257" s="29">
        <v>0</v>
      </c>
      <c r="M257" s="6">
        <f t="shared" si="23"/>
        <v>0</v>
      </c>
      <c r="N257" s="7">
        <f t="shared" si="24"/>
        <v>0</v>
      </c>
      <c r="O257" s="35"/>
      <c r="P257" s="36"/>
      <c r="Q257" s="59"/>
      <c r="R257" s="2" t="str">
        <f t="shared" si="25"/>
        <v>244|0|0|0|0|0|0|</v>
      </c>
      <c r="S257" s="25"/>
    </row>
    <row r="258" spans="1:19" s="34" customFormat="1" ht="12.75" customHeight="1" x14ac:dyDescent="0.2">
      <c r="A258" s="70" t="s">
        <v>505</v>
      </c>
      <c r="B258" s="61" t="s">
        <v>1226</v>
      </c>
      <c r="C258" s="26">
        <v>0</v>
      </c>
      <c r="D258" s="27">
        <v>0</v>
      </c>
      <c r="E258" s="28">
        <v>0</v>
      </c>
      <c r="F258" s="29">
        <v>0</v>
      </c>
      <c r="G258" s="6">
        <f t="shared" si="26"/>
        <v>0</v>
      </c>
      <c r="H258" s="7">
        <f t="shared" si="26"/>
        <v>0</v>
      </c>
      <c r="I258" s="6">
        <f t="shared" si="21"/>
        <v>0</v>
      </c>
      <c r="J258" s="7">
        <f t="shared" si="22"/>
        <v>0</v>
      </c>
      <c r="K258" s="28">
        <v>0</v>
      </c>
      <c r="L258" s="29">
        <v>0</v>
      </c>
      <c r="M258" s="6">
        <f t="shared" si="23"/>
        <v>0</v>
      </c>
      <c r="N258" s="7">
        <f t="shared" si="24"/>
        <v>0</v>
      </c>
      <c r="O258" s="35"/>
      <c r="P258" s="36"/>
      <c r="Q258" s="59"/>
      <c r="R258" s="2" t="str">
        <f t="shared" si="25"/>
        <v>251|0|0|0|0|0|0|</v>
      </c>
      <c r="S258" s="25"/>
    </row>
    <row r="259" spans="1:19" s="34" customFormat="1" ht="12.75" customHeight="1" x14ac:dyDescent="0.2">
      <c r="A259" s="70" t="s">
        <v>506</v>
      </c>
      <c r="B259" s="61" t="s">
        <v>1227</v>
      </c>
      <c r="C259" s="26">
        <v>0</v>
      </c>
      <c r="D259" s="27">
        <v>0</v>
      </c>
      <c r="E259" s="28">
        <v>0</v>
      </c>
      <c r="F259" s="29">
        <v>0</v>
      </c>
      <c r="G259" s="6">
        <f t="shared" si="26"/>
        <v>0</v>
      </c>
      <c r="H259" s="7">
        <f t="shared" si="26"/>
        <v>0</v>
      </c>
      <c r="I259" s="6">
        <f t="shared" si="21"/>
        <v>0</v>
      </c>
      <c r="J259" s="7">
        <f t="shared" si="22"/>
        <v>0</v>
      </c>
      <c r="K259" s="28">
        <v>0</v>
      </c>
      <c r="L259" s="29">
        <v>0</v>
      </c>
      <c r="M259" s="6">
        <f t="shared" si="23"/>
        <v>0</v>
      </c>
      <c r="N259" s="7">
        <f t="shared" si="24"/>
        <v>0</v>
      </c>
      <c r="O259" s="35"/>
      <c r="P259" s="36"/>
      <c r="Q259" s="59"/>
      <c r="R259" s="2" t="str">
        <f t="shared" si="25"/>
        <v>2521|0|0|0|0|0|0|</v>
      </c>
      <c r="S259" s="25"/>
    </row>
    <row r="260" spans="1:19" s="34" customFormat="1" ht="12.75" customHeight="1" x14ac:dyDescent="0.2">
      <c r="A260" s="70" t="s">
        <v>507</v>
      </c>
      <c r="B260" s="61" t="s">
        <v>1228</v>
      </c>
      <c r="C260" s="26">
        <v>0</v>
      </c>
      <c r="D260" s="27">
        <v>0</v>
      </c>
      <c r="E260" s="28">
        <v>0</v>
      </c>
      <c r="F260" s="29">
        <v>0</v>
      </c>
      <c r="G260" s="6">
        <f t="shared" si="26"/>
        <v>0</v>
      </c>
      <c r="H260" s="7">
        <f t="shared" si="26"/>
        <v>0</v>
      </c>
      <c r="I260" s="6">
        <f t="shared" si="21"/>
        <v>0</v>
      </c>
      <c r="J260" s="7">
        <f t="shared" si="22"/>
        <v>0</v>
      </c>
      <c r="K260" s="28">
        <v>0</v>
      </c>
      <c r="L260" s="29">
        <v>0</v>
      </c>
      <c r="M260" s="6">
        <f t="shared" si="23"/>
        <v>0</v>
      </c>
      <c r="N260" s="7">
        <f t="shared" si="24"/>
        <v>0</v>
      </c>
      <c r="O260" s="35"/>
      <c r="P260" s="36"/>
      <c r="Q260" s="59"/>
      <c r="R260" s="2" t="str">
        <f t="shared" si="25"/>
        <v>2522|0|0|0|0|0|0|</v>
      </c>
      <c r="S260" s="25"/>
    </row>
    <row r="261" spans="1:19" s="34" customFormat="1" ht="12.75" customHeight="1" x14ac:dyDescent="0.2">
      <c r="A261" s="70" t="s">
        <v>508</v>
      </c>
      <c r="B261" s="61" t="s">
        <v>1229</v>
      </c>
      <c r="C261" s="26">
        <v>0</v>
      </c>
      <c r="D261" s="27">
        <v>0</v>
      </c>
      <c r="E261" s="28">
        <v>0</v>
      </c>
      <c r="F261" s="29">
        <v>0</v>
      </c>
      <c r="G261" s="6">
        <f t="shared" si="26"/>
        <v>0</v>
      </c>
      <c r="H261" s="7">
        <f t="shared" si="26"/>
        <v>0</v>
      </c>
      <c r="I261" s="6">
        <f t="shared" ref="I261:I324" si="27">IF($G261-$H261&gt;=0,$G261-$H261,0)</f>
        <v>0</v>
      </c>
      <c r="J261" s="7">
        <f t="shared" ref="J261:J324" si="28">IF($G261-$H261&lt;0,-$G261+$H261,0)</f>
        <v>0</v>
      </c>
      <c r="K261" s="28">
        <v>0</v>
      </c>
      <c r="L261" s="29">
        <v>0</v>
      </c>
      <c r="M261" s="6">
        <f t="shared" ref="M261:M324" si="29">IF($I261-$J261+$K261-$L261&gt;=0,$I261-$J261+$K261-$L261,0)</f>
        <v>0</v>
      </c>
      <c r="N261" s="7">
        <f t="shared" ref="N261:N324" si="30">IF($I261-$J261+$K261-$L261&lt;0,-($I261-$J261+$K261-$L261),0)</f>
        <v>0</v>
      </c>
      <c r="O261" s="35"/>
      <c r="P261" s="36"/>
      <c r="Q261" s="59"/>
      <c r="R261" s="2" t="str">
        <f t="shared" ref="R261:R324" si="31">CONCATENATE(A261,"|",C261,"|",D261,"|",E261,"|",F261,"|",K261,"|",L261,"|")</f>
        <v>2523|0|0|0|0|0|0|</v>
      </c>
      <c r="S261" s="25"/>
    </row>
    <row r="262" spans="1:19" s="34" customFormat="1" ht="12.75" customHeight="1" x14ac:dyDescent="0.2">
      <c r="A262" s="70" t="s">
        <v>509</v>
      </c>
      <c r="B262" s="61" t="s">
        <v>1230</v>
      </c>
      <c r="C262" s="26">
        <v>0</v>
      </c>
      <c r="D262" s="27">
        <v>0</v>
      </c>
      <c r="E262" s="28">
        <v>0</v>
      </c>
      <c r="F262" s="29">
        <v>0</v>
      </c>
      <c r="G262" s="6">
        <f t="shared" si="26"/>
        <v>0</v>
      </c>
      <c r="H262" s="7">
        <f t="shared" si="26"/>
        <v>0</v>
      </c>
      <c r="I262" s="6">
        <f t="shared" si="27"/>
        <v>0</v>
      </c>
      <c r="J262" s="7">
        <f t="shared" si="28"/>
        <v>0</v>
      </c>
      <c r="K262" s="28">
        <v>0</v>
      </c>
      <c r="L262" s="29">
        <v>0</v>
      </c>
      <c r="M262" s="6">
        <f t="shared" si="29"/>
        <v>0</v>
      </c>
      <c r="N262" s="7">
        <f t="shared" si="30"/>
        <v>0</v>
      </c>
      <c r="O262" s="35"/>
      <c r="P262" s="36"/>
      <c r="Q262" s="59"/>
      <c r="R262" s="2" t="str">
        <f t="shared" si="31"/>
        <v>2524|0|0|0|0|0|0|</v>
      </c>
      <c r="S262" s="25"/>
    </row>
    <row r="263" spans="1:19" s="34" customFormat="1" ht="12.75" customHeight="1" x14ac:dyDescent="0.2">
      <c r="A263" s="70" t="s">
        <v>510</v>
      </c>
      <c r="B263" s="61" t="s">
        <v>1231</v>
      </c>
      <c r="C263" s="26">
        <v>0</v>
      </c>
      <c r="D263" s="27">
        <v>0</v>
      </c>
      <c r="E263" s="28">
        <v>0</v>
      </c>
      <c r="F263" s="29">
        <v>0</v>
      </c>
      <c r="G263" s="6">
        <f t="shared" si="26"/>
        <v>0</v>
      </c>
      <c r="H263" s="7">
        <f t="shared" si="26"/>
        <v>0</v>
      </c>
      <c r="I263" s="6">
        <f t="shared" si="27"/>
        <v>0</v>
      </c>
      <c r="J263" s="7">
        <f t="shared" si="28"/>
        <v>0</v>
      </c>
      <c r="K263" s="28">
        <v>0</v>
      </c>
      <c r="L263" s="29">
        <v>0</v>
      </c>
      <c r="M263" s="6">
        <f t="shared" si="29"/>
        <v>0</v>
      </c>
      <c r="N263" s="7">
        <f t="shared" si="30"/>
        <v>0</v>
      </c>
      <c r="O263" s="35"/>
      <c r="P263" s="36"/>
      <c r="Q263" s="59"/>
      <c r="R263" s="2" t="str">
        <f t="shared" si="31"/>
        <v>253|0|0|0|0|0|0|</v>
      </c>
      <c r="S263" s="25"/>
    </row>
    <row r="264" spans="1:19" s="34" customFormat="1" ht="12.75" customHeight="1" x14ac:dyDescent="0.2">
      <c r="A264" s="70" t="s">
        <v>511</v>
      </c>
      <c r="B264" s="61" t="s">
        <v>1232</v>
      </c>
      <c r="C264" s="26">
        <v>0</v>
      </c>
      <c r="D264" s="27">
        <v>0</v>
      </c>
      <c r="E264" s="28">
        <v>0</v>
      </c>
      <c r="F264" s="29">
        <v>0</v>
      </c>
      <c r="G264" s="6">
        <f t="shared" si="26"/>
        <v>0</v>
      </c>
      <c r="H264" s="7">
        <f t="shared" si="26"/>
        <v>0</v>
      </c>
      <c r="I264" s="6">
        <f t="shared" si="27"/>
        <v>0</v>
      </c>
      <c r="J264" s="7">
        <f t="shared" si="28"/>
        <v>0</v>
      </c>
      <c r="K264" s="28">
        <v>0</v>
      </c>
      <c r="L264" s="29">
        <v>0</v>
      </c>
      <c r="M264" s="6">
        <f t="shared" si="29"/>
        <v>0</v>
      </c>
      <c r="N264" s="7">
        <f t="shared" si="30"/>
        <v>0</v>
      </c>
      <c r="O264" s="35"/>
      <c r="P264" s="36"/>
      <c r="Q264" s="59"/>
      <c r="R264" s="2" t="str">
        <f t="shared" si="31"/>
        <v>261|0|0|0|0|0|0|</v>
      </c>
      <c r="S264" s="25"/>
    </row>
    <row r="265" spans="1:19" s="34" customFormat="1" ht="12.75" customHeight="1" x14ac:dyDescent="0.2">
      <c r="A265" s="70" t="s">
        <v>512</v>
      </c>
      <c r="B265" s="61" t="s">
        <v>1233</v>
      </c>
      <c r="C265" s="26">
        <v>0</v>
      </c>
      <c r="D265" s="27">
        <v>0</v>
      </c>
      <c r="E265" s="28">
        <v>0</v>
      </c>
      <c r="F265" s="29">
        <v>0</v>
      </c>
      <c r="G265" s="6">
        <f t="shared" si="26"/>
        <v>0</v>
      </c>
      <c r="H265" s="7">
        <f t="shared" si="26"/>
        <v>0</v>
      </c>
      <c r="I265" s="6">
        <f t="shared" si="27"/>
        <v>0</v>
      </c>
      <c r="J265" s="7">
        <f t="shared" si="28"/>
        <v>0</v>
      </c>
      <c r="K265" s="28">
        <v>0</v>
      </c>
      <c r="L265" s="29">
        <v>0</v>
      </c>
      <c r="M265" s="6">
        <f t="shared" si="29"/>
        <v>0</v>
      </c>
      <c r="N265" s="7">
        <f t="shared" si="30"/>
        <v>0</v>
      </c>
      <c r="O265" s="35"/>
      <c r="P265" s="36"/>
      <c r="Q265" s="59"/>
      <c r="R265" s="2" t="str">
        <f t="shared" si="31"/>
        <v>262|0|0|0|0|0|0|</v>
      </c>
      <c r="S265" s="25"/>
    </row>
    <row r="266" spans="1:19" s="34" customFormat="1" ht="12.75" customHeight="1" x14ac:dyDescent="0.2">
      <c r="A266" s="70" t="s">
        <v>1234</v>
      </c>
      <c r="B266" s="61" t="s">
        <v>1235</v>
      </c>
      <c r="C266" s="26">
        <v>0</v>
      </c>
      <c r="D266" s="27">
        <v>0</v>
      </c>
      <c r="E266" s="28">
        <v>0</v>
      </c>
      <c r="F266" s="29">
        <v>0</v>
      </c>
      <c r="G266" s="6">
        <f t="shared" si="26"/>
        <v>0</v>
      </c>
      <c r="H266" s="7">
        <f t="shared" si="26"/>
        <v>0</v>
      </c>
      <c r="I266" s="6">
        <f t="shared" si="27"/>
        <v>0</v>
      </c>
      <c r="J266" s="7">
        <f t="shared" si="28"/>
        <v>0</v>
      </c>
      <c r="K266" s="28">
        <v>0</v>
      </c>
      <c r="L266" s="29">
        <v>0</v>
      </c>
      <c r="M266" s="6">
        <f t="shared" si="29"/>
        <v>0</v>
      </c>
      <c r="N266" s="7">
        <f t="shared" si="30"/>
        <v>0</v>
      </c>
      <c r="O266" s="35"/>
      <c r="P266" s="36"/>
      <c r="Q266" s="59"/>
      <c r="R266" s="2" t="str">
        <f t="shared" si="31"/>
        <v>27111|0|0|0|0|0|0|</v>
      </c>
      <c r="S266" s="25"/>
    </row>
    <row r="267" spans="1:19" s="34" customFormat="1" ht="12.75" customHeight="1" x14ac:dyDescent="0.2">
      <c r="A267" s="70" t="s">
        <v>1236</v>
      </c>
      <c r="B267" s="61" t="s">
        <v>1237</v>
      </c>
      <c r="C267" s="26">
        <v>0</v>
      </c>
      <c r="D267" s="27">
        <v>0</v>
      </c>
      <c r="E267" s="28">
        <v>0</v>
      </c>
      <c r="F267" s="29">
        <v>0</v>
      </c>
      <c r="G267" s="6">
        <f t="shared" si="26"/>
        <v>0</v>
      </c>
      <c r="H267" s="7">
        <f t="shared" si="26"/>
        <v>0</v>
      </c>
      <c r="I267" s="6">
        <f t="shared" si="27"/>
        <v>0</v>
      </c>
      <c r="J267" s="7">
        <f t="shared" si="28"/>
        <v>0</v>
      </c>
      <c r="K267" s="28">
        <v>0</v>
      </c>
      <c r="L267" s="29">
        <v>0</v>
      </c>
      <c r="M267" s="6">
        <f t="shared" si="29"/>
        <v>0</v>
      </c>
      <c r="N267" s="7">
        <f t="shared" si="30"/>
        <v>0</v>
      </c>
      <c r="O267" s="35"/>
      <c r="P267" s="36"/>
      <c r="Q267" s="59"/>
      <c r="R267" s="2" t="str">
        <f t="shared" si="31"/>
        <v>27112|0|0|0|0|0|0|</v>
      </c>
      <c r="S267" s="25"/>
    </row>
    <row r="268" spans="1:19" s="34" customFormat="1" ht="12.75" customHeight="1" x14ac:dyDescent="0.2">
      <c r="A268" s="70" t="s">
        <v>1238</v>
      </c>
      <c r="B268" s="61" t="s">
        <v>1239</v>
      </c>
      <c r="C268" s="26">
        <v>0</v>
      </c>
      <c r="D268" s="27">
        <v>0</v>
      </c>
      <c r="E268" s="28">
        <v>0</v>
      </c>
      <c r="F268" s="29">
        <v>0</v>
      </c>
      <c r="G268" s="6">
        <f t="shared" si="26"/>
        <v>0</v>
      </c>
      <c r="H268" s="7">
        <f t="shared" si="26"/>
        <v>0</v>
      </c>
      <c r="I268" s="6">
        <f t="shared" si="27"/>
        <v>0</v>
      </c>
      <c r="J268" s="7">
        <f t="shared" si="28"/>
        <v>0</v>
      </c>
      <c r="K268" s="28">
        <v>0</v>
      </c>
      <c r="L268" s="29">
        <v>0</v>
      </c>
      <c r="M268" s="6">
        <f t="shared" si="29"/>
        <v>0</v>
      </c>
      <c r="N268" s="7">
        <f t="shared" si="30"/>
        <v>0</v>
      </c>
      <c r="O268" s="35"/>
      <c r="P268" s="36"/>
      <c r="Q268" s="59"/>
      <c r="R268" s="2" t="str">
        <f t="shared" si="31"/>
        <v>27113|0|0|0|0|0|0|</v>
      </c>
      <c r="S268" s="25"/>
    </row>
    <row r="269" spans="1:19" s="34" customFormat="1" ht="12.75" customHeight="1" x14ac:dyDescent="0.2">
      <c r="A269" s="70" t="s">
        <v>1240</v>
      </c>
      <c r="B269" s="61" t="s">
        <v>1241</v>
      </c>
      <c r="C269" s="26">
        <v>0</v>
      </c>
      <c r="D269" s="27">
        <v>0</v>
      </c>
      <c r="E269" s="28">
        <v>0</v>
      </c>
      <c r="F269" s="29">
        <v>0</v>
      </c>
      <c r="G269" s="6">
        <f t="shared" si="26"/>
        <v>0</v>
      </c>
      <c r="H269" s="7">
        <f t="shared" si="26"/>
        <v>0</v>
      </c>
      <c r="I269" s="6">
        <f t="shared" si="27"/>
        <v>0</v>
      </c>
      <c r="J269" s="7">
        <f t="shared" si="28"/>
        <v>0</v>
      </c>
      <c r="K269" s="28">
        <v>0</v>
      </c>
      <c r="L269" s="29">
        <v>0</v>
      </c>
      <c r="M269" s="6">
        <f t="shared" si="29"/>
        <v>0</v>
      </c>
      <c r="N269" s="7">
        <f t="shared" si="30"/>
        <v>0</v>
      </c>
      <c r="O269" s="35"/>
      <c r="P269" s="36"/>
      <c r="Q269" s="59"/>
      <c r="R269" s="2" t="str">
        <f t="shared" si="31"/>
        <v>27121|0|0|0|0|0|0|</v>
      </c>
      <c r="S269" s="25"/>
    </row>
    <row r="270" spans="1:19" s="34" customFormat="1" ht="12.75" customHeight="1" x14ac:dyDescent="0.2">
      <c r="A270" s="70" t="s">
        <v>1242</v>
      </c>
      <c r="B270" s="61" t="s">
        <v>1243</v>
      </c>
      <c r="C270" s="26">
        <v>0</v>
      </c>
      <c r="D270" s="27">
        <v>0</v>
      </c>
      <c r="E270" s="28">
        <v>0</v>
      </c>
      <c r="F270" s="29">
        <v>0</v>
      </c>
      <c r="G270" s="6">
        <f t="shared" si="26"/>
        <v>0</v>
      </c>
      <c r="H270" s="7">
        <f t="shared" si="26"/>
        <v>0</v>
      </c>
      <c r="I270" s="6">
        <f t="shared" si="27"/>
        <v>0</v>
      </c>
      <c r="J270" s="7">
        <f t="shared" si="28"/>
        <v>0</v>
      </c>
      <c r="K270" s="28">
        <v>0</v>
      </c>
      <c r="L270" s="29">
        <v>0</v>
      </c>
      <c r="M270" s="6">
        <f t="shared" si="29"/>
        <v>0</v>
      </c>
      <c r="N270" s="7">
        <f t="shared" si="30"/>
        <v>0</v>
      </c>
      <c r="O270" s="35"/>
      <c r="P270" s="36"/>
      <c r="Q270" s="59"/>
      <c r="R270" s="2" t="str">
        <f t="shared" si="31"/>
        <v>27122|0|0|0|0|0|0|</v>
      </c>
      <c r="S270" s="25"/>
    </row>
    <row r="271" spans="1:19" s="34" customFormat="1" ht="12.75" customHeight="1" x14ac:dyDescent="0.2">
      <c r="A271" s="70" t="s">
        <v>1244</v>
      </c>
      <c r="B271" s="61" t="s">
        <v>1245</v>
      </c>
      <c r="C271" s="26">
        <v>0</v>
      </c>
      <c r="D271" s="27">
        <v>0</v>
      </c>
      <c r="E271" s="28">
        <v>0</v>
      </c>
      <c r="F271" s="29">
        <v>0</v>
      </c>
      <c r="G271" s="6">
        <f t="shared" si="26"/>
        <v>0</v>
      </c>
      <c r="H271" s="7">
        <f t="shared" si="26"/>
        <v>0</v>
      </c>
      <c r="I271" s="6">
        <f t="shared" si="27"/>
        <v>0</v>
      </c>
      <c r="J271" s="7">
        <f t="shared" si="28"/>
        <v>0</v>
      </c>
      <c r="K271" s="28">
        <v>0</v>
      </c>
      <c r="L271" s="29">
        <v>0</v>
      </c>
      <c r="M271" s="6">
        <f t="shared" si="29"/>
        <v>0</v>
      </c>
      <c r="N271" s="7">
        <f t="shared" si="30"/>
        <v>0</v>
      </c>
      <c r="O271" s="35"/>
      <c r="P271" s="36"/>
      <c r="Q271" s="59"/>
      <c r="R271" s="2" t="str">
        <f t="shared" si="31"/>
        <v>27123|0|0|0|0|0|0|</v>
      </c>
      <c r="S271" s="25"/>
    </row>
    <row r="272" spans="1:19" s="34" customFormat="1" ht="12.75" customHeight="1" x14ac:dyDescent="0.2">
      <c r="A272" s="70" t="s">
        <v>1246</v>
      </c>
      <c r="B272" s="61" t="s">
        <v>1247</v>
      </c>
      <c r="C272" s="26">
        <v>0</v>
      </c>
      <c r="D272" s="27">
        <v>0</v>
      </c>
      <c r="E272" s="28">
        <v>0</v>
      </c>
      <c r="F272" s="29">
        <v>0</v>
      </c>
      <c r="G272" s="6">
        <f t="shared" si="26"/>
        <v>0</v>
      </c>
      <c r="H272" s="7">
        <f t="shared" si="26"/>
        <v>0</v>
      </c>
      <c r="I272" s="6">
        <f t="shared" si="27"/>
        <v>0</v>
      </c>
      <c r="J272" s="7">
        <f t="shared" si="28"/>
        <v>0</v>
      </c>
      <c r="K272" s="28">
        <v>0</v>
      </c>
      <c r="L272" s="29">
        <v>0</v>
      </c>
      <c r="M272" s="6">
        <f t="shared" si="29"/>
        <v>0</v>
      </c>
      <c r="N272" s="7">
        <f t="shared" si="30"/>
        <v>0</v>
      </c>
      <c r="O272" s="35"/>
      <c r="P272" s="36"/>
      <c r="Q272" s="59"/>
      <c r="R272" s="2" t="str">
        <f t="shared" si="31"/>
        <v>27124|0|0|0|0|0|0|</v>
      </c>
      <c r="S272" s="25"/>
    </row>
    <row r="273" spans="1:19" s="34" customFormat="1" ht="12.75" customHeight="1" x14ac:dyDescent="0.2">
      <c r="A273" s="70" t="s">
        <v>1248</v>
      </c>
      <c r="B273" s="61" t="s">
        <v>1249</v>
      </c>
      <c r="C273" s="26">
        <v>0</v>
      </c>
      <c r="D273" s="27">
        <v>0</v>
      </c>
      <c r="E273" s="28">
        <v>0</v>
      </c>
      <c r="F273" s="29">
        <v>0</v>
      </c>
      <c r="G273" s="6">
        <f t="shared" si="26"/>
        <v>0</v>
      </c>
      <c r="H273" s="7">
        <f t="shared" si="26"/>
        <v>0</v>
      </c>
      <c r="I273" s="6">
        <f t="shared" si="27"/>
        <v>0</v>
      </c>
      <c r="J273" s="7">
        <f t="shared" si="28"/>
        <v>0</v>
      </c>
      <c r="K273" s="28">
        <v>0</v>
      </c>
      <c r="L273" s="29">
        <v>0</v>
      </c>
      <c r="M273" s="6">
        <f t="shared" si="29"/>
        <v>0</v>
      </c>
      <c r="N273" s="7">
        <f t="shared" si="30"/>
        <v>0</v>
      </c>
      <c r="O273" s="35"/>
      <c r="P273" s="36"/>
      <c r="Q273" s="59"/>
      <c r="R273" s="2" t="str">
        <f t="shared" si="31"/>
        <v>27211|0|0|0|0|0|0|</v>
      </c>
      <c r="S273" s="25"/>
    </row>
    <row r="274" spans="1:19" s="34" customFormat="1" ht="12.75" customHeight="1" x14ac:dyDescent="0.2">
      <c r="A274" s="70" t="s">
        <v>1250</v>
      </c>
      <c r="B274" s="61" t="s">
        <v>1251</v>
      </c>
      <c r="C274" s="26">
        <v>0</v>
      </c>
      <c r="D274" s="27">
        <v>0</v>
      </c>
      <c r="E274" s="28">
        <v>0</v>
      </c>
      <c r="F274" s="29">
        <v>0</v>
      </c>
      <c r="G274" s="6">
        <f t="shared" si="26"/>
        <v>0</v>
      </c>
      <c r="H274" s="7">
        <f t="shared" si="26"/>
        <v>0</v>
      </c>
      <c r="I274" s="6">
        <f t="shared" si="27"/>
        <v>0</v>
      </c>
      <c r="J274" s="7">
        <f t="shared" si="28"/>
        <v>0</v>
      </c>
      <c r="K274" s="28">
        <v>0</v>
      </c>
      <c r="L274" s="29">
        <v>0</v>
      </c>
      <c r="M274" s="6">
        <f t="shared" si="29"/>
        <v>0</v>
      </c>
      <c r="N274" s="7">
        <f t="shared" si="30"/>
        <v>0</v>
      </c>
      <c r="O274" s="35"/>
      <c r="P274" s="36"/>
      <c r="Q274" s="59"/>
      <c r="R274" s="2" t="str">
        <f t="shared" si="31"/>
        <v>27212|0|0|0|0|0|0|</v>
      </c>
      <c r="S274" s="25"/>
    </row>
    <row r="275" spans="1:19" s="34" customFormat="1" ht="12.75" customHeight="1" x14ac:dyDescent="0.2">
      <c r="A275" s="70" t="s">
        <v>1252</v>
      </c>
      <c r="B275" s="61" t="s">
        <v>1253</v>
      </c>
      <c r="C275" s="26">
        <v>0</v>
      </c>
      <c r="D275" s="27">
        <v>0</v>
      </c>
      <c r="E275" s="28">
        <v>0</v>
      </c>
      <c r="F275" s="29">
        <v>0</v>
      </c>
      <c r="G275" s="6">
        <f t="shared" si="26"/>
        <v>0</v>
      </c>
      <c r="H275" s="7">
        <f t="shared" si="26"/>
        <v>0</v>
      </c>
      <c r="I275" s="6">
        <f t="shared" si="27"/>
        <v>0</v>
      </c>
      <c r="J275" s="7">
        <f t="shared" si="28"/>
        <v>0</v>
      </c>
      <c r="K275" s="28">
        <v>0</v>
      </c>
      <c r="L275" s="29">
        <v>0</v>
      </c>
      <c r="M275" s="6">
        <f t="shared" si="29"/>
        <v>0</v>
      </c>
      <c r="N275" s="7">
        <f t="shared" si="30"/>
        <v>0</v>
      </c>
      <c r="O275" s="35"/>
      <c r="P275" s="36"/>
      <c r="Q275" s="59"/>
      <c r="R275" s="2" t="str">
        <f t="shared" si="31"/>
        <v>27213|0|0|0|0|0|0|</v>
      </c>
      <c r="S275" s="25"/>
    </row>
    <row r="276" spans="1:19" s="34" customFormat="1" ht="12.75" customHeight="1" x14ac:dyDescent="0.2">
      <c r="A276" s="70" t="s">
        <v>1254</v>
      </c>
      <c r="B276" s="61" t="s">
        <v>1255</v>
      </c>
      <c r="C276" s="26">
        <v>0</v>
      </c>
      <c r="D276" s="27">
        <v>0</v>
      </c>
      <c r="E276" s="28">
        <v>0</v>
      </c>
      <c r="F276" s="29">
        <v>0</v>
      </c>
      <c r="G276" s="6">
        <f t="shared" si="26"/>
        <v>0</v>
      </c>
      <c r="H276" s="7">
        <f t="shared" si="26"/>
        <v>0</v>
      </c>
      <c r="I276" s="6">
        <f t="shared" si="27"/>
        <v>0</v>
      </c>
      <c r="J276" s="7">
        <f t="shared" si="28"/>
        <v>0</v>
      </c>
      <c r="K276" s="28">
        <v>0</v>
      </c>
      <c r="L276" s="29">
        <v>0</v>
      </c>
      <c r="M276" s="6">
        <f t="shared" si="29"/>
        <v>0</v>
      </c>
      <c r="N276" s="7">
        <f t="shared" si="30"/>
        <v>0</v>
      </c>
      <c r="O276" s="35"/>
      <c r="P276" s="36"/>
      <c r="Q276" s="59"/>
      <c r="R276" s="2" t="str">
        <f t="shared" si="31"/>
        <v>27221|0|0|0|0|0|0|</v>
      </c>
      <c r="S276" s="25"/>
    </row>
    <row r="277" spans="1:19" s="34" customFormat="1" ht="12.75" customHeight="1" x14ac:dyDescent="0.2">
      <c r="A277" s="70" t="s">
        <v>1256</v>
      </c>
      <c r="B277" s="61" t="s">
        <v>1257</v>
      </c>
      <c r="C277" s="26">
        <v>0</v>
      </c>
      <c r="D277" s="27">
        <v>0</v>
      </c>
      <c r="E277" s="28">
        <v>0</v>
      </c>
      <c r="F277" s="29">
        <v>0</v>
      </c>
      <c r="G277" s="6">
        <f t="shared" si="26"/>
        <v>0</v>
      </c>
      <c r="H277" s="7">
        <f t="shared" si="26"/>
        <v>0</v>
      </c>
      <c r="I277" s="6">
        <f t="shared" si="27"/>
        <v>0</v>
      </c>
      <c r="J277" s="7">
        <f t="shared" si="28"/>
        <v>0</v>
      </c>
      <c r="K277" s="28">
        <v>0</v>
      </c>
      <c r="L277" s="29">
        <v>0</v>
      </c>
      <c r="M277" s="6">
        <f t="shared" si="29"/>
        <v>0</v>
      </c>
      <c r="N277" s="7">
        <f t="shared" si="30"/>
        <v>0</v>
      </c>
      <c r="O277" s="35"/>
      <c r="P277" s="36"/>
      <c r="Q277" s="59"/>
      <c r="R277" s="2" t="str">
        <f t="shared" si="31"/>
        <v>27222|0|0|0|0|0|0|</v>
      </c>
      <c r="S277" s="25"/>
    </row>
    <row r="278" spans="1:19" s="34" customFormat="1" ht="12.75" customHeight="1" x14ac:dyDescent="0.2">
      <c r="A278" s="70" t="s">
        <v>1258</v>
      </c>
      <c r="B278" s="61" t="s">
        <v>1259</v>
      </c>
      <c r="C278" s="26">
        <v>0</v>
      </c>
      <c r="D278" s="27">
        <v>0</v>
      </c>
      <c r="E278" s="28">
        <v>0</v>
      </c>
      <c r="F278" s="29">
        <v>0</v>
      </c>
      <c r="G278" s="6">
        <f t="shared" si="26"/>
        <v>0</v>
      </c>
      <c r="H278" s="7">
        <f t="shared" si="26"/>
        <v>0</v>
      </c>
      <c r="I278" s="6">
        <f t="shared" si="27"/>
        <v>0</v>
      </c>
      <c r="J278" s="7">
        <f t="shared" si="28"/>
        <v>0</v>
      </c>
      <c r="K278" s="28">
        <v>0</v>
      </c>
      <c r="L278" s="29">
        <v>0</v>
      </c>
      <c r="M278" s="6">
        <f t="shared" si="29"/>
        <v>0</v>
      </c>
      <c r="N278" s="7">
        <f t="shared" si="30"/>
        <v>0</v>
      </c>
      <c r="O278" s="35"/>
      <c r="P278" s="36"/>
      <c r="Q278" s="59"/>
      <c r="R278" s="2" t="str">
        <f t="shared" si="31"/>
        <v>27223|0|0|0|0|0|0|</v>
      </c>
      <c r="S278" s="25"/>
    </row>
    <row r="279" spans="1:19" s="34" customFormat="1" ht="12.75" customHeight="1" x14ac:dyDescent="0.2">
      <c r="A279" s="70" t="s">
        <v>1260</v>
      </c>
      <c r="B279" s="61" t="s">
        <v>1261</v>
      </c>
      <c r="C279" s="26">
        <v>0</v>
      </c>
      <c r="D279" s="27">
        <v>0</v>
      </c>
      <c r="E279" s="28">
        <v>0</v>
      </c>
      <c r="F279" s="29">
        <v>0</v>
      </c>
      <c r="G279" s="6">
        <f t="shared" si="26"/>
        <v>0</v>
      </c>
      <c r="H279" s="7">
        <f t="shared" si="26"/>
        <v>0</v>
      </c>
      <c r="I279" s="6">
        <f t="shared" si="27"/>
        <v>0</v>
      </c>
      <c r="J279" s="7">
        <f t="shared" si="28"/>
        <v>0</v>
      </c>
      <c r="K279" s="28">
        <v>0</v>
      </c>
      <c r="L279" s="29">
        <v>0</v>
      </c>
      <c r="M279" s="6">
        <f t="shared" si="29"/>
        <v>0</v>
      </c>
      <c r="N279" s="7">
        <f t="shared" si="30"/>
        <v>0</v>
      </c>
      <c r="O279" s="35"/>
      <c r="P279" s="36"/>
      <c r="Q279" s="59"/>
      <c r="R279" s="2" t="str">
        <f t="shared" si="31"/>
        <v>27231|0|0|0|0|0|0|</v>
      </c>
      <c r="S279" s="25"/>
    </row>
    <row r="280" spans="1:19" s="34" customFormat="1" ht="12.75" customHeight="1" x14ac:dyDescent="0.2">
      <c r="A280" s="70" t="s">
        <v>1262</v>
      </c>
      <c r="B280" s="61" t="s">
        <v>1263</v>
      </c>
      <c r="C280" s="26">
        <v>0</v>
      </c>
      <c r="D280" s="27">
        <v>0</v>
      </c>
      <c r="E280" s="28">
        <v>0</v>
      </c>
      <c r="F280" s="29">
        <v>0</v>
      </c>
      <c r="G280" s="6">
        <f t="shared" si="26"/>
        <v>0</v>
      </c>
      <c r="H280" s="7">
        <f t="shared" si="26"/>
        <v>0</v>
      </c>
      <c r="I280" s="6">
        <f t="shared" si="27"/>
        <v>0</v>
      </c>
      <c r="J280" s="7">
        <f t="shared" si="28"/>
        <v>0</v>
      </c>
      <c r="K280" s="28">
        <v>0</v>
      </c>
      <c r="L280" s="29">
        <v>0</v>
      </c>
      <c r="M280" s="6">
        <f t="shared" si="29"/>
        <v>0</v>
      </c>
      <c r="N280" s="7">
        <f t="shared" si="30"/>
        <v>0</v>
      </c>
      <c r="O280" s="35"/>
      <c r="P280" s="36"/>
      <c r="Q280" s="59"/>
      <c r="R280" s="2" t="str">
        <f t="shared" si="31"/>
        <v>27232|0|0|0|0|0|0|</v>
      </c>
      <c r="S280" s="25"/>
    </row>
    <row r="281" spans="1:19" s="34" customFormat="1" ht="12.75" customHeight="1" x14ac:dyDescent="0.2">
      <c r="A281" s="70" t="s">
        <v>1264</v>
      </c>
      <c r="B281" s="61" t="s">
        <v>1265</v>
      </c>
      <c r="C281" s="26">
        <v>0</v>
      </c>
      <c r="D281" s="27">
        <v>0</v>
      </c>
      <c r="E281" s="28">
        <v>0</v>
      </c>
      <c r="F281" s="29">
        <v>0</v>
      </c>
      <c r="G281" s="6">
        <f t="shared" si="26"/>
        <v>0</v>
      </c>
      <c r="H281" s="7">
        <f t="shared" si="26"/>
        <v>0</v>
      </c>
      <c r="I281" s="6">
        <f t="shared" si="27"/>
        <v>0</v>
      </c>
      <c r="J281" s="7">
        <f t="shared" si="28"/>
        <v>0</v>
      </c>
      <c r="K281" s="28">
        <v>0</v>
      </c>
      <c r="L281" s="29">
        <v>0</v>
      </c>
      <c r="M281" s="6">
        <f t="shared" si="29"/>
        <v>0</v>
      </c>
      <c r="N281" s="7">
        <f t="shared" si="30"/>
        <v>0</v>
      </c>
      <c r="O281" s="35"/>
      <c r="P281" s="36"/>
      <c r="Q281" s="59"/>
      <c r="R281" s="2" t="str">
        <f t="shared" si="31"/>
        <v>27233|0|0|0|0|0|0|</v>
      </c>
      <c r="S281" s="25"/>
    </row>
    <row r="282" spans="1:19" s="34" customFormat="1" ht="12.75" customHeight="1" x14ac:dyDescent="0.2">
      <c r="A282" s="70" t="s">
        <v>1266</v>
      </c>
      <c r="B282" s="61" t="s">
        <v>1267</v>
      </c>
      <c r="C282" s="26">
        <v>0</v>
      </c>
      <c r="D282" s="27">
        <v>0</v>
      </c>
      <c r="E282" s="28">
        <v>0</v>
      </c>
      <c r="F282" s="29">
        <v>0</v>
      </c>
      <c r="G282" s="6">
        <f t="shared" si="26"/>
        <v>0</v>
      </c>
      <c r="H282" s="7">
        <f t="shared" si="26"/>
        <v>0</v>
      </c>
      <c r="I282" s="6">
        <f t="shared" si="27"/>
        <v>0</v>
      </c>
      <c r="J282" s="7">
        <f t="shared" si="28"/>
        <v>0</v>
      </c>
      <c r="K282" s="28">
        <v>0</v>
      </c>
      <c r="L282" s="29">
        <v>0</v>
      </c>
      <c r="M282" s="6">
        <f t="shared" si="29"/>
        <v>0</v>
      </c>
      <c r="N282" s="7">
        <f t="shared" si="30"/>
        <v>0</v>
      </c>
      <c r="O282" s="35"/>
      <c r="P282" s="36"/>
      <c r="Q282" s="59"/>
      <c r="R282" s="2" t="str">
        <f t="shared" si="31"/>
        <v>27241|0|0|0|0|0|0|</v>
      </c>
      <c r="S282" s="25"/>
    </row>
    <row r="283" spans="1:19" s="34" customFormat="1" ht="12.75" customHeight="1" x14ac:dyDescent="0.2">
      <c r="A283" s="70" t="s">
        <v>1268</v>
      </c>
      <c r="B283" s="61" t="s">
        <v>1269</v>
      </c>
      <c r="C283" s="26">
        <v>0</v>
      </c>
      <c r="D283" s="27">
        <v>0</v>
      </c>
      <c r="E283" s="28">
        <v>0</v>
      </c>
      <c r="F283" s="29">
        <v>0</v>
      </c>
      <c r="G283" s="6">
        <f t="shared" si="26"/>
        <v>0</v>
      </c>
      <c r="H283" s="7">
        <f t="shared" si="26"/>
        <v>0</v>
      </c>
      <c r="I283" s="6">
        <f t="shared" si="27"/>
        <v>0</v>
      </c>
      <c r="J283" s="7">
        <f t="shared" si="28"/>
        <v>0</v>
      </c>
      <c r="K283" s="28">
        <v>0</v>
      </c>
      <c r="L283" s="29">
        <v>0</v>
      </c>
      <c r="M283" s="6">
        <f t="shared" si="29"/>
        <v>0</v>
      </c>
      <c r="N283" s="7">
        <f t="shared" si="30"/>
        <v>0</v>
      </c>
      <c r="O283" s="35"/>
      <c r="P283" s="36"/>
      <c r="Q283" s="59"/>
      <c r="R283" s="2" t="str">
        <f t="shared" si="31"/>
        <v>27242|0|0|0|0|0|0|</v>
      </c>
      <c r="S283" s="25"/>
    </row>
    <row r="284" spans="1:19" s="34" customFormat="1" ht="12.75" customHeight="1" x14ac:dyDescent="0.2">
      <c r="A284" s="70" t="s">
        <v>1270</v>
      </c>
      <c r="B284" s="61" t="s">
        <v>1271</v>
      </c>
      <c r="C284" s="26">
        <v>0</v>
      </c>
      <c r="D284" s="27">
        <v>0</v>
      </c>
      <c r="E284" s="28">
        <v>0</v>
      </c>
      <c r="F284" s="29">
        <v>0</v>
      </c>
      <c r="G284" s="6">
        <f t="shared" si="26"/>
        <v>0</v>
      </c>
      <c r="H284" s="7">
        <f t="shared" si="26"/>
        <v>0</v>
      </c>
      <c r="I284" s="6">
        <f t="shared" si="27"/>
        <v>0</v>
      </c>
      <c r="J284" s="7">
        <f t="shared" si="28"/>
        <v>0</v>
      </c>
      <c r="K284" s="28">
        <v>0</v>
      </c>
      <c r="L284" s="29">
        <v>0</v>
      </c>
      <c r="M284" s="6">
        <f t="shared" si="29"/>
        <v>0</v>
      </c>
      <c r="N284" s="7">
        <f t="shared" si="30"/>
        <v>0</v>
      </c>
      <c r="O284" s="35"/>
      <c r="P284" s="36"/>
      <c r="Q284" s="59"/>
      <c r="R284" s="2" t="str">
        <f t="shared" si="31"/>
        <v>27251|0|0|0|0|0|0|</v>
      </c>
      <c r="S284" s="25"/>
    </row>
    <row r="285" spans="1:19" s="34" customFormat="1" ht="12.75" customHeight="1" x14ac:dyDescent="0.2">
      <c r="A285" s="70" t="s">
        <v>1272</v>
      </c>
      <c r="B285" s="61" t="s">
        <v>1273</v>
      </c>
      <c r="C285" s="26">
        <v>0</v>
      </c>
      <c r="D285" s="27">
        <v>0</v>
      </c>
      <c r="E285" s="28">
        <v>0</v>
      </c>
      <c r="F285" s="29">
        <v>0</v>
      </c>
      <c r="G285" s="6">
        <f t="shared" si="26"/>
        <v>0</v>
      </c>
      <c r="H285" s="7">
        <f t="shared" si="26"/>
        <v>0</v>
      </c>
      <c r="I285" s="6">
        <f t="shared" si="27"/>
        <v>0</v>
      </c>
      <c r="J285" s="7">
        <f t="shared" si="28"/>
        <v>0</v>
      </c>
      <c r="K285" s="28">
        <v>0</v>
      </c>
      <c r="L285" s="29">
        <v>0</v>
      </c>
      <c r="M285" s="6">
        <f t="shared" si="29"/>
        <v>0</v>
      </c>
      <c r="N285" s="7">
        <f t="shared" si="30"/>
        <v>0</v>
      </c>
      <c r="O285" s="35"/>
      <c r="P285" s="36"/>
      <c r="Q285" s="59"/>
      <c r="R285" s="2" t="str">
        <f t="shared" si="31"/>
        <v>27252|0|0|0|0|0|0|</v>
      </c>
      <c r="S285" s="25"/>
    </row>
    <row r="286" spans="1:19" s="34" customFormat="1" ht="12.75" customHeight="1" x14ac:dyDescent="0.2">
      <c r="A286" s="70" t="s">
        <v>1274</v>
      </c>
      <c r="B286" s="61" t="s">
        <v>1275</v>
      </c>
      <c r="C286" s="26">
        <v>0</v>
      </c>
      <c r="D286" s="27">
        <v>0</v>
      </c>
      <c r="E286" s="28">
        <v>0</v>
      </c>
      <c r="F286" s="29">
        <v>0</v>
      </c>
      <c r="G286" s="6">
        <f t="shared" si="26"/>
        <v>0</v>
      </c>
      <c r="H286" s="7">
        <f t="shared" si="26"/>
        <v>0</v>
      </c>
      <c r="I286" s="6">
        <f t="shared" si="27"/>
        <v>0</v>
      </c>
      <c r="J286" s="7">
        <f t="shared" si="28"/>
        <v>0</v>
      </c>
      <c r="K286" s="28">
        <v>0</v>
      </c>
      <c r="L286" s="29">
        <v>0</v>
      </c>
      <c r="M286" s="6">
        <f t="shared" si="29"/>
        <v>0</v>
      </c>
      <c r="N286" s="7">
        <f t="shared" si="30"/>
        <v>0</v>
      </c>
      <c r="O286" s="35"/>
      <c r="P286" s="36"/>
      <c r="Q286" s="59"/>
      <c r="R286" s="2" t="str">
        <f t="shared" si="31"/>
        <v>27261|0|0|0|0|0|0|</v>
      </c>
      <c r="S286" s="25"/>
    </row>
    <row r="287" spans="1:19" s="34" customFormat="1" ht="12.75" customHeight="1" x14ac:dyDescent="0.2">
      <c r="A287" s="70" t="s">
        <v>1276</v>
      </c>
      <c r="B287" s="61" t="s">
        <v>1277</v>
      </c>
      <c r="C287" s="26">
        <v>0</v>
      </c>
      <c r="D287" s="27">
        <v>0</v>
      </c>
      <c r="E287" s="28">
        <v>0</v>
      </c>
      <c r="F287" s="29">
        <v>0</v>
      </c>
      <c r="G287" s="6">
        <f t="shared" si="26"/>
        <v>0</v>
      </c>
      <c r="H287" s="7">
        <f t="shared" si="26"/>
        <v>0</v>
      </c>
      <c r="I287" s="6">
        <f t="shared" si="27"/>
        <v>0</v>
      </c>
      <c r="J287" s="7">
        <f t="shared" si="28"/>
        <v>0</v>
      </c>
      <c r="K287" s="28">
        <v>0</v>
      </c>
      <c r="L287" s="29">
        <v>0</v>
      </c>
      <c r="M287" s="6">
        <f t="shared" si="29"/>
        <v>0</v>
      </c>
      <c r="N287" s="7">
        <f t="shared" si="30"/>
        <v>0</v>
      </c>
      <c r="O287" s="35"/>
      <c r="P287" s="36"/>
      <c r="Q287" s="59"/>
      <c r="R287" s="2" t="str">
        <f t="shared" si="31"/>
        <v>27262|0|0|0|0|0|0|</v>
      </c>
      <c r="S287" s="25"/>
    </row>
    <row r="288" spans="1:19" s="34" customFormat="1" ht="12.75" customHeight="1" x14ac:dyDescent="0.2">
      <c r="A288" s="70" t="s">
        <v>1278</v>
      </c>
      <c r="B288" s="61" t="s">
        <v>1279</v>
      </c>
      <c r="C288" s="26">
        <v>0</v>
      </c>
      <c r="D288" s="27">
        <v>0</v>
      </c>
      <c r="E288" s="28">
        <v>0</v>
      </c>
      <c r="F288" s="29">
        <v>0</v>
      </c>
      <c r="G288" s="6">
        <f t="shared" si="26"/>
        <v>0</v>
      </c>
      <c r="H288" s="7">
        <f t="shared" si="26"/>
        <v>0</v>
      </c>
      <c r="I288" s="6">
        <f t="shared" si="27"/>
        <v>0</v>
      </c>
      <c r="J288" s="7">
        <f t="shared" si="28"/>
        <v>0</v>
      </c>
      <c r="K288" s="28">
        <v>0</v>
      </c>
      <c r="L288" s="29">
        <v>0</v>
      </c>
      <c r="M288" s="6">
        <f t="shared" si="29"/>
        <v>0</v>
      </c>
      <c r="N288" s="7">
        <f t="shared" si="30"/>
        <v>0</v>
      </c>
      <c r="O288" s="35"/>
      <c r="P288" s="36"/>
      <c r="Q288" s="59"/>
      <c r="R288" s="2" t="str">
        <f t="shared" si="31"/>
        <v>27271|0|0|0|0|0|0|</v>
      </c>
      <c r="S288" s="25"/>
    </row>
    <row r="289" spans="1:19" s="34" customFormat="1" ht="12.75" customHeight="1" x14ac:dyDescent="0.2">
      <c r="A289" s="70" t="s">
        <v>1280</v>
      </c>
      <c r="B289" s="63" t="s">
        <v>1281</v>
      </c>
      <c r="C289" s="26">
        <v>0</v>
      </c>
      <c r="D289" s="27">
        <v>0</v>
      </c>
      <c r="E289" s="28">
        <v>0</v>
      </c>
      <c r="F289" s="29">
        <v>0</v>
      </c>
      <c r="G289" s="6">
        <f t="shared" si="26"/>
        <v>0</v>
      </c>
      <c r="H289" s="7">
        <f t="shared" si="26"/>
        <v>0</v>
      </c>
      <c r="I289" s="6">
        <f t="shared" si="27"/>
        <v>0</v>
      </c>
      <c r="J289" s="7">
        <f t="shared" si="28"/>
        <v>0</v>
      </c>
      <c r="K289" s="28">
        <v>0</v>
      </c>
      <c r="L289" s="29">
        <v>0</v>
      </c>
      <c r="M289" s="6">
        <f t="shared" si="29"/>
        <v>0</v>
      </c>
      <c r="N289" s="7">
        <f t="shared" si="30"/>
        <v>0</v>
      </c>
      <c r="O289" s="35"/>
      <c r="P289" s="36"/>
      <c r="Q289" s="59"/>
      <c r="R289" s="2" t="str">
        <f t="shared" si="31"/>
        <v>27272|0|0|0|0|0|0|</v>
      </c>
      <c r="S289" s="25"/>
    </row>
    <row r="290" spans="1:19" s="34" customFormat="1" ht="12.75" customHeight="1" x14ac:dyDescent="0.2">
      <c r="A290" s="70" t="s">
        <v>1282</v>
      </c>
      <c r="B290" s="61" t="s">
        <v>1283</v>
      </c>
      <c r="C290" s="26">
        <v>0</v>
      </c>
      <c r="D290" s="27">
        <v>0</v>
      </c>
      <c r="E290" s="28">
        <v>0</v>
      </c>
      <c r="F290" s="29">
        <v>0</v>
      </c>
      <c r="G290" s="6">
        <f t="shared" si="26"/>
        <v>0</v>
      </c>
      <c r="H290" s="7">
        <f t="shared" si="26"/>
        <v>0</v>
      </c>
      <c r="I290" s="6">
        <f t="shared" si="27"/>
        <v>0</v>
      </c>
      <c r="J290" s="7">
        <f t="shared" si="28"/>
        <v>0</v>
      </c>
      <c r="K290" s="28">
        <v>0</v>
      </c>
      <c r="L290" s="29">
        <v>0</v>
      </c>
      <c r="M290" s="6">
        <f t="shared" si="29"/>
        <v>0</v>
      </c>
      <c r="N290" s="7">
        <f t="shared" si="30"/>
        <v>0</v>
      </c>
      <c r="O290" s="35"/>
      <c r="P290" s="36"/>
      <c r="Q290" s="59"/>
      <c r="R290" s="2" t="str">
        <f t="shared" si="31"/>
        <v>27311|0|0|0|0|0|0|</v>
      </c>
      <c r="S290" s="25"/>
    </row>
    <row r="291" spans="1:19" s="34" customFormat="1" ht="12.75" customHeight="1" x14ac:dyDescent="0.2">
      <c r="A291" s="70" t="s">
        <v>1284</v>
      </c>
      <c r="B291" s="61" t="s">
        <v>1285</v>
      </c>
      <c r="C291" s="26">
        <v>0</v>
      </c>
      <c r="D291" s="27">
        <v>0</v>
      </c>
      <c r="E291" s="28">
        <v>0</v>
      </c>
      <c r="F291" s="29">
        <v>0</v>
      </c>
      <c r="G291" s="6">
        <f t="shared" si="26"/>
        <v>0</v>
      </c>
      <c r="H291" s="7">
        <f t="shared" si="26"/>
        <v>0</v>
      </c>
      <c r="I291" s="6">
        <f t="shared" si="27"/>
        <v>0</v>
      </c>
      <c r="J291" s="7">
        <f t="shared" si="28"/>
        <v>0</v>
      </c>
      <c r="K291" s="28">
        <v>0</v>
      </c>
      <c r="L291" s="29">
        <v>0</v>
      </c>
      <c r="M291" s="6">
        <f t="shared" si="29"/>
        <v>0</v>
      </c>
      <c r="N291" s="7">
        <f t="shared" si="30"/>
        <v>0</v>
      </c>
      <c r="O291" s="35"/>
      <c r="P291" s="36"/>
      <c r="Q291" s="59"/>
      <c r="R291" s="2" t="str">
        <f t="shared" si="31"/>
        <v>27312|0|0|0|0|0|0|</v>
      </c>
      <c r="S291" s="25"/>
    </row>
    <row r="292" spans="1:19" s="34" customFormat="1" ht="12.75" customHeight="1" x14ac:dyDescent="0.2">
      <c r="A292" s="70" t="s">
        <v>1286</v>
      </c>
      <c r="B292" s="61" t="s">
        <v>1287</v>
      </c>
      <c r="C292" s="26">
        <v>0</v>
      </c>
      <c r="D292" s="27">
        <v>0</v>
      </c>
      <c r="E292" s="28">
        <v>0</v>
      </c>
      <c r="F292" s="29">
        <v>0</v>
      </c>
      <c r="G292" s="6">
        <f t="shared" si="26"/>
        <v>0</v>
      </c>
      <c r="H292" s="7">
        <f t="shared" si="26"/>
        <v>0</v>
      </c>
      <c r="I292" s="6">
        <f t="shared" si="27"/>
        <v>0</v>
      </c>
      <c r="J292" s="7">
        <f t="shared" si="28"/>
        <v>0</v>
      </c>
      <c r="K292" s="28">
        <v>0</v>
      </c>
      <c r="L292" s="29">
        <v>0</v>
      </c>
      <c r="M292" s="6">
        <f t="shared" si="29"/>
        <v>0</v>
      </c>
      <c r="N292" s="7">
        <f t="shared" si="30"/>
        <v>0</v>
      </c>
      <c r="O292" s="35"/>
      <c r="P292" s="36"/>
      <c r="Q292" s="59"/>
      <c r="R292" s="2" t="str">
        <f t="shared" si="31"/>
        <v>27321|0|0|0|0|0|0|</v>
      </c>
      <c r="S292" s="25"/>
    </row>
    <row r="293" spans="1:19" s="34" customFormat="1" ht="12.75" customHeight="1" x14ac:dyDescent="0.2">
      <c r="A293" s="70" t="s">
        <v>1288</v>
      </c>
      <c r="B293" s="61" t="s">
        <v>1289</v>
      </c>
      <c r="C293" s="26">
        <v>0</v>
      </c>
      <c r="D293" s="27">
        <v>0</v>
      </c>
      <c r="E293" s="28">
        <v>0</v>
      </c>
      <c r="F293" s="29">
        <v>0</v>
      </c>
      <c r="G293" s="6">
        <f t="shared" si="26"/>
        <v>0</v>
      </c>
      <c r="H293" s="7">
        <f t="shared" si="26"/>
        <v>0</v>
      </c>
      <c r="I293" s="6">
        <f t="shared" si="27"/>
        <v>0</v>
      </c>
      <c r="J293" s="7">
        <f t="shared" si="28"/>
        <v>0</v>
      </c>
      <c r="K293" s="28">
        <v>0</v>
      </c>
      <c r="L293" s="29">
        <v>0</v>
      </c>
      <c r="M293" s="6">
        <f t="shared" si="29"/>
        <v>0</v>
      </c>
      <c r="N293" s="7">
        <f t="shared" si="30"/>
        <v>0</v>
      </c>
      <c r="O293" s="35"/>
      <c r="P293" s="36"/>
      <c r="Q293" s="59"/>
      <c r="R293" s="2" t="str">
        <f t="shared" si="31"/>
        <v>27322|0|0|0|0|0|0|</v>
      </c>
      <c r="S293" s="25"/>
    </row>
    <row r="294" spans="1:19" s="34" customFormat="1" ht="12.75" customHeight="1" x14ac:dyDescent="0.2">
      <c r="A294" s="70" t="s">
        <v>1290</v>
      </c>
      <c r="B294" s="61" t="s">
        <v>1291</v>
      </c>
      <c r="C294" s="26">
        <v>0</v>
      </c>
      <c r="D294" s="27">
        <v>0</v>
      </c>
      <c r="E294" s="28">
        <v>0</v>
      </c>
      <c r="F294" s="29">
        <v>0</v>
      </c>
      <c r="G294" s="6">
        <f t="shared" si="26"/>
        <v>0</v>
      </c>
      <c r="H294" s="7">
        <f t="shared" si="26"/>
        <v>0</v>
      </c>
      <c r="I294" s="6">
        <f t="shared" si="27"/>
        <v>0</v>
      </c>
      <c r="J294" s="7">
        <f t="shared" si="28"/>
        <v>0</v>
      </c>
      <c r="K294" s="28">
        <v>0</v>
      </c>
      <c r="L294" s="29">
        <v>0</v>
      </c>
      <c r="M294" s="6">
        <f t="shared" si="29"/>
        <v>0</v>
      </c>
      <c r="N294" s="7">
        <f t="shared" si="30"/>
        <v>0</v>
      </c>
      <c r="O294" s="35"/>
      <c r="P294" s="36"/>
      <c r="Q294" s="59"/>
      <c r="R294" s="2" t="str">
        <f t="shared" si="31"/>
        <v>27331|0|0|0|0|0|0|</v>
      </c>
      <c r="S294" s="25"/>
    </row>
    <row r="295" spans="1:19" s="34" customFormat="1" ht="12.75" customHeight="1" x14ac:dyDescent="0.2">
      <c r="A295" s="70" t="s">
        <v>1292</v>
      </c>
      <c r="B295" s="61" t="s">
        <v>1293</v>
      </c>
      <c r="C295" s="26">
        <v>0</v>
      </c>
      <c r="D295" s="27">
        <v>0</v>
      </c>
      <c r="E295" s="28">
        <v>0</v>
      </c>
      <c r="F295" s="29">
        <v>0</v>
      </c>
      <c r="G295" s="6">
        <f t="shared" si="26"/>
        <v>0</v>
      </c>
      <c r="H295" s="7">
        <f t="shared" si="26"/>
        <v>0</v>
      </c>
      <c r="I295" s="6">
        <f t="shared" si="27"/>
        <v>0</v>
      </c>
      <c r="J295" s="7">
        <f t="shared" si="28"/>
        <v>0</v>
      </c>
      <c r="K295" s="28">
        <v>0</v>
      </c>
      <c r="L295" s="29">
        <v>0</v>
      </c>
      <c r="M295" s="6">
        <f t="shared" si="29"/>
        <v>0</v>
      </c>
      <c r="N295" s="7">
        <f t="shared" si="30"/>
        <v>0</v>
      </c>
      <c r="O295" s="35"/>
      <c r="P295" s="36"/>
      <c r="Q295" s="59"/>
      <c r="R295" s="2" t="str">
        <f t="shared" si="31"/>
        <v>27332|0|0|0|0|0|0|</v>
      </c>
      <c r="S295" s="25"/>
    </row>
    <row r="296" spans="1:19" s="34" customFormat="1" ht="12.75" customHeight="1" x14ac:dyDescent="0.2">
      <c r="A296" s="70" t="s">
        <v>1294</v>
      </c>
      <c r="B296" s="61" t="s">
        <v>1295</v>
      </c>
      <c r="C296" s="26">
        <v>0</v>
      </c>
      <c r="D296" s="27">
        <v>0</v>
      </c>
      <c r="E296" s="28">
        <v>0</v>
      </c>
      <c r="F296" s="29">
        <v>0</v>
      </c>
      <c r="G296" s="6">
        <f t="shared" si="26"/>
        <v>0</v>
      </c>
      <c r="H296" s="7">
        <f t="shared" si="26"/>
        <v>0</v>
      </c>
      <c r="I296" s="6">
        <f t="shared" si="27"/>
        <v>0</v>
      </c>
      <c r="J296" s="7">
        <f t="shared" si="28"/>
        <v>0</v>
      </c>
      <c r="K296" s="28">
        <v>0</v>
      </c>
      <c r="L296" s="29">
        <v>0</v>
      </c>
      <c r="M296" s="6">
        <f t="shared" si="29"/>
        <v>0</v>
      </c>
      <c r="N296" s="7">
        <f t="shared" si="30"/>
        <v>0</v>
      </c>
      <c r="O296" s="35"/>
      <c r="P296" s="36"/>
      <c r="Q296" s="59"/>
      <c r="R296" s="2" t="str">
        <f t="shared" si="31"/>
        <v>27341|0|0|0|0|0|0|</v>
      </c>
      <c r="S296" s="25"/>
    </row>
    <row r="297" spans="1:19" s="34" customFormat="1" ht="12.75" customHeight="1" x14ac:dyDescent="0.2">
      <c r="A297" s="70" t="s">
        <v>1296</v>
      </c>
      <c r="B297" s="61" t="s">
        <v>1297</v>
      </c>
      <c r="C297" s="26">
        <v>0</v>
      </c>
      <c r="D297" s="27">
        <v>0</v>
      </c>
      <c r="E297" s="28">
        <v>0</v>
      </c>
      <c r="F297" s="29">
        <v>0</v>
      </c>
      <c r="G297" s="6">
        <f t="shared" si="26"/>
        <v>0</v>
      </c>
      <c r="H297" s="7">
        <f t="shared" si="26"/>
        <v>0</v>
      </c>
      <c r="I297" s="6">
        <f t="shared" si="27"/>
        <v>0</v>
      </c>
      <c r="J297" s="7">
        <f t="shared" si="28"/>
        <v>0</v>
      </c>
      <c r="K297" s="28">
        <v>0</v>
      </c>
      <c r="L297" s="29">
        <v>0</v>
      </c>
      <c r="M297" s="6">
        <f t="shared" si="29"/>
        <v>0</v>
      </c>
      <c r="N297" s="7">
        <f t="shared" si="30"/>
        <v>0</v>
      </c>
      <c r="O297" s="35"/>
      <c r="P297" s="36"/>
      <c r="Q297" s="59"/>
      <c r="R297" s="2" t="str">
        <f t="shared" si="31"/>
        <v>27342|0|0|0|0|0|0|</v>
      </c>
      <c r="S297" s="25"/>
    </row>
    <row r="298" spans="1:19" s="34" customFormat="1" ht="12.75" customHeight="1" x14ac:dyDescent="0.2">
      <c r="A298" s="70" t="s">
        <v>1298</v>
      </c>
      <c r="B298" s="61" t="s">
        <v>1299</v>
      </c>
      <c r="C298" s="26">
        <v>0</v>
      </c>
      <c r="D298" s="27">
        <v>0</v>
      </c>
      <c r="E298" s="28">
        <v>0</v>
      </c>
      <c r="F298" s="29">
        <v>0</v>
      </c>
      <c r="G298" s="6">
        <f t="shared" si="26"/>
        <v>0</v>
      </c>
      <c r="H298" s="7">
        <f t="shared" si="26"/>
        <v>0</v>
      </c>
      <c r="I298" s="6">
        <f t="shared" si="27"/>
        <v>0</v>
      </c>
      <c r="J298" s="7">
        <f t="shared" si="28"/>
        <v>0</v>
      </c>
      <c r="K298" s="28">
        <v>0</v>
      </c>
      <c r="L298" s="29">
        <v>0</v>
      </c>
      <c r="M298" s="6">
        <f t="shared" si="29"/>
        <v>0</v>
      </c>
      <c r="N298" s="7">
        <f t="shared" si="30"/>
        <v>0</v>
      </c>
      <c r="O298" s="35"/>
      <c r="P298" s="36"/>
      <c r="Q298" s="59"/>
      <c r="R298" s="2" t="str">
        <f t="shared" si="31"/>
        <v>27351|0|0|0|0|0|0|</v>
      </c>
      <c r="S298" s="25"/>
    </row>
    <row r="299" spans="1:19" s="34" customFormat="1" ht="12.75" customHeight="1" x14ac:dyDescent="0.2">
      <c r="A299" s="70" t="s">
        <v>1300</v>
      </c>
      <c r="B299" s="61" t="s">
        <v>1301</v>
      </c>
      <c r="C299" s="26">
        <v>0</v>
      </c>
      <c r="D299" s="27">
        <v>0</v>
      </c>
      <c r="E299" s="28">
        <v>0</v>
      </c>
      <c r="F299" s="29">
        <v>0</v>
      </c>
      <c r="G299" s="6">
        <f t="shared" ref="G299:H362" si="32">+C299+E299</f>
        <v>0</v>
      </c>
      <c r="H299" s="7">
        <f t="shared" si="32"/>
        <v>0</v>
      </c>
      <c r="I299" s="6">
        <f t="shared" si="27"/>
        <v>0</v>
      </c>
      <c r="J299" s="7">
        <f t="shared" si="28"/>
        <v>0</v>
      </c>
      <c r="K299" s="28">
        <v>0</v>
      </c>
      <c r="L299" s="29">
        <v>0</v>
      </c>
      <c r="M299" s="6">
        <f t="shared" si="29"/>
        <v>0</v>
      </c>
      <c r="N299" s="7">
        <f t="shared" si="30"/>
        <v>0</v>
      </c>
      <c r="O299" s="35"/>
      <c r="P299" s="36"/>
      <c r="Q299" s="59"/>
      <c r="R299" s="2" t="str">
        <f t="shared" si="31"/>
        <v>27352|0|0|0|0|0|0|</v>
      </c>
      <c r="S299" s="25"/>
    </row>
    <row r="300" spans="1:19" s="34" customFormat="1" ht="12.75" customHeight="1" x14ac:dyDescent="0.2">
      <c r="A300" s="70" t="s">
        <v>1302</v>
      </c>
      <c r="B300" s="61" t="s">
        <v>1303</v>
      </c>
      <c r="C300" s="26">
        <v>0</v>
      </c>
      <c r="D300" s="27">
        <v>0</v>
      </c>
      <c r="E300" s="28">
        <v>0</v>
      </c>
      <c r="F300" s="29">
        <v>0</v>
      </c>
      <c r="G300" s="6">
        <f t="shared" si="32"/>
        <v>0</v>
      </c>
      <c r="H300" s="7">
        <f t="shared" si="32"/>
        <v>0</v>
      </c>
      <c r="I300" s="6">
        <f t="shared" si="27"/>
        <v>0</v>
      </c>
      <c r="J300" s="7">
        <f t="shared" si="28"/>
        <v>0</v>
      </c>
      <c r="K300" s="28">
        <v>0</v>
      </c>
      <c r="L300" s="29">
        <v>0</v>
      </c>
      <c r="M300" s="6">
        <f t="shared" si="29"/>
        <v>0</v>
      </c>
      <c r="N300" s="7">
        <f t="shared" si="30"/>
        <v>0</v>
      </c>
      <c r="O300" s="35"/>
      <c r="P300" s="36"/>
      <c r="Q300" s="59"/>
      <c r="R300" s="2" t="str">
        <f t="shared" si="31"/>
        <v>27361|0|0|0|0|0|0|</v>
      </c>
      <c r="S300" s="25"/>
    </row>
    <row r="301" spans="1:19" s="34" customFormat="1" ht="12.75" customHeight="1" x14ac:dyDescent="0.2">
      <c r="A301" s="70" t="s">
        <v>1304</v>
      </c>
      <c r="B301" s="61" t="s">
        <v>1305</v>
      </c>
      <c r="C301" s="26">
        <v>0</v>
      </c>
      <c r="D301" s="27">
        <v>0</v>
      </c>
      <c r="E301" s="28">
        <v>0</v>
      </c>
      <c r="F301" s="29">
        <v>0</v>
      </c>
      <c r="G301" s="6">
        <f t="shared" si="32"/>
        <v>0</v>
      </c>
      <c r="H301" s="7">
        <f t="shared" si="32"/>
        <v>0</v>
      </c>
      <c r="I301" s="6">
        <f t="shared" si="27"/>
        <v>0</v>
      </c>
      <c r="J301" s="7">
        <f t="shared" si="28"/>
        <v>0</v>
      </c>
      <c r="K301" s="28">
        <v>0</v>
      </c>
      <c r="L301" s="29">
        <v>0</v>
      </c>
      <c r="M301" s="6">
        <f t="shared" si="29"/>
        <v>0</v>
      </c>
      <c r="N301" s="7">
        <f t="shared" si="30"/>
        <v>0</v>
      </c>
      <c r="O301" s="35"/>
      <c r="P301" s="36"/>
      <c r="Q301" s="59"/>
      <c r="R301" s="2" t="str">
        <f t="shared" si="31"/>
        <v>27362|0|0|0|0|0|0|</v>
      </c>
      <c r="S301" s="25"/>
    </row>
    <row r="302" spans="1:19" s="34" customFormat="1" ht="12.75" customHeight="1" x14ac:dyDescent="0.2">
      <c r="A302" s="70" t="s">
        <v>1306</v>
      </c>
      <c r="B302" s="61" t="s">
        <v>1307</v>
      </c>
      <c r="C302" s="26">
        <v>0</v>
      </c>
      <c r="D302" s="27">
        <v>0</v>
      </c>
      <c r="E302" s="28">
        <v>0</v>
      </c>
      <c r="F302" s="29">
        <v>0</v>
      </c>
      <c r="G302" s="6">
        <f t="shared" si="32"/>
        <v>0</v>
      </c>
      <c r="H302" s="7">
        <f t="shared" si="32"/>
        <v>0</v>
      </c>
      <c r="I302" s="6">
        <f t="shared" si="27"/>
        <v>0</v>
      </c>
      <c r="J302" s="7">
        <f t="shared" si="28"/>
        <v>0</v>
      </c>
      <c r="K302" s="28">
        <v>0</v>
      </c>
      <c r="L302" s="29">
        <v>0</v>
      </c>
      <c r="M302" s="6">
        <f t="shared" si="29"/>
        <v>0</v>
      </c>
      <c r="N302" s="7">
        <f t="shared" si="30"/>
        <v>0</v>
      </c>
      <c r="O302" s="35"/>
      <c r="P302" s="36"/>
      <c r="Q302" s="59"/>
      <c r="R302" s="2" t="str">
        <f t="shared" si="31"/>
        <v>27391|0|0|0|0|0|0|</v>
      </c>
      <c r="S302" s="25"/>
    </row>
    <row r="303" spans="1:19" s="34" customFormat="1" ht="12.75" customHeight="1" x14ac:dyDescent="0.2">
      <c r="A303" s="70" t="s">
        <v>1308</v>
      </c>
      <c r="B303" s="61" t="s">
        <v>1309</v>
      </c>
      <c r="C303" s="26">
        <v>0</v>
      </c>
      <c r="D303" s="27">
        <v>0</v>
      </c>
      <c r="E303" s="28">
        <v>0</v>
      </c>
      <c r="F303" s="29">
        <v>0</v>
      </c>
      <c r="G303" s="6">
        <f t="shared" si="32"/>
        <v>0</v>
      </c>
      <c r="H303" s="7">
        <f t="shared" si="32"/>
        <v>0</v>
      </c>
      <c r="I303" s="6">
        <f t="shared" si="27"/>
        <v>0</v>
      </c>
      <c r="J303" s="7">
        <f t="shared" si="28"/>
        <v>0</v>
      </c>
      <c r="K303" s="28">
        <v>0</v>
      </c>
      <c r="L303" s="29">
        <v>0</v>
      </c>
      <c r="M303" s="6">
        <f t="shared" si="29"/>
        <v>0</v>
      </c>
      <c r="N303" s="7">
        <f t="shared" si="30"/>
        <v>0</v>
      </c>
      <c r="O303" s="35"/>
      <c r="P303" s="36"/>
      <c r="Q303" s="59"/>
      <c r="R303" s="2" t="str">
        <f t="shared" si="31"/>
        <v>27392|0|0|0|0|0|0|</v>
      </c>
      <c r="S303" s="25"/>
    </row>
    <row r="304" spans="1:19" s="34" customFormat="1" ht="12.75" customHeight="1" x14ac:dyDescent="0.2">
      <c r="A304" s="70" t="s">
        <v>1310</v>
      </c>
      <c r="B304" s="61" t="s">
        <v>1311</v>
      </c>
      <c r="C304" s="26">
        <v>0</v>
      </c>
      <c r="D304" s="27">
        <v>0</v>
      </c>
      <c r="E304" s="28">
        <v>0</v>
      </c>
      <c r="F304" s="29">
        <v>0</v>
      </c>
      <c r="G304" s="6">
        <f t="shared" si="32"/>
        <v>0</v>
      </c>
      <c r="H304" s="7">
        <f t="shared" si="32"/>
        <v>0</v>
      </c>
      <c r="I304" s="6">
        <f t="shared" si="27"/>
        <v>0</v>
      </c>
      <c r="J304" s="7">
        <f t="shared" si="28"/>
        <v>0</v>
      </c>
      <c r="K304" s="28">
        <v>0</v>
      </c>
      <c r="L304" s="29">
        <v>0</v>
      </c>
      <c r="M304" s="6">
        <f t="shared" si="29"/>
        <v>0</v>
      </c>
      <c r="N304" s="7">
        <f t="shared" si="30"/>
        <v>0</v>
      </c>
      <c r="O304" s="35"/>
      <c r="P304" s="36"/>
      <c r="Q304" s="59"/>
      <c r="R304" s="2" t="str">
        <f t="shared" si="31"/>
        <v>27411|0|0|0|0|0|0|</v>
      </c>
      <c r="S304" s="25"/>
    </row>
    <row r="305" spans="1:19" s="34" customFormat="1" ht="12.75" customHeight="1" x14ac:dyDescent="0.2">
      <c r="A305" s="70" t="s">
        <v>1312</v>
      </c>
      <c r="B305" s="61" t="s">
        <v>1313</v>
      </c>
      <c r="C305" s="26">
        <v>0</v>
      </c>
      <c r="D305" s="27">
        <v>0</v>
      </c>
      <c r="E305" s="28">
        <v>0</v>
      </c>
      <c r="F305" s="29">
        <v>0</v>
      </c>
      <c r="G305" s="6">
        <f t="shared" si="32"/>
        <v>0</v>
      </c>
      <c r="H305" s="7">
        <f t="shared" si="32"/>
        <v>0</v>
      </c>
      <c r="I305" s="6">
        <f t="shared" si="27"/>
        <v>0</v>
      </c>
      <c r="J305" s="7">
        <f t="shared" si="28"/>
        <v>0</v>
      </c>
      <c r="K305" s="28">
        <v>0</v>
      </c>
      <c r="L305" s="29">
        <v>0</v>
      </c>
      <c r="M305" s="6">
        <f t="shared" si="29"/>
        <v>0</v>
      </c>
      <c r="N305" s="7">
        <f t="shared" si="30"/>
        <v>0</v>
      </c>
      <c r="O305" s="35"/>
      <c r="P305" s="36"/>
      <c r="Q305" s="59"/>
      <c r="R305" s="2" t="str">
        <f t="shared" si="31"/>
        <v>27412|0|0|0|0|0|0|</v>
      </c>
      <c r="S305" s="25"/>
    </row>
    <row r="306" spans="1:19" s="34" customFormat="1" ht="12.75" customHeight="1" x14ac:dyDescent="0.2">
      <c r="A306" s="70" t="s">
        <v>1314</v>
      </c>
      <c r="B306" s="61" t="s">
        <v>1315</v>
      </c>
      <c r="C306" s="26">
        <v>0</v>
      </c>
      <c r="D306" s="27">
        <v>0</v>
      </c>
      <c r="E306" s="28">
        <v>0</v>
      </c>
      <c r="F306" s="29">
        <v>0</v>
      </c>
      <c r="G306" s="6">
        <f t="shared" si="32"/>
        <v>0</v>
      </c>
      <c r="H306" s="7">
        <f t="shared" si="32"/>
        <v>0</v>
      </c>
      <c r="I306" s="6">
        <f t="shared" si="27"/>
        <v>0</v>
      </c>
      <c r="J306" s="7">
        <f t="shared" si="28"/>
        <v>0</v>
      </c>
      <c r="K306" s="28">
        <v>0</v>
      </c>
      <c r="L306" s="29">
        <v>0</v>
      </c>
      <c r="M306" s="6">
        <f t="shared" si="29"/>
        <v>0</v>
      </c>
      <c r="N306" s="7">
        <f t="shared" si="30"/>
        <v>0</v>
      </c>
      <c r="O306" s="35"/>
      <c r="P306" s="36"/>
      <c r="Q306" s="59"/>
      <c r="R306" s="2" t="str">
        <f t="shared" si="31"/>
        <v>27413|0|0|0|0|0|0|</v>
      </c>
      <c r="S306" s="25"/>
    </row>
    <row r="307" spans="1:19" s="34" customFormat="1" ht="12.75" customHeight="1" x14ac:dyDescent="0.2">
      <c r="A307" s="70" t="s">
        <v>1316</v>
      </c>
      <c r="B307" s="61" t="s">
        <v>1317</v>
      </c>
      <c r="C307" s="26">
        <v>0</v>
      </c>
      <c r="D307" s="27">
        <v>0</v>
      </c>
      <c r="E307" s="28">
        <v>0</v>
      </c>
      <c r="F307" s="29">
        <v>0</v>
      </c>
      <c r="G307" s="6">
        <f t="shared" si="32"/>
        <v>0</v>
      </c>
      <c r="H307" s="7">
        <f t="shared" si="32"/>
        <v>0</v>
      </c>
      <c r="I307" s="6">
        <f t="shared" si="27"/>
        <v>0</v>
      </c>
      <c r="J307" s="7">
        <f t="shared" si="28"/>
        <v>0</v>
      </c>
      <c r="K307" s="28">
        <v>0</v>
      </c>
      <c r="L307" s="29">
        <v>0</v>
      </c>
      <c r="M307" s="6">
        <f t="shared" si="29"/>
        <v>0</v>
      </c>
      <c r="N307" s="7">
        <f t="shared" si="30"/>
        <v>0</v>
      </c>
      <c r="O307" s="35"/>
      <c r="P307" s="36"/>
      <c r="Q307" s="59"/>
      <c r="R307" s="2" t="str">
        <f t="shared" si="31"/>
        <v>27421|0|0|0|0|0|0|</v>
      </c>
      <c r="S307" s="25"/>
    </row>
    <row r="308" spans="1:19" s="34" customFormat="1" ht="12.75" customHeight="1" x14ac:dyDescent="0.2">
      <c r="A308" s="70" t="s">
        <v>1318</v>
      </c>
      <c r="B308" s="61" t="s">
        <v>1319</v>
      </c>
      <c r="C308" s="26">
        <v>0</v>
      </c>
      <c r="D308" s="27">
        <v>0</v>
      </c>
      <c r="E308" s="28">
        <v>0</v>
      </c>
      <c r="F308" s="29">
        <v>0</v>
      </c>
      <c r="G308" s="6">
        <f t="shared" si="32"/>
        <v>0</v>
      </c>
      <c r="H308" s="7">
        <f t="shared" si="32"/>
        <v>0</v>
      </c>
      <c r="I308" s="6">
        <f t="shared" si="27"/>
        <v>0</v>
      </c>
      <c r="J308" s="7">
        <f t="shared" si="28"/>
        <v>0</v>
      </c>
      <c r="K308" s="28">
        <v>0</v>
      </c>
      <c r="L308" s="29">
        <v>0</v>
      </c>
      <c r="M308" s="6">
        <f t="shared" si="29"/>
        <v>0</v>
      </c>
      <c r="N308" s="7">
        <f t="shared" si="30"/>
        <v>0</v>
      </c>
      <c r="O308" s="35"/>
      <c r="P308" s="36"/>
      <c r="Q308" s="59"/>
      <c r="R308" s="2" t="str">
        <f t="shared" si="31"/>
        <v>27422|0|0|0|0|0|0|</v>
      </c>
      <c r="S308" s="25"/>
    </row>
    <row r="309" spans="1:19" s="34" customFormat="1" ht="12.75" customHeight="1" x14ac:dyDescent="0.2">
      <c r="A309" s="70" t="s">
        <v>1320</v>
      </c>
      <c r="B309" s="61" t="s">
        <v>1321</v>
      </c>
      <c r="C309" s="26">
        <v>0</v>
      </c>
      <c r="D309" s="27">
        <v>0</v>
      </c>
      <c r="E309" s="28">
        <v>0</v>
      </c>
      <c r="F309" s="29">
        <v>0</v>
      </c>
      <c r="G309" s="6">
        <f t="shared" si="32"/>
        <v>0</v>
      </c>
      <c r="H309" s="7">
        <f t="shared" si="32"/>
        <v>0</v>
      </c>
      <c r="I309" s="6">
        <f t="shared" si="27"/>
        <v>0</v>
      </c>
      <c r="J309" s="7">
        <f t="shared" si="28"/>
        <v>0</v>
      </c>
      <c r="K309" s="28">
        <v>0</v>
      </c>
      <c r="L309" s="29">
        <v>0</v>
      </c>
      <c r="M309" s="6">
        <f t="shared" si="29"/>
        <v>0</v>
      </c>
      <c r="N309" s="7">
        <f t="shared" si="30"/>
        <v>0</v>
      </c>
      <c r="O309" s="35"/>
      <c r="P309" s="36"/>
      <c r="Q309" s="59"/>
      <c r="R309" s="2" t="str">
        <f t="shared" si="31"/>
        <v>27423|0|0|0|0|0|0|</v>
      </c>
      <c r="S309" s="25"/>
    </row>
    <row r="310" spans="1:19" s="34" customFormat="1" ht="12.75" customHeight="1" x14ac:dyDescent="0.2">
      <c r="A310" s="70" t="s">
        <v>1322</v>
      </c>
      <c r="B310" s="61" t="s">
        <v>1323</v>
      </c>
      <c r="C310" s="26">
        <v>0</v>
      </c>
      <c r="D310" s="27">
        <v>0</v>
      </c>
      <c r="E310" s="28">
        <v>0</v>
      </c>
      <c r="F310" s="29">
        <v>0</v>
      </c>
      <c r="G310" s="6">
        <f t="shared" si="32"/>
        <v>0</v>
      </c>
      <c r="H310" s="7">
        <f t="shared" si="32"/>
        <v>0</v>
      </c>
      <c r="I310" s="6">
        <f t="shared" si="27"/>
        <v>0</v>
      </c>
      <c r="J310" s="7">
        <f t="shared" si="28"/>
        <v>0</v>
      </c>
      <c r="K310" s="28">
        <v>0</v>
      </c>
      <c r="L310" s="29">
        <v>0</v>
      </c>
      <c r="M310" s="6">
        <f t="shared" si="29"/>
        <v>0</v>
      </c>
      <c r="N310" s="7">
        <f t="shared" si="30"/>
        <v>0</v>
      </c>
      <c r="O310" s="35"/>
      <c r="P310" s="36"/>
      <c r="Q310" s="59"/>
      <c r="R310" s="2" t="str">
        <f t="shared" si="31"/>
        <v>27521|0|0|0|0|0|0|</v>
      </c>
      <c r="S310" s="25"/>
    </row>
    <row r="311" spans="1:19" s="34" customFormat="1" ht="12.75" customHeight="1" x14ac:dyDescent="0.2">
      <c r="A311" s="70" t="s">
        <v>1324</v>
      </c>
      <c r="B311" s="61" t="s">
        <v>1325</v>
      </c>
      <c r="C311" s="26">
        <v>0</v>
      </c>
      <c r="D311" s="27">
        <v>0</v>
      </c>
      <c r="E311" s="28">
        <v>0</v>
      </c>
      <c r="F311" s="29">
        <v>0</v>
      </c>
      <c r="G311" s="6">
        <f t="shared" si="32"/>
        <v>0</v>
      </c>
      <c r="H311" s="7">
        <f t="shared" si="32"/>
        <v>0</v>
      </c>
      <c r="I311" s="6">
        <f t="shared" si="27"/>
        <v>0</v>
      </c>
      <c r="J311" s="7">
        <f t="shared" si="28"/>
        <v>0</v>
      </c>
      <c r="K311" s="28">
        <v>0</v>
      </c>
      <c r="L311" s="29">
        <v>0</v>
      </c>
      <c r="M311" s="6">
        <f t="shared" si="29"/>
        <v>0</v>
      </c>
      <c r="N311" s="7">
        <f t="shared" si="30"/>
        <v>0</v>
      </c>
      <c r="O311" s="35"/>
      <c r="P311" s="36"/>
      <c r="Q311" s="59"/>
      <c r="R311" s="2" t="str">
        <f t="shared" si="31"/>
        <v>27522|0|0|0|0|0|0|</v>
      </c>
      <c r="S311" s="25"/>
    </row>
    <row r="312" spans="1:19" s="34" customFormat="1" ht="12.75" customHeight="1" x14ac:dyDescent="0.2">
      <c r="A312" s="70" t="s">
        <v>1326</v>
      </c>
      <c r="B312" s="61" t="s">
        <v>1327</v>
      </c>
      <c r="C312" s="26">
        <v>0</v>
      </c>
      <c r="D312" s="27">
        <v>0</v>
      </c>
      <c r="E312" s="28">
        <v>0</v>
      </c>
      <c r="F312" s="29">
        <v>0</v>
      </c>
      <c r="G312" s="6">
        <f t="shared" si="32"/>
        <v>0</v>
      </c>
      <c r="H312" s="7">
        <f t="shared" si="32"/>
        <v>0</v>
      </c>
      <c r="I312" s="6">
        <f t="shared" si="27"/>
        <v>0</v>
      </c>
      <c r="J312" s="7">
        <f t="shared" si="28"/>
        <v>0</v>
      </c>
      <c r="K312" s="28">
        <v>0</v>
      </c>
      <c r="L312" s="29">
        <v>0</v>
      </c>
      <c r="M312" s="6">
        <f t="shared" si="29"/>
        <v>0</v>
      </c>
      <c r="N312" s="7">
        <f t="shared" si="30"/>
        <v>0</v>
      </c>
      <c r="O312" s="35"/>
      <c r="P312" s="36"/>
      <c r="Q312" s="59"/>
      <c r="R312" s="2" t="str">
        <f t="shared" si="31"/>
        <v>27523|0|0|0|0|0|0|</v>
      </c>
      <c r="S312" s="25"/>
    </row>
    <row r="313" spans="1:19" s="34" customFormat="1" ht="12.75" customHeight="1" x14ac:dyDescent="0.2">
      <c r="A313" s="70" t="s">
        <v>1328</v>
      </c>
      <c r="B313" s="61" t="s">
        <v>1329</v>
      </c>
      <c r="C313" s="26">
        <v>0</v>
      </c>
      <c r="D313" s="27">
        <v>0</v>
      </c>
      <c r="E313" s="28">
        <v>0</v>
      </c>
      <c r="F313" s="29">
        <v>0</v>
      </c>
      <c r="G313" s="6">
        <f t="shared" si="32"/>
        <v>0</v>
      </c>
      <c r="H313" s="7">
        <f t="shared" si="32"/>
        <v>0</v>
      </c>
      <c r="I313" s="6">
        <f t="shared" si="27"/>
        <v>0</v>
      </c>
      <c r="J313" s="7">
        <f t="shared" si="28"/>
        <v>0</v>
      </c>
      <c r="K313" s="28">
        <v>0</v>
      </c>
      <c r="L313" s="29">
        <v>0</v>
      </c>
      <c r="M313" s="6">
        <f t="shared" si="29"/>
        <v>0</v>
      </c>
      <c r="N313" s="7">
        <f t="shared" si="30"/>
        <v>0</v>
      </c>
      <c r="O313" s="35"/>
      <c r="P313" s="36"/>
      <c r="Q313" s="59"/>
      <c r="R313" s="2" t="str">
        <f t="shared" si="31"/>
        <v>27621|0|0|0|0|0|0|</v>
      </c>
      <c r="S313" s="25"/>
    </row>
    <row r="314" spans="1:19" s="34" customFormat="1" ht="12.75" customHeight="1" x14ac:dyDescent="0.2">
      <c r="A314" s="70" t="s">
        <v>1330</v>
      </c>
      <c r="B314" s="61" t="s">
        <v>1331</v>
      </c>
      <c r="C314" s="26">
        <v>0</v>
      </c>
      <c r="D314" s="27">
        <v>0</v>
      </c>
      <c r="E314" s="28">
        <v>0</v>
      </c>
      <c r="F314" s="29">
        <v>0</v>
      </c>
      <c r="G314" s="6">
        <f t="shared" si="32"/>
        <v>0</v>
      </c>
      <c r="H314" s="7">
        <f t="shared" si="32"/>
        <v>0</v>
      </c>
      <c r="I314" s="6">
        <f t="shared" si="27"/>
        <v>0</v>
      </c>
      <c r="J314" s="7">
        <f t="shared" si="28"/>
        <v>0</v>
      </c>
      <c r="K314" s="28">
        <v>0</v>
      </c>
      <c r="L314" s="29">
        <v>0</v>
      </c>
      <c r="M314" s="6">
        <f t="shared" si="29"/>
        <v>0</v>
      </c>
      <c r="N314" s="7">
        <f t="shared" si="30"/>
        <v>0</v>
      </c>
      <c r="O314" s="35"/>
      <c r="P314" s="36"/>
      <c r="Q314" s="59"/>
      <c r="R314" s="2" t="str">
        <f t="shared" si="31"/>
        <v>27622|0|0|0|0|0|0|</v>
      </c>
      <c r="S314" s="25"/>
    </row>
    <row r="315" spans="1:19" s="34" customFormat="1" ht="12.75" customHeight="1" x14ac:dyDescent="0.2">
      <c r="A315" s="70" t="s">
        <v>1332</v>
      </c>
      <c r="B315" s="61" t="s">
        <v>1333</v>
      </c>
      <c r="C315" s="26">
        <v>0</v>
      </c>
      <c r="D315" s="27">
        <v>0</v>
      </c>
      <c r="E315" s="28">
        <v>0</v>
      </c>
      <c r="F315" s="29">
        <v>0</v>
      </c>
      <c r="G315" s="6">
        <f t="shared" si="32"/>
        <v>0</v>
      </c>
      <c r="H315" s="7">
        <f t="shared" si="32"/>
        <v>0</v>
      </c>
      <c r="I315" s="6">
        <f t="shared" si="27"/>
        <v>0</v>
      </c>
      <c r="J315" s="7">
        <f t="shared" si="28"/>
        <v>0</v>
      </c>
      <c r="K315" s="28">
        <v>0</v>
      </c>
      <c r="L315" s="29">
        <v>0</v>
      </c>
      <c r="M315" s="6">
        <f t="shared" si="29"/>
        <v>0</v>
      </c>
      <c r="N315" s="7">
        <f t="shared" si="30"/>
        <v>0</v>
      </c>
      <c r="O315" s="35"/>
      <c r="P315" s="36"/>
      <c r="Q315" s="59"/>
      <c r="R315" s="2" t="str">
        <f t="shared" si="31"/>
        <v>27623|0|0|0|0|0|0|</v>
      </c>
      <c r="S315" s="25"/>
    </row>
    <row r="316" spans="1:19" s="34" customFormat="1" ht="12.75" customHeight="1" x14ac:dyDescent="0.2">
      <c r="A316" s="70" t="s">
        <v>1334</v>
      </c>
      <c r="B316" s="61" t="s">
        <v>1335</v>
      </c>
      <c r="C316" s="26">
        <v>0</v>
      </c>
      <c r="D316" s="27">
        <v>0</v>
      </c>
      <c r="E316" s="28">
        <v>0</v>
      </c>
      <c r="F316" s="29">
        <v>0</v>
      </c>
      <c r="G316" s="6">
        <f t="shared" si="32"/>
        <v>0</v>
      </c>
      <c r="H316" s="7">
        <f t="shared" si="32"/>
        <v>0</v>
      </c>
      <c r="I316" s="6">
        <f t="shared" si="27"/>
        <v>0</v>
      </c>
      <c r="J316" s="7">
        <f t="shared" si="28"/>
        <v>0</v>
      </c>
      <c r="K316" s="28">
        <v>0</v>
      </c>
      <c r="L316" s="29">
        <v>0</v>
      </c>
      <c r="M316" s="6">
        <f t="shared" si="29"/>
        <v>0</v>
      </c>
      <c r="N316" s="7">
        <f t="shared" si="30"/>
        <v>0</v>
      </c>
      <c r="O316" s="35"/>
      <c r="P316" s="36"/>
      <c r="Q316" s="59"/>
      <c r="R316" s="2" t="str">
        <f t="shared" si="31"/>
        <v>27631|0|0|0|0|0|0|</v>
      </c>
      <c r="S316" s="25"/>
    </row>
    <row r="317" spans="1:19" s="34" customFormat="1" ht="12.75" customHeight="1" x14ac:dyDescent="0.2">
      <c r="A317" s="70" t="s">
        <v>1336</v>
      </c>
      <c r="B317" s="61" t="s">
        <v>1337</v>
      </c>
      <c r="C317" s="26">
        <v>0</v>
      </c>
      <c r="D317" s="27">
        <v>0</v>
      </c>
      <c r="E317" s="28">
        <v>0</v>
      </c>
      <c r="F317" s="29">
        <v>0</v>
      </c>
      <c r="G317" s="6">
        <f t="shared" si="32"/>
        <v>0</v>
      </c>
      <c r="H317" s="7">
        <f t="shared" si="32"/>
        <v>0</v>
      </c>
      <c r="I317" s="6">
        <f t="shared" si="27"/>
        <v>0</v>
      </c>
      <c r="J317" s="7">
        <f t="shared" si="28"/>
        <v>0</v>
      </c>
      <c r="K317" s="28">
        <v>0</v>
      </c>
      <c r="L317" s="29">
        <v>0</v>
      </c>
      <c r="M317" s="6">
        <f t="shared" si="29"/>
        <v>0</v>
      </c>
      <c r="N317" s="7">
        <f t="shared" si="30"/>
        <v>0</v>
      </c>
      <c r="O317" s="35"/>
      <c r="P317" s="36"/>
      <c r="Q317" s="59"/>
      <c r="R317" s="2" t="str">
        <f t="shared" si="31"/>
        <v>27632|0|0|0|0|0|0|</v>
      </c>
      <c r="S317" s="25"/>
    </row>
    <row r="318" spans="1:19" s="34" customFormat="1" ht="12.75" customHeight="1" x14ac:dyDescent="0.2">
      <c r="A318" s="70" t="s">
        <v>1338</v>
      </c>
      <c r="B318" s="61" t="s">
        <v>1339</v>
      </c>
      <c r="C318" s="26">
        <v>0</v>
      </c>
      <c r="D318" s="27">
        <v>0</v>
      </c>
      <c r="E318" s="28">
        <v>0</v>
      </c>
      <c r="F318" s="29">
        <v>0</v>
      </c>
      <c r="G318" s="6">
        <f t="shared" si="32"/>
        <v>0</v>
      </c>
      <c r="H318" s="7">
        <f t="shared" si="32"/>
        <v>0</v>
      </c>
      <c r="I318" s="6">
        <f t="shared" si="27"/>
        <v>0</v>
      </c>
      <c r="J318" s="7">
        <f t="shared" si="28"/>
        <v>0</v>
      </c>
      <c r="K318" s="28">
        <v>0</v>
      </c>
      <c r="L318" s="29">
        <v>0</v>
      </c>
      <c r="M318" s="6">
        <f t="shared" si="29"/>
        <v>0</v>
      </c>
      <c r="N318" s="7">
        <f t="shared" si="30"/>
        <v>0</v>
      </c>
      <c r="O318" s="35"/>
      <c r="P318" s="36"/>
      <c r="Q318" s="59"/>
      <c r="R318" s="2" t="str">
        <f t="shared" si="31"/>
        <v>27633|0|0|0|0|0|0|</v>
      </c>
      <c r="S318" s="25"/>
    </row>
    <row r="319" spans="1:19" s="34" customFormat="1" ht="12.75" customHeight="1" x14ac:dyDescent="0.2">
      <c r="A319" s="70" t="s">
        <v>1340</v>
      </c>
      <c r="B319" s="61" t="s">
        <v>1341</v>
      </c>
      <c r="C319" s="26">
        <v>0</v>
      </c>
      <c r="D319" s="27">
        <v>0</v>
      </c>
      <c r="E319" s="28">
        <v>0</v>
      </c>
      <c r="F319" s="29">
        <v>0</v>
      </c>
      <c r="G319" s="6">
        <f t="shared" si="32"/>
        <v>0</v>
      </c>
      <c r="H319" s="7">
        <f t="shared" si="32"/>
        <v>0</v>
      </c>
      <c r="I319" s="6">
        <f t="shared" si="27"/>
        <v>0</v>
      </c>
      <c r="J319" s="7">
        <f t="shared" si="28"/>
        <v>0</v>
      </c>
      <c r="K319" s="28">
        <v>0</v>
      </c>
      <c r="L319" s="29">
        <v>0</v>
      </c>
      <c r="M319" s="6">
        <f t="shared" si="29"/>
        <v>0</v>
      </c>
      <c r="N319" s="7">
        <f t="shared" si="30"/>
        <v>0</v>
      </c>
      <c r="O319" s="35"/>
      <c r="P319" s="36"/>
      <c r="Q319" s="59"/>
      <c r="R319" s="2" t="str">
        <f t="shared" si="31"/>
        <v>27641|0|0|0|0|0|0|</v>
      </c>
      <c r="S319" s="25"/>
    </row>
    <row r="320" spans="1:19" s="34" customFormat="1" ht="12.75" customHeight="1" x14ac:dyDescent="0.2">
      <c r="A320" s="70" t="s">
        <v>1342</v>
      </c>
      <c r="B320" s="61" t="s">
        <v>1343</v>
      </c>
      <c r="C320" s="26">
        <v>0</v>
      </c>
      <c r="D320" s="27">
        <v>0</v>
      </c>
      <c r="E320" s="28">
        <v>0</v>
      </c>
      <c r="F320" s="29">
        <v>0</v>
      </c>
      <c r="G320" s="6">
        <f t="shared" si="32"/>
        <v>0</v>
      </c>
      <c r="H320" s="7">
        <f t="shared" si="32"/>
        <v>0</v>
      </c>
      <c r="I320" s="6">
        <f t="shared" si="27"/>
        <v>0</v>
      </c>
      <c r="J320" s="7">
        <f t="shared" si="28"/>
        <v>0</v>
      </c>
      <c r="K320" s="28">
        <v>0</v>
      </c>
      <c r="L320" s="29">
        <v>0</v>
      </c>
      <c r="M320" s="6">
        <f t="shared" si="29"/>
        <v>0</v>
      </c>
      <c r="N320" s="7">
        <f t="shared" si="30"/>
        <v>0</v>
      </c>
      <c r="O320" s="35"/>
      <c r="P320" s="36"/>
      <c r="Q320" s="59"/>
      <c r="R320" s="2" t="str">
        <f t="shared" si="31"/>
        <v>27642|0|0|0|0|0|0|</v>
      </c>
      <c r="S320" s="25"/>
    </row>
    <row r="321" spans="1:19" s="34" customFormat="1" ht="12.75" customHeight="1" x14ac:dyDescent="0.2">
      <c r="A321" s="70" t="s">
        <v>1344</v>
      </c>
      <c r="B321" s="61" t="s">
        <v>1345</v>
      </c>
      <c r="C321" s="26">
        <v>0</v>
      </c>
      <c r="D321" s="27">
        <v>0</v>
      </c>
      <c r="E321" s="28">
        <v>0</v>
      </c>
      <c r="F321" s="29">
        <v>0</v>
      </c>
      <c r="G321" s="6">
        <f t="shared" si="32"/>
        <v>0</v>
      </c>
      <c r="H321" s="7">
        <f t="shared" si="32"/>
        <v>0</v>
      </c>
      <c r="I321" s="6">
        <f t="shared" si="27"/>
        <v>0</v>
      </c>
      <c r="J321" s="7">
        <f t="shared" si="28"/>
        <v>0</v>
      </c>
      <c r="K321" s="28">
        <v>0</v>
      </c>
      <c r="L321" s="29">
        <v>0</v>
      </c>
      <c r="M321" s="6">
        <f t="shared" si="29"/>
        <v>0</v>
      </c>
      <c r="N321" s="7">
        <f t="shared" si="30"/>
        <v>0</v>
      </c>
      <c r="O321" s="35"/>
      <c r="P321" s="36"/>
      <c r="Q321" s="59"/>
      <c r="R321" s="2" t="str">
        <f t="shared" si="31"/>
        <v>27651|0|0|0|0|0|0|</v>
      </c>
      <c r="S321" s="25"/>
    </row>
    <row r="322" spans="1:19" s="34" customFormat="1" ht="12.75" customHeight="1" x14ac:dyDescent="0.2">
      <c r="A322" s="70" t="s">
        <v>1346</v>
      </c>
      <c r="B322" s="61" t="s">
        <v>1347</v>
      </c>
      <c r="C322" s="26">
        <v>0</v>
      </c>
      <c r="D322" s="27">
        <v>0</v>
      </c>
      <c r="E322" s="28">
        <v>0</v>
      </c>
      <c r="F322" s="29">
        <v>0</v>
      </c>
      <c r="G322" s="6">
        <f t="shared" si="32"/>
        <v>0</v>
      </c>
      <c r="H322" s="7">
        <f t="shared" si="32"/>
        <v>0</v>
      </c>
      <c r="I322" s="6">
        <f t="shared" si="27"/>
        <v>0</v>
      </c>
      <c r="J322" s="7">
        <f t="shared" si="28"/>
        <v>0</v>
      </c>
      <c r="K322" s="28">
        <v>0</v>
      </c>
      <c r="L322" s="29">
        <v>0</v>
      </c>
      <c r="M322" s="6">
        <f t="shared" si="29"/>
        <v>0</v>
      </c>
      <c r="N322" s="7">
        <f t="shared" si="30"/>
        <v>0</v>
      </c>
      <c r="O322" s="35"/>
      <c r="P322" s="36"/>
      <c r="Q322" s="59"/>
      <c r="R322" s="2" t="str">
        <f t="shared" si="31"/>
        <v>27652|0|0|0|0|0|0|</v>
      </c>
      <c r="S322" s="25"/>
    </row>
    <row r="323" spans="1:19" s="34" customFormat="1" ht="12.75" customHeight="1" x14ac:dyDescent="0.2">
      <c r="A323" s="70" t="s">
        <v>1348</v>
      </c>
      <c r="B323" s="61" t="s">
        <v>1349</v>
      </c>
      <c r="C323" s="26">
        <v>0</v>
      </c>
      <c r="D323" s="27">
        <v>0</v>
      </c>
      <c r="E323" s="28">
        <v>0</v>
      </c>
      <c r="F323" s="29">
        <v>0</v>
      </c>
      <c r="G323" s="6">
        <f t="shared" si="32"/>
        <v>0</v>
      </c>
      <c r="H323" s="7">
        <f t="shared" si="32"/>
        <v>0</v>
      </c>
      <c r="I323" s="6">
        <f t="shared" si="27"/>
        <v>0</v>
      </c>
      <c r="J323" s="7">
        <f t="shared" si="28"/>
        <v>0</v>
      </c>
      <c r="K323" s="28">
        <v>0</v>
      </c>
      <c r="L323" s="29">
        <v>0</v>
      </c>
      <c r="M323" s="6">
        <f t="shared" si="29"/>
        <v>0</v>
      </c>
      <c r="N323" s="7">
        <f t="shared" si="30"/>
        <v>0</v>
      </c>
      <c r="O323" s="35"/>
      <c r="P323" s="36"/>
      <c r="Q323" s="59"/>
      <c r="R323" s="2" t="str">
        <f t="shared" si="31"/>
        <v>27661|0|0|0|0|0|0|</v>
      </c>
      <c r="S323" s="25"/>
    </row>
    <row r="324" spans="1:19" s="34" customFormat="1" ht="12.75" customHeight="1" x14ac:dyDescent="0.2">
      <c r="A324" s="70" t="s">
        <v>1350</v>
      </c>
      <c r="B324" s="61" t="s">
        <v>1351</v>
      </c>
      <c r="C324" s="26">
        <v>0</v>
      </c>
      <c r="D324" s="27">
        <v>0</v>
      </c>
      <c r="E324" s="28">
        <v>0</v>
      </c>
      <c r="F324" s="29">
        <v>0</v>
      </c>
      <c r="G324" s="6">
        <f t="shared" si="32"/>
        <v>0</v>
      </c>
      <c r="H324" s="7">
        <f t="shared" si="32"/>
        <v>0</v>
      </c>
      <c r="I324" s="6">
        <f t="shared" si="27"/>
        <v>0</v>
      </c>
      <c r="J324" s="7">
        <f t="shared" si="28"/>
        <v>0</v>
      </c>
      <c r="K324" s="28">
        <v>0</v>
      </c>
      <c r="L324" s="29">
        <v>0</v>
      </c>
      <c r="M324" s="6">
        <f t="shared" si="29"/>
        <v>0</v>
      </c>
      <c r="N324" s="7">
        <f t="shared" si="30"/>
        <v>0</v>
      </c>
      <c r="O324" s="35"/>
      <c r="P324" s="36"/>
      <c r="Q324" s="59"/>
      <c r="R324" s="2" t="str">
        <f t="shared" si="31"/>
        <v>27662|0|0|0|0|0|0|</v>
      </c>
      <c r="S324" s="25"/>
    </row>
    <row r="325" spans="1:19" s="34" customFormat="1" ht="12.75" customHeight="1" x14ac:dyDescent="0.2">
      <c r="A325" s="70" t="s">
        <v>1352</v>
      </c>
      <c r="B325" s="61" t="s">
        <v>1353</v>
      </c>
      <c r="C325" s="26">
        <v>0</v>
      </c>
      <c r="D325" s="27">
        <v>0</v>
      </c>
      <c r="E325" s="28">
        <v>0</v>
      </c>
      <c r="F325" s="29">
        <v>0</v>
      </c>
      <c r="G325" s="6">
        <f t="shared" si="32"/>
        <v>0</v>
      </c>
      <c r="H325" s="7">
        <f t="shared" si="32"/>
        <v>0</v>
      </c>
      <c r="I325" s="6">
        <f t="shared" ref="I325:I388" si="33">IF($G325-$H325&gt;=0,$G325-$H325,0)</f>
        <v>0</v>
      </c>
      <c r="J325" s="7">
        <f t="shared" ref="J325:J388" si="34">IF($G325-$H325&lt;0,-$G325+$H325,0)</f>
        <v>0</v>
      </c>
      <c r="K325" s="28">
        <v>0</v>
      </c>
      <c r="L325" s="29">
        <v>0</v>
      </c>
      <c r="M325" s="6">
        <f t="shared" ref="M325:M388" si="35">IF($I325-$J325+$K325-$L325&gt;=0,$I325-$J325+$K325-$L325,0)</f>
        <v>0</v>
      </c>
      <c r="N325" s="7">
        <f t="shared" ref="N325:N388" si="36">IF($I325-$J325+$K325-$L325&lt;0,-($I325-$J325+$K325-$L325),0)</f>
        <v>0</v>
      </c>
      <c r="O325" s="35"/>
      <c r="P325" s="36"/>
      <c r="Q325" s="59"/>
      <c r="R325" s="2" t="str">
        <f t="shared" ref="R325:R388" si="37">CONCATENATE(A325,"|",C325,"|",D325,"|",E325,"|",F325,"|",K325,"|",L325,"|")</f>
        <v>27671|0|0|0|0|0|0|</v>
      </c>
      <c r="S325" s="25"/>
    </row>
    <row r="326" spans="1:19" s="34" customFormat="1" ht="12.75" customHeight="1" x14ac:dyDescent="0.2">
      <c r="A326" s="70" t="s">
        <v>1354</v>
      </c>
      <c r="B326" s="61" t="s">
        <v>1355</v>
      </c>
      <c r="C326" s="26">
        <v>0</v>
      </c>
      <c r="D326" s="27">
        <v>0</v>
      </c>
      <c r="E326" s="28">
        <v>0</v>
      </c>
      <c r="F326" s="29">
        <v>0</v>
      </c>
      <c r="G326" s="6">
        <f t="shared" si="32"/>
        <v>0</v>
      </c>
      <c r="H326" s="7">
        <f t="shared" si="32"/>
        <v>0</v>
      </c>
      <c r="I326" s="6">
        <f t="shared" si="33"/>
        <v>0</v>
      </c>
      <c r="J326" s="7">
        <f t="shared" si="34"/>
        <v>0</v>
      </c>
      <c r="K326" s="28">
        <v>0</v>
      </c>
      <c r="L326" s="29">
        <v>0</v>
      </c>
      <c r="M326" s="6">
        <f t="shared" si="35"/>
        <v>0</v>
      </c>
      <c r="N326" s="7">
        <f t="shared" si="36"/>
        <v>0</v>
      </c>
      <c r="O326" s="35"/>
      <c r="P326" s="36"/>
      <c r="Q326" s="59"/>
      <c r="R326" s="2" t="str">
        <f t="shared" si="37"/>
        <v>27672|0|0|0|0|0|0|</v>
      </c>
      <c r="S326" s="25"/>
    </row>
    <row r="327" spans="1:19" s="34" customFormat="1" ht="12.75" customHeight="1" x14ac:dyDescent="0.2">
      <c r="A327" s="70" t="s">
        <v>1356</v>
      </c>
      <c r="B327" s="61" t="s">
        <v>1357</v>
      </c>
      <c r="C327" s="26">
        <v>0</v>
      </c>
      <c r="D327" s="27">
        <v>0</v>
      </c>
      <c r="E327" s="28">
        <v>0</v>
      </c>
      <c r="F327" s="29">
        <v>0</v>
      </c>
      <c r="G327" s="6">
        <f t="shared" si="32"/>
        <v>0</v>
      </c>
      <c r="H327" s="7">
        <f t="shared" si="32"/>
        <v>0</v>
      </c>
      <c r="I327" s="6">
        <f t="shared" si="33"/>
        <v>0</v>
      </c>
      <c r="J327" s="7">
        <f t="shared" si="34"/>
        <v>0</v>
      </c>
      <c r="K327" s="28">
        <v>0</v>
      </c>
      <c r="L327" s="29">
        <v>0</v>
      </c>
      <c r="M327" s="6">
        <f t="shared" si="35"/>
        <v>0</v>
      </c>
      <c r="N327" s="7">
        <f t="shared" si="36"/>
        <v>0</v>
      </c>
      <c r="O327" s="35"/>
      <c r="P327" s="36"/>
      <c r="Q327" s="59"/>
      <c r="R327" s="2" t="str">
        <f t="shared" si="37"/>
        <v>27711|0|0|0|0|0|0|</v>
      </c>
      <c r="S327" s="25"/>
    </row>
    <row r="328" spans="1:19" s="34" customFormat="1" ht="12.75" customHeight="1" x14ac:dyDescent="0.2">
      <c r="A328" s="70" t="s">
        <v>1358</v>
      </c>
      <c r="B328" s="61" t="s">
        <v>1359</v>
      </c>
      <c r="C328" s="26">
        <v>0</v>
      </c>
      <c r="D328" s="27">
        <v>0</v>
      </c>
      <c r="E328" s="28">
        <v>0</v>
      </c>
      <c r="F328" s="29">
        <v>0</v>
      </c>
      <c r="G328" s="6">
        <f t="shared" si="32"/>
        <v>0</v>
      </c>
      <c r="H328" s="7">
        <f t="shared" si="32"/>
        <v>0</v>
      </c>
      <c r="I328" s="6">
        <f t="shared" si="33"/>
        <v>0</v>
      </c>
      <c r="J328" s="7">
        <f t="shared" si="34"/>
        <v>0</v>
      </c>
      <c r="K328" s="28">
        <v>0</v>
      </c>
      <c r="L328" s="29">
        <v>0</v>
      </c>
      <c r="M328" s="6">
        <f t="shared" si="35"/>
        <v>0</v>
      </c>
      <c r="N328" s="7">
        <f t="shared" si="36"/>
        <v>0</v>
      </c>
      <c r="O328" s="35"/>
      <c r="P328" s="36"/>
      <c r="Q328" s="59"/>
      <c r="R328" s="2" t="str">
        <f t="shared" si="37"/>
        <v>27712|0|0|0|0|0|0|</v>
      </c>
      <c r="S328" s="25"/>
    </row>
    <row r="329" spans="1:19" s="34" customFormat="1" ht="12.75" customHeight="1" x14ac:dyDescent="0.2">
      <c r="A329" s="70" t="s">
        <v>1360</v>
      </c>
      <c r="B329" s="61" t="s">
        <v>1361</v>
      </c>
      <c r="C329" s="26">
        <v>0</v>
      </c>
      <c r="D329" s="27">
        <v>0</v>
      </c>
      <c r="E329" s="28">
        <v>0</v>
      </c>
      <c r="F329" s="29">
        <v>0</v>
      </c>
      <c r="G329" s="6">
        <f t="shared" si="32"/>
        <v>0</v>
      </c>
      <c r="H329" s="7">
        <f t="shared" si="32"/>
        <v>0</v>
      </c>
      <c r="I329" s="6">
        <f t="shared" si="33"/>
        <v>0</v>
      </c>
      <c r="J329" s="7">
        <f t="shared" si="34"/>
        <v>0</v>
      </c>
      <c r="K329" s="28">
        <v>0</v>
      </c>
      <c r="L329" s="29">
        <v>0</v>
      </c>
      <c r="M329" s="6">
        <f t="shared" si="35"/>
        <v>0</v>
      </c>
      <c r="N329" s="7">
        <f t="shared" si="36"/>
        <v>0</v>
      </c>
      <c r="O329" s="35"/>
      <c r="P329" s="36"/>
      <c r="Q329" s="59"/>
      <c r="R329" s="2" t="str">
        <f t="shared" si="37"/>
        <v>27721|0|0|0|0|0|0|</v>
      </c>
      <c r="S329" s="25"/>
    </row>
    <row r="330" spans="1:19" s="34" customFormat="1" ht="12.75" customHeight="1" x14ac:dyDescent="0.2">
      <c r="A330" s="70" t="s">
        <v>1362</v>
      </c>
      <c r="B330" s="61" t="s">
        <v>1363</v>
      </c>
      <c r="C330" s="26">
        <v>0</v>
      </c>
      <c r="D330" s="27">
        <v>0</v>
      </c>
      <c r="E330" s="28">
        <v>0</v>
      </c>
      <c r="F330" s="29">
        <v>0</v>
      </c>
      <c r="G330" s="6">
        <f t="shared" si="32"/>
        <v>0</v>
      </c>
      <c r="H330" s="7">
        <f t="shared" si="32"/>
        <v>0</v>
      </c>
      <c r="I330" s="6">
        <f t="shared" si="33"/>
        <v>0</v>
      </c>
      <c r="J330" s="7">
        <f t="shared" si="34"/>
        <v>0</v>
      </c>
      <c r="K330" s="28">
        <v>0</v>
      </c>
      <c r="L330" s="29">
        <v>0</v>
      </c>
      <c r="M330" s="6">
        <f t="shared" si="35"/>
        <v>0</v>
      </c>
      <c r="N330" s="7">
        <f t="shared" si="36"/>
        <v>0</v>
      </c>
      <c r="O330" s="35"/>
      <c r="P330" s="36"/>
      <c r="Q330" s="59"/>
      <c r="R330" s="2" t="str">
        <f t="shared" si="37"/>
        <v>27722|0|0|0|0|0|0|</v>
      </c>
      <c r="S330" s="25"/>
    </row>
    <row r="331" spans="1:19" s="34" customFormat="1" ht="12.75" customHeight="1" x14ac:dyDescent="0.2">
      <c r="A331" s="70" t="s">
        <v>1364</v>
      </c>
      <c r="B331" s="61" t="s">
        <v>1365</v>
      </c>
      <c r="C331" s="26">
        <v>0</v>
      </c>
      <c r="D331" s="27">
        <v>0</v>
      </c>
      <c r="E331" s="28">
        <v>0</v>
      </c>
      <c r="F331" s="29">
        <v>0</v>
      </c>
      <c r="G331" s="6">
        <f t="shared" si="32"/>
        <v>0</v>
      </c>
      <c r="H331" s="7">
        <f t="shared" si="32"/>
        <v>0</v>
      </c>
      <c r="I331" s="6">
        <f t="shared" si="33"/>
        <v>0</v>
      </c>
      <c r="J331" s="7">
        <f t="shared" si="34"/>
        <v>0</v>
      </c>
      <c r="K331" s="28">
        <v>0</v>
      </c>
      <c r="L331" s="29">
        <v>0</v>
      </c>
      <c r="M331" s="6">
        <f t="shared" si="35"/>
        <v>0</v>
      </c>
      <c r="N331" s="7">
        <f t="shared" si="36"/>
        <v>0</v>
      </c>
      <c r="O331" s="35"/>
      <c r="P331" s="36"/>
      <c r="Q331" s="59"/>
      <c r="R331" s="2" t="str">
        <f t="shared" si="37"/>
        <v>27731|0|0|0|0|0|0|</v>
      </c>
      <c r="S331" s="25"/>
    </row>
    <row r="332" spans="1:19" s="34" customFormat="1" ht="12.75" customHeight="1" x14ac:dyDescent="0.2">
      <c r="A332" s="70" t="s">
        <v>1366</v>
      </c>
      <c r="B332" s="61" t="s">
        <v>1367</v>
      </c>
      <c r="C332" s="26">
        <v>0</v>
      </c>
      <c r="D332" s="27">
        <v>0</v>
      </c>
      <c r="E332" s="28">
        <v>0</v>
      </c>
      <c r="F332" s="29">
        <v>0</v>
      </c>
      <c r="G332" s="6">
        <f t="shared" si="32"/>
        <v>0</v>
      </c>
      <c r="H332" s="7">
        <f t="shared" si="32"/>
        <v>0</v>
      </c>
      <c r="I332" s="6">
        <f t="shared" si="33"/>
        <v>0</v>
      </c>
      <c r="J332" s="7">
        <f t="shared" si="34"/>
        <v>0</v>
      </c>
      <c r="K332" s="28">
        <v>0</v>
      </c>
      <c r="L332" s="29">
        <v>0</v>
      </c>
      <c r="M332" s="6">
        <f t="shared" si="35"/>
        <v>0</v>
      </c>
      <c r="N332" s="7">
        <f t="shared" si="36"/>
        <v>0</v>
      </c>
      <c r="O332" s="35"/>
      <c r="P332" s="36"/>
      <c r="Q332" s="59"/>
      <c r="R332" s="2" t="str">
        <f t="shared" si="37"/>
        <v>27732|0|0|0|0|0|0|</v>
      </c>
      <c r="S332" s="25"/>
    </row>
    <row r="333" spans="1:19" s="34" customFormat="1" ht="12.75" customHeight="1" x14ac:dyDescent="0.2">
      <c r="A333" s="70" t="s">
        <v>1368</v>
      </c>
      <c r="B333" s="61" t="s">
        <v>1369</v>
      </c>
      <c r="C333" s="26">
        <v>0</v>
      </c>
      <c r="D333" s="27">
        <v>0</v>
      </c>
      <c r="E333" s="28">
        <v>0</v>
      </c>
      <c r="F333" s="29">
        <v>0</v>
      </c>
      <c r="G333" s="6">
        <f t="shared" si="32"/>
        <v>0</v>
      </c>
      <c r="H333" s="7">
        <f t="shared" si="32"/>
        <v>0</v>
      </c>
      <c r="I333" s="6">
        <f t="shared" si="33"/>
        <v>0</v>
      </c>
      <c r="J333" s="7">
        <f t="shared" si="34"/>
        <v>0</v>
      </c>
      <c r="K333" s="28">
        <v>0</v>
      </c>
      <c r="L333" s="29">
        <v>0</v>
      </c>
      <c r="M333" s="6">
        <f t="shared" si="35"/>
        <v>0</v>
      </c>
      <c r="N333" s="7">
        <f t="shared" si="36"/>
        <v>0</v>
      </c>
      <c r="O333" s="35"/>
      <c r="P333" s="36"/>
      <c r="Q333" s="59"/>
      <c r="R333" s="2" t="str">
        <f t="shared" si="37"/>
        <v>27741|0|0|0|0|0|0|</v>
      </c>
      <c r="S333" s="25"/>
    </row>
    <row r="334" spans="1:19" s="34" customFormat="1" ht="12.75" customHeight="1" x14ac:dyDescent="0.2">
      <c r="A334" s="70" t="s">
        <v>1370</v>
      </c>
      <c r="B334" s="61" t="s">
        <v>1371</v>
      </c>
      <c r="C334" s="26">
        <v>0</v>
      </c>
      <c r="D334" s="27">
        <v>0</v>
      </c>
      <c r="E334" s="28">
        <v>0</v>
      </c>
      <c r="F334" s="29">
        <v>0</v>
      </c>
      <c r="G334" s="6">
        <f t="shared" si="32"/>
        <v>0</v>
      </c>
      <c r="H334" s="7">
        <f t="shared" si="32"/>
        <v>0</v>
      </c>
      <c r="I334" s="6">
        <f t="shared" si="33"/>
        <v>0</v>
      </c>
      <c r="J334" s="7">
        <f t="shared" si="34"/>
        <v>0</v>
      </c>
      <c r="K334" s="28">
        <v>0</v>
      </c>
      <c r="L334" s="29">
        <v>0</v>
      </c>
      <c r="M334" s="6">
        <f t="shared" si="35"/>
        <v>0</v>
      </c>
      <c r="N334" s="7">
        <f t="shared" si="36"/>
        <v>0</v>
      </c>
      <c r="O334" s="35"/>
      <c r="P334" s="36"/>
      <c r="Q334" s="59"/>
      <c r="R334" s="2" t="str">
        <f t="shared" si="37"/>
        <v>27742|0|0|0|0|0|0|</v>
      </c>
      <c r="S334" s="25"/>
    </row>
    <row r="335" spans="1:19" s="34" customFormat="1" ht="12.75" customHeight="1" x14ac:dyDescent="0.2">
      <c r="A335" s="70" t="s">
        <v>1372</v>
      </c>
      <c r="B335" s="61" t="s">
        <v>1373</v>
      </c>
      <c r="C335" s="26">
        <v>0</v>
      </c>
      <c r="D335" s="27">
        <v>0</v>
      </c>
      <c r="E335" s="28">
        <v>0</v>
      </c>
      <c r="F335" s="29">
        <v>0</v>
      </c>
      <c r="G335" s="6">
        <f t="shared" si="32"/>
        <v>0</v>
      </c>
      <c r="H335" s="7">
        <f t="shared" si="32"/>
        <v>0</v>
      </c>
      <c r="I335" s="6">
        <f t="shared" si="33"/>
        <v>0</v>
      </c>
      <c r="J335" s="7">
        <f t="shared" si="34"/>
        <v>0</v>
      </c>
      <c r="K335" s="28">
        <v>0</v>
      </c>
      <c r="L335" s="29">
        <v>0</v>
      </c>
      <c r="M335" s="6">
        <f t="shared" si="35"/>
        <v>0</v>
      </c>
      <c r="N335" s="7">
        <f t="shared" si="36"/>
        <v>0</v>
      </c>
      <c r="O335" s="35"/>
      <c r="P335" s="36"/>
      <c r="Q335" s="59"/>
      <c r="R335" s="2" t="str">
        <f t="shared" si="37"/>
        <v>27751|0|0|0|0|0|0|</v>
      </c>
      <c r="S335" s="25"/>
    </row>
    <row r="336" spans="1:19" s="34" customFormat="1" ht="12.75" customHeight="1" x14ac:dyDescent="0.2">
      <c r="A336" s="70" t="s">
        <v>1374</v>
      </c>
      <c r="B336" s="61" t="s">
        <v>1375</v>
      </c>
      <c r="C336" s="26">
        <v>0</v>
      </c>
      <c r="D336" s="27">
        <v>0</v>
      </c>
      <c r="E336" s="28">
        <v>0</v>
      </c>
      <c r="F336" s="29">
        <v>0</v>
      </c>
      <c r="G336" s="6">
        <f t="shared" si="32"/>
        <v>0</v>
      </c>
      <c r="H336" s="7">
        <f t="shared" si="32"/>
        <v>0</v>
      </c>
      <c r="I336" s="6">
        <f t="shared" si="33"/>
        <v>0</v>
      </c>
      <c r="J336" s="7">
        <f t="shared" si="34"/>
        <v>0</v>
      </c>
      <c r="K336" s="28">
        <v>0</v>
      </c>
      <c r="L336" s="29">
        <v>0</v>
      </c>
      <c r="M336" s="6">
        <f t="shared" si="35"/>
        <v>0</v>
      </c>
      <c r="N336" s="7">
        <f t="shared" si="36"/>
        <v>0</v>
      </c>
      <c r="O336" s="35"/>
      <c r="P336" s="36"/>
      <c r="Q336" s="59"/>
      <c r="R336" s="2" t="str">
        <f t="shared" si="37"/>
        <v>27752|0|0|0|0|0|0|</v>
      </c>
      <c r="S336" s="25"/>
    </row>
    <row r="337" spans="1:19" s="34" customFormat="1" ht="12.75" customHeight="1" x14ac:dyDescent="0.2">
      <c r="A337" s="70" t="s">
        <v>1376</v>
      </c>
      <c r="B337" s="61" t="s">
        <v>1377</v>
      </c>
      <c r="C337" s="26">
        <v>0</v>
      </c>
      <c r="D337" s="27">
        <v>0</v>
      </c>
      <c r="E337" s="28">
        <v>0</v>
      </c>
      <c r="F337" s="29">
        <v>0</v>
      </c>
      <c r="G337" s="6">
        <f t="shared" si="32"/>
        <v>0</v>
      </c>
      <c r="H337" s="7">
        <f t="shared" si="32"/>
        <v>0</v>
      </c>
      <c r="I337" s="6">
        <f t="shared" si="33"/>
        <v>0</v>
      </c>
      <c r="J337" s="7">
        <f t="shared" si="34"/>
        <v>0</v>
      </c>
      <c r="K337" s="28">
        <v>0</v>
      </c>
      <c r="L337" s="29">
        <v>0</v>
      </c>
      <c r="M337" s="6">
        <f t="shared" si="35"/>
        <v>0</v>
      </c>
      <c r="N337" s="7">
        <f t="shared" si="36"/>
        <v>0</v>
      </c>
      <c r="O337" s="35"/>
      <c r="P337" s="36"/>
      <c r="Q337" s="59"/>
      <c r="R337" s="2" t="str">
        <f t="shared" si="37"/>
        <v>27761|0|0|0|0|0|0|</v>
      </c>
      <c r="S337" s="25"/>
    </row>
    <row r="338" spans="1:19" s="34" customFormat="1" ht="12.75" customHeight="1" x14ac:dyDescent="0.2">
      <c r="A338" s="70" t="s">
        <v>1378</v>
      </c>
      <c r="B338" s="61" t="s">
        <v>1379</v>
      </c>
      <c r="C338" s="26">
        <v>0</v>
      </c>
      <c r="D338" s="27">
        <v>0</v>
      </c>
      <c r="E338" s="28">
        <v>0</v>
      </c>
      <c r="F338" s="29">
        <v>0</v>
      </c>
      <c r="G338" s="6">
        <f t="shared" si="32"/>
        <v>0</v>
      </c>
      <c r="H338" s="7">
        <f t="shared" si="32"/>
        <v>0</v>
      </c>
      <c r="I338" s="6">
        <f t="shared" si="33"/>
        <v>0</v>
      </c>
      <c r="J338" s="7">
        <f t="shared" si="34"/>
        <v>0</v>
      </c>
      <c r="K338" s="28">
        <v>0</v>
      </c>
      <c r="L338" s="29">
        <v>0</v>
      </c>
      <c r="M338" s="6">
        <f t="shared" si="35"/>
        <v>0</v>
      </c>
      <c r="N338" s="7">
        <f t="shared" si="36"/>
        <v>0</v>
      </c>
      <c r="O338" s="35"/>
      <c r="P338" s="36"/>
      <c r="Q338" s="59"/>
      <c r="R338" s="2" t="str">
        <f t="shared" si="37"/>
        <v>27762|0|0|0|0|0|0|</v>
      </c>
      <c r="S338" s="25"/>
    </row>
    <row r="339" spans="1:19" s="34" customFormat="1" ht="12.75" customHeight="1" x14ac:dyDescent="0.2">
      <c r="A339" s="70" t="s">
        <v>1380</v>
      </c>
      <c r="B339" s="61" t="s">
        <v>1381</v>
      </c>
      <c r="C339" s="26">
        <v>0</v>
      </c>
      <c r="D339" s="27">
        <v>0</v>
      </c>
      <c r="E339" s="28">
        <v>0</v>
      </c>
      <c r="F339" s="29">
        <v>0</v>
      </c>
      <c r="G339" s="6">
        <f t="shared" si="32"/>
        <v>0</v>
      </c>
      <c r="H339" s="7">
        <f t="shared" si="32"/>
        <v>0</v>
      </c>
      <c r="I339" s="6">
        <f t="shared" si="33"/>
        <v>0</v>
      </c>
      <c r="J339" s="7">
        <f t="shared" si="34"/>
        <v>0</v>
      </c>
      <c r="K339" s="28">
        <v>0</v>
      </c>
      <c r="L339" s="29">
        <v>0</v>
      </c>
      <c r="M339" s="6">
        <f t="shared" si="35"/>
        <v>0</v>
      </c>
      <c r="N339" s="7">
        <f t="shared" si="36"/>
        <v>0</v>
      </c>
      <c r="O339" s="35"/>
      <c r="P339" s="36"/>
      <c r="Q339" s="59"/>
      <c r="R339" s="2" t="str">
        <f t="shared" si="37"/>
        <v>27791|0|0|0|0|0|0|</v>
      </c>
      <c r="S339" s="25"/>
    </row>
    <row r="340" spans="1:19" s="34" customFormat="1" ht="12.75" customHeight="1" x14ac:dyDescent="0.2">
      <c r="A340" s="70" t="s">
        <v>1382</v>
      </c>
      <c r="B340" s="61" t="s">
        <v>1383</v>
      </c>
      <c r="C340" s="26">
        <v>0</v>
      </c>
      <c r="D340" s="27">
        <v>0</v>
      </c>
      <c r="E340" s="28">
        <v>0</v>
      </c>
      <c r="F340" s="29">
        <v>0</v>
      </c>
      <c r="G340" s="6">
        <f t="shared" si="32"/>
        <v>0</v>
      </c>
      <c r="H340" s="7">
        <f t="shared" si="32"/>
        <v>0</v>
      </c>
      <c r="I340" s="6">
        <f t="shared" si="33"/>
        <v>0</v>
      </c>
      <c r="J340" s="7">
        <f t="shared" si="34"/>
        <v>0</v>
      </c>
      <c r="K340" s="28">
        <v>0</v>
      </c>
      <c r="L340" s="29">
        <v>0</v>
      </c>
      <c r="M340" s="6">
        <f t="shared" si="35"/>
        <v>0</v>
      </c>
      <c r="N340" s="7">
        <f t="shared" si="36"/>
        <v>0</v>
      </c>
      <c r="O340" s="35"/>
      <c r="P340" s="36"/>
      <c r="Q340" s="59"/>
      <c r="R340" s="2" t="str">
        <f t="shared" si="37"/>
        <v>27792|0|0|0|0|0|0|</v>
      </c>
      <c r="S340" s="25"/>
    </row>
    <row r="341" spans="1:19" s="34" customFormat="1" ht="12.75" customHeight="1" x14ac:dyDescent="0.2">
      <c r="A341" s="71">
        <v>27812</v>
      </c>
      <c r="B341" s="64" t="s">
        <v>2559</v>
      </c>
      <c r="C341" s="26">
        <v>0</v>
      </c>
      <c r="D341" s="27">
        <v>0</v>
      </c>
      <c r="E341" s="28">
        <v>0</v>
      </c>
      <c r="F341" s="29">
        <v>0</v>
      </c>
      <c r="G341" s="6">
        <f t="shared" si="32"/>
        <v>0</v>
      </c>
      <c r="H341" s="7">
        <f t="shared" si="32"/>
        <v>0</v>
      </c>
      <c r="I341" s="6">
        <f t="shared" si="33"/>
        <v>0</v>
      </c>
      <c r="J341" s="7">
        <f t="shared" si="34"/>
        <v>0</v>
      </c>
      <c r="K341" s="28">
        <v>0</v>
      </c>
      <c r="L341" s="29">
        <v>0</v>
      </c>
      <c r="M341" s="6">
        <f t="shared" si="35"/>
        <v>0</v>
      </c>
      <c r="N341" s="7">
        <f t="shared" si="36"/>
        <v>0</v>
      </c>
      <c r="O341" s="35"/>
      <c r="P341" s="36"/>
      <c r="Q341" s="59"/>
      <c r="R341" s="2" t="str">
        <f t="shared" si="37"/>
        <v>27812|0|0|0|0|0|0|</v>
      </c>
      <c r="S341" s="25"/>
    </row>
    <row r="342" spans="1:19" s="34" customFormat="1" ht="12.75" customHeight="1" x14ac:dyDescent="0.2">
      <c r="A342" s="71">
        <v>27822</v>
      </c>
      <c r="B342" s="64" t="s">
        <v>2560</v>
      </c>
      <c r="C342" s="26">
        <v>0</v>
      </c>
      <c r="D342" s="27">
        <v>0</v>
      </c>
      <c r="E342" s="28">
        <v>0</v>
      </c>
      <c r="F342" s="29">
        <v>0</v>
      </c>
      <c r="G342" s="6">
        <f t="shared" si="32"/>
        <v>0</v>
      </c>
      <c r="H342" s="7">
        <f t="shared" si="32"/>
        <v>0</v>
      </c>
      <c r="I342" s="6">
        <f t="shared" si="33"/>
        <v>0</v>
      </c>
      <c r="J342" s="7">
        <f t="shared" si="34"/>
        <v>0</v>
      </c>
      <c r="K342" s="28">
        <v>0</v>
      </c>
      <c r="L342" s="29">
        <v>0</v>
      </c>
      <c r="M342" s="6">
        <f t="shared" si="35"/>
        <v>0</v>
      </c>
      <c r="N342" s="7">
        <f t="shared" si="36"/>
        <v>0</v>
      </c>
      <c r="O342" s="35"/>
      <c r="P342" s="36"/>
      <c r="Q342" s="59"/>
      <c r="R342" s="2" t="str">
        <f t="shared" si="37"/>
        <v>27822|0|0|0|0|0|0|</v>
      </c>
      <c r="S342" s="25"/>
    </row>
    <row r="343" spans="1:19" s="34" customFormat="1" ht="12.75" customHeight="1" x14ac:dyDescent="0.2">
      <c r="A343" s="70" t="s">
        <v>1384</v>
      </c>
      <c r="B343" s="61" t="s">
        <v>1385</v>
      </c>
      <c r="C343" s="26">
        <v>0</v>
      </c>
      <c r="D343" s="27">
        <v>0</v>
      </c>
      <c r="E343" s="28">
        <v>0</v>
      </c>
      <c r="F343" s="29">
        <v>0</v>
      </c>
      <c r="G343" s="6">
        <f t="shared" si="32"/>
        <v>0</v>
      </c>
      <c r="H343" s="7">
        <f t="shared" si="32"/>
        <v>0</v>
      </c>
      <c r="I343" s="6">
        <f t="shared" si="33"/>
        <v>0</v>
      </c>
      <c r="J343" s="7">
        <f t="shared" si="34"/>
        <v>0</v>
      </c>
      <c r="K343" s="28">
        <v>0</v>
      </c>
      <c r="L343" s="29">
        <v>0</v>
      </c>
      <c r="M343" s="6">
        <f t="shared" si="35"/>
        <v>0</v>
      </c>
      <c r="N343" s="7">
        <f t="shared" si="36"/>
        <v>0</v>
      </c>
      <c r="O343" s="35"/>
      <c r="P343" s="36"/>
      <c r="Q343" s="59"/>
      <c r="R343" s="2" t="str">
        <f t="shared" si="37"/>
        <v>27911|0|0|0|0|0|0|</v>
      </c>
      <c r="S343" s="25"/>
    </row>
    <row r="344" spans="1:19" s="34" customFormat="1" ht="12.75" customHeight="1" x14ac:dyDescent="0.2">
      <c r="A344" s="70" t="s">
        <v>1386</v>
      </c>
      <c r="B344" s="61" t="s">
        <v>1387</v>
      </c>
      <c r="C344" s="26">
        <v>0</v>
      </c>
      <c r="D344" s="27">
        <v>0</v>
      </c>
      <c r="E344" s="28">
        <v>0</v>
      </c>
      <c r="F344" s="29">
        <v>0</v>
      </c>
      <c r="G344" s="6">
        <f t="shared" si="32"/>
        <v>0</v>
      </c>
      <c r="H344" s="7">
        <f t="shared" si="32"/>
        <v>0</v>
      </c>
      <c r="I344" s="6">
        <f t="shared" si="33"/>
        <v>0</v>
      </c>
      <c r="J344" s="7">
        <f t="shared" si="34"/>
        <v>0</v>
      </c>
      <c r="K344" s="28">
        <v>0</v>
      </c>
      <c r="L344" s="29">
        <v>0</v>
      </c>
      <c r="M344" s="6">
        <f t="shared" si="35"/>
        <v>0</v>
      </c>
      <c r="N344" s="7">
        <f t="shared" si="36"/>
        <v>0</v>
      </c>
      <c r="O344" s="35"/>
      <c r="P344" s="36"/>
      <c r="Q344" s="59"/>
      <c r="R344" s="2" t="str">
        <f t="shared" si="37"/>
        <v>27912|0|0|0|0|0|0|</v>
      </c>
      <c r="S344" s="25"/>
    </row>
    <row r="345" spans="1:19" s="34" customFormat="1" ht="12.75" customHeight="1" x14ac:dyDescent="0.2">
      <c r="A345" s="70" t="s">
        <v>1388</v>
      </c>
      <c r="B345" s="61" t="s">
        <v>1389</v>
      </c>
      <c r="C345" s="26">
        <v>0</v>
      </c>
      <c r="D345" s="27">
        <v>0</v>
      </c>
      <c r="E345" s="28">
        <v>0</v>
      </c>
      <c r="F345" s="29">
        <v>0</v>
      </c>
      <c r="G345" s="6">
        <f t="shared" si="32"/>
        <v>0</v>
      </c>
      <c r="H345" s="7">
        <f t="shared" si="32"/>
        <v>0</v>
      </c>
      <c r="I345" s="6">
        <f t="shared" si="33"/>
        <v>0</v>
      </c>
      <c r="J345" s="7">
        <f t="shared" si="34"/>
        <v>0</v>
      </c>
      <c r="K345" s="28">
        <v>0</v>
      </c>
      <c r="L345" s="29">
        <v>0</v>
      </c>
      <c r="M345" s="6">
        <f t="shared" si="35"/>
        <v>0</v>
      </c>
      <c r="N345" s="7">
        <f t="shared" si="36"/>
        <v>0</v>
      </c>
      <c r="O345" s="35"/>
      <c r="P345" s="36"/>
      <c r="Q345" s="59"/>
      <c r="R345" s="2" t="str">
        <f t="shared" si="37"/>
        <v>27931|0|0|0|0|0|0|</v>
      </c>
      <c r="S345" s="25"/>
    </row>
    <row r="346" spans="1:19" s="34" customFormat="1" ht="12.75" customHeight="1" x14ac:dyDescent="0.2">
      <c r="A346" s="70" t="s">
        <v>1390</v>
      </c>
      <c r="B346" s="61" t="s">
        <v>1391</v>
      </c>
      <c r="C346" s="26">
        <v>0</v>
      </c>
      <c r="D346" s="27">
        <v>0</v>
      </c>
      <c r="E346" s="28">
        <v>0</v>
      </c>
      <c r="F346" s="29">
        <v>0</v>
      </c>
      <c r="G346" s="6">
        <f t="shared" si="32"/>
        <v>0</v>
      </c>
      <c r="H346" s="7">
        <f t="shared" si="32"/>
        <v>0</v>
      </c>
      <c r="I346" s="6">
        <f t="shared" si="33"/>
        <v>0</v>
      </c>
      <c r="J346" s="7">
        <f t="shared" si="34"/>
        <v>0</v>
      </c>
      <c r="K346" s="28">
        <v>0</v>
      </c>
      <c r="L346" s="29">
        <v>0</v>
      </c>
      <c r="M346" s="6">
        <f t="shared" si="35"/>
        <v>0</v>
      </c>
      <c r="N346" s="7">
        <f t="shared" si="36"/>
        <v>0</v>
      </c>
      <c r="O346" s="35"/>
      <c r="P346" s="36"/>
      <c r="Q346" s="59"/>
      <c r="R346" s="2" t="str">
        <f t="shared" si="37"/>
        <v>27932|0|0|0|0|0|0|</v>
      </c>
      <c r="S346" s="25"/>
    </row>
    <row r="347" spans="1:19" s="34" customFormat="1" ht="12.75" customHeight="1" x14ac:dyDescent="0.2">
      <c r="A347" s="70" t="s">
        <v>1392</v>
      </c>
      <c r="B347" s="61" t="s">
        <v>1393</v>
      </c>
      <c r="C347" s="26">
        <v>0</v>
      </c>
      <c r="D347" s="27">
        <v>0</v>
      </c>
      <c r="E347" s="28">
        <v>0</v>
      </c>
      <c r="F347" s="29">
        <v>0</v>
      </c>
      <c r="G347" s="6">
        <f t="shared" si="32"/>
        <v>0</v>
      </c>
      <c r="H347" s="7">
        <f t="shared" si="32"/>
        <v>0</v>
      </c>
      <c r="I347" s="6">
        <f t="shared" si="33"/>
        <v>0</v>
      </c>
      <c r="J347" s="7">
        <f t="shared" si="34"/>
        <v>0</v>
      </c>
      <c r="K347" s="28">
        <v>0</v>
      </c>
      <c r="L347" s="29">
        <v>0</v>
      </c>
      <c r="M347" s="6">
        <f t="shared" si="35"/>
        <v>0</v>
      </c>
      <c r="N347" s="7">
        <f t="shared" si="36"/>
        <v>0</v>
      </c>
      <c r="O347" s="35"/>
      <c r="P347" s="36"/>
      <c r="Q347" s="59"/>
      <c r="R347" s="2" t="str">
        <f t="shared" si="37"/>
        <v>27933|0|0|0|0|0|0|</v>
      </c>
      <c r="S347" s="25"/>
    </row>
    <row r="348" spans="1:19" s="34" customFormat="1" ht="12.75" customHeight="1" x14ac:dyDescent="0.2">
      <c r="A348" s="70" t="s">
        <v>1394</v>
      </c>
      <c r="B348" s="61" t="s">
        <v>1395</v>
      </c>
      <c r="C348" s="26">
        <v>0</v>
      </c>
      <c r="D348" s="27">
        <v>0</v>
      </c>
      <c r="E348" s="28">
        <v>0</v>
      </c>
      <c r="F348" s="29">
        <v>0</v>
      </c>
      <c r="G348" s="6">
        <f t="shared" si="32"/>
        <v>0</v>
      </c>
      <c r="H348" s="7">
        <f t="shared" si="32"/>
        <v>0</v>
      </c>
      <c r="I348" s="6">
        <f t="shared" si="33"/>
        <v>0</v>
      </c>
      <c r="J348" s="7">
        <f t="shared" si="34"/>
        <v>0</v>
      </c>
      <c r="K348" s="28">
        <v>0</v>
      </c>
      <c r="L348" s="29">
        <v>0</v>
      </c>
      <c r="M348" s="6">
        <f t="shared" si="35"/>
        <v>0</v>
      </c>
      <c r="N348" s="7">
        <f t="shared" si="36"/>
        <v>0</v>
      </c>
      <c r="O348" s="35"/>
      <c r="P348" s="36"/>
      <c r="Q348" s="59"/>
      <c r="R348" s="2" t="str">
        <f t="shared" si="37"/>
        <v>27934|0|0|0|0|0|0|</v>
      </c>
      <c r="S348" s="25"/>
    </row>
    <row r="349" spans="1:19" s="34" customFormat="1" ht="12.75" customHeight="1" x14ac:dyDescent="0.2">
      <c r="A349" s="70" t="s">
        <v>1396</v>
      </c>
      <c r="B349" s="61" t="s">
        <v>1397</v>
      </c>
      <c r="C349" s="26">
        <v>0</v>
      </c>
      <c r="D349" s="27">
        <v>0</v>
      </c>
      <c r="E349" s="28">
        <v>0</v>
      </c>
      <c r="F349" s="29">
        <v>0</v>
      </c>
      <c r="G349" s="6">
        <f t="shared" si="32"/>
        <v>0</v>
      </c>
      <c r="H349" s="7">
        <f t="shared" si="32"/>
        <v>0</v>
      </c>
      <c r="I349" s="6">
        <f t="shared" si="33"/>
        <v>0</v>
      </c>
      <c r="J349" s="7">
        <f t="shared" si="34"/>
        <v>0</v>
      </c>
      <c r="K349" s="28">
        <v>0</v>
      </c>
      <c r="L349" s="29">
        <v>0</v>
      </c>
      <c r="M349" s="6">
        <f t="shared" si="35"/>
        <v>0</v>
      </c>
      <c r="N349" s="7">
        <f t="shared" si="36"/>
        <v>0</v>
      </c>
      <c r="O349" s="35"/>
      <c r="P349" s="36"/>
      <c r="Q349" s="59"/>
      <c r="R349" s="2" t="str">
        <f t="shared" si="37"/>
        <v>27935|0|0|0|0|0|0|</v>
      </c>
      <c r="S349" s="25"/>
    </row>
    <row r="350" spans="1:19" s="34" customFormat="1" ht="12.75" customHeight="1" x14ac:dyDescent="0.2">
      <c r="A350" s="70" t="s">
        <v>1398</v>
      </c>
      <c r="B350" s="61" t="s">
        <v>1399</v>
      </c>
      <c r="C350" s="26">
        <v>0</v>
      </c>
      <c r="D350" s="27">
        <v>0</v>
      </c>
      <c r="E350" s="28">
        <v>0</v>
      </c>
      <c r="F350" s="29">
        <v>0</v>
      </c>
      <c r="G350" s="6">
        <f t="shared" si="32"/>
        <v>0</v>
      </c>
      <c r="H350" s="7">
        <f t="shared" si="32"/>
        <v>0</v>
      </c>
      <c r="I350" s="6">
        <f t="shared" si="33"/>
        <v>0</v>
      </c>
      <c r="J350" s="7">
        <f t="shared" si="34"/>
        <v>0</v>
      </c>
      <c r="K350" s="28">
        <v>0</v>
      </c>
      <c r="L350" s="29">
        <v>0</v>
      </c>
      <c r="M350" s="6">
        <f t="shared" si="35"/>
        <v>0</v>
      </c>
      <c r="N350" s="7">
        <f t="shared" si="36"/>
        <v>0</v>
      </c>
      <c r="O350" s="35"/>
      <c r="P350" s="36"/>
      <c r="Q350" s="59"/>
      <c r="R350" s="2" t="str">
        <f t="shared" si="37"/>
        <v>27936|0|0|0|0|0|0|</v>
      </c>
      <c r="S350" s="25"/>
    </row>
    <row r="351" spans="1:19" s="34" customFormat="1" ht="12.75" customHeight="1" x14ac:dyDescent="0.2">
      <c r="A351" s="70" t="s">
        <v>1400</v>
      </c>
      <c r="B351" s="61" t="s">
        <v>1401</v>
      </c>
      <c r="C351" s="26">
        <v>0</v>
      </c>
      <c r="D351" s="27">
        <v>0</v>
      </c>
      <c r="E351" s="28">
        <v>0</v>
      </c>
      <c r="F351" s="29">
        <v>0</v>
      </c>
      <c r="G351" s="6">
        <f t="shared" si="32"/>
        <v>0</v>
      </c>
      <c r="H351" s="7">
        <f t="shared" si="32"/>
        <v>0</v>
      </c>
      <c r="I351" s="6">
        <f t="shared" si="33"/>
        <v>0</v>
      </c>
      <c r="J351" s="7">
        <f t="shared" si="34"/>
        <v>0</v>
      </c>
      <c r="K351" s="28">
        <v>0</v>
      </c>
      <c r="L351" s="29">
        <v>0</v>
      </c>
      <c r="M351" s="6">
        <f t="shared" si="35"/>
        <v>0</v>
      </c>
      <c r="N351" s="7">
        <f t="shared" si="36"/>
        <v>0</v>
      </c>
      <c r="O351" s="35"/>
      <c r="P351" s="36"/>
      <c r="Q351" s="59"/>
      <c r="R351" s="2" t="str">
        <f t="shared" si="37"/>
        <v>27937|0|0|0|0|0|0|</v>
      </c>
      <c r="S351" s="25"/>
    </row>
    <row r="352" spans="1:19" s="34" customFormat="1" ht="12.75" customHeight="1" x14ac:dyDescent="0.2">
      <c r="A352" s="70" t="s">
        <v>1402</v>
      </c>
      <c r="B352" s="61" t="s">
        <v>1403</v>
      </c>
      <c r="C352" s="26">
        <v>0</v>
      </c>
      <c r="D352" s="27">
        <v>0</v>
      </c>
      <c r="E352" s="28">
        <v>0</v>
      </c>
      <c r="F352" s="29">
        <v>0</v>
      </c>
      <c r="G352" s="6">
        <f t="shared" si="32"/>
        <v>0</v>
      </c>
      <c r="H352" s="7">
        <f t="shared" si="32"/>
        <v>0</v>
      </c>
      <c r="I352" s="6">
        <f t="shared" si="33"/>
        <v>0</v>
      </c>
      <c r="J352" s="7">
        <f t="shared" si="34"/>
        <v>0</v>
      </c>
      <c r="K352" s="28">
        <v>0</v>
      </c>
      <c r="L352" s="29">
        <v>0</v>
      </c>
      <c r="M352" s="6">
        <f t="shared" si="35"/>
        <v>0</v>
      </c>
      <c r="N352" s="7">
        <f t="shared" si="36"/>
        <v>0</v>
      </c>
      <c r="O352" s="35"/>
      <c r="P352" s="36"/>
      <c r="Q352" s="59"/>
      <c r="R352" s="2" t="str">
        <f t="shared" si="37"/>
        <v>27941|0|0|0|0|0|0|</v>
      </c>
      <c r="S352" s="25"/>
    </row>
    <row r="353" spans="1:19" s="34" customFormat="1" ht="12.75" customHeight="1" x14ac:dyDescent="0.2">
      <c r="A353" s="70" t="s">
        <v>1404</v>
      </c>
      <c r="B353" s="61" t="s">
        <v>1405</v>
      </c>
      <c r="C353" s="26">
        <v>0</v>
      </c>
      <c r="D353" s="27">
        <v>0</v>
      </c>
      <c r="E353" s="28">
        <v>0</v>
      </c>
      <c r="F353" s="29">
        <v>0</v>
      </c>
      <c r="G353" s="6">
        <f t="shared" si="32"/>
        <v>0</v>
      </c>
      <c r="H353" s="7">
        <f t="shared" si="32"/>
        <v>0</v>
      </c>
      <c r="I353" s="6">
        <f t="shared" si="33"/>
        <v>0</v>
      </c>
      <c r="J353" s="7">
        <f t="shared" si="34"/>
        <v>0</v>
      </c>
      <c r="K353" s="28">
        <v>0</v>
      </c>
      <c r="L353" s="29">
        <v>0</v>
      </c>
      <c r="M353" s="6">
        <f t="shared" si="35"/>
        <v>0</v>
      </c>
      <c r="N353" s="7">
        <f t="shared" si="36"/>
        <v>0</v>
      </c>
      <c r="O353" s="35"/>
      <c r="P353" s="36"/>
      <c r="Q353" s="59"/>
      <c r="R353" s="2" t="str">
        <f t="shared" si="37"/>
        <v>27942|0|0|0|0|0|0|</v>
      </c>
      <c r="S353" s="25"/>
    </row>
    <row r="354" spans="1:19" s="34" customFormat="1" ht="12.75" customHeight="1" x14ac:dyDescent="0.2">
      <c r="A354" s="70" t="s">
        <v>1406</v>
      </c>
      <c r="B354" s="61" t="s">
        <v>1407</v>
      </c>
      <c r="C354" s="26">
        <v>0</v>
      </c>
      <c r="D354" s="27">
        <v>0</v>
      </c>
      <c r="E354" s="28">
        <v>0</v>
      </c>
      <c r="F354" s="29">
        <v>0</v>
      </c>
      <c r="G354" s="6">
        <f t="shared" si="32"/>
        <v>0</v>
      </c>
      <c r="H354" s="7">
        <f t="shared" si="32"/>
        <v>0</v>
      </c>
      <c r="I354" s="6">
        <f t="shared" si="33"/>
        <v>0</v>
      </c>
      <c r="J354" s="7">
        <f t="shared" si="34"/>
        <v>0</v>
      </c>
      <c r="K354" s="28">
        <v>0</v>
      </c>
      <c r="L354" s="29">
        <v>0</v>
      </c>
      <c r="M354" s="6">
        <f t="shared" si="35"/>
        <v>0</v>
      </c>
      <c r="N354" s="7">
        <f t="shared" si="36"/>
        <v>0</v>
      </c>
      <c r="O354" s="35"/>
      <c r="P354" s="36"/>
      <c r="Q354" s="59"/>
      <c r="R354" s="2" t="str">
        <f t="shared" si="37"/>
        <v>27943|0|0|0|0|0|0|</v>
      </c>
      <c r="S354" s="25"/>
    </row>
    <row r="355" spans="1:19" s="34" customFormat="1" ht="12.75" customHeight="1" x14ac:dyDescent="0.2">
      <c r="A355" s="70" t="s">
        <v>1408</v>
      </c>
      <c r="B355" s="61" t="s">
        <v>1409</v>
      </c>
      <c r="C355" s="26">
        <v>0</v>
      </c>
      <c r="D355" s="27">
        <v>0</v>
      </c>
      <c r="E355" s="28">
        <v>0</v>
      </c>
      <c r="F355" s="29">
        <v>0</v>
      </c>
      <c r="G355" s="6">
        <f t="shared" si="32"/>
        <v>0</v>
      </c>
      <c r="H355" s="7">
        <f t="shared" si="32"/>
        <v>0</v>
      </c>
      <c r="I355" s="6">
        <f t="shared" si="33"/>
        <v>0</v>
      </c>
      <c r="J355" s="7">
        <f t="shared" si="34"/>
        <v>0</v>
      </c>
      <c r="K355" s="28">
        <v>0</v>
      </c>
      <c r="L355" s="29">
        <v>0</v>
      </c>
      <c r="M355" s="6">
        <f t="shared" si="35"/>
        <v>0</v>
      </c>
      <c r="N355" s="7">
        <f t="shared" si="36"/>
        <v>0</v>
      </c>
      <c r="O355" s="35"/>
      <c r="P355" s="36"/>
      <c r="Q355" s="59"/>
      <c r="R355" s="2" t="str">
        <f t="shared" si="37"/>
        <v>27944|0|0|0|0|0|0|</v>
      </c>
      <c r="S355" s="25"/>
    </row>
    <row r="356" spans="1:19" s="34" customFormat="1" ht="12.75" customHeight="1" x14ac:dyDescent="0.2">
      <c r="A356" s="70" t="s">
        <v>1410</v>
      </c>
      <c r="B356" s="61" t="s">
        <v>1411</v>
      </c>
      <c r="C356" s="26">
        <v>0</v>
      </c>
      <c r="D356" s="27">
        <v>0</v>
      </c>
      <c r="E356" s="28">
        <v>0</v>
      </c>
      <c r="F356" s="29">
        <v>0</v>
      </c>
      <c r="G356" s="6">
        <f t="shared" si="32"/>
        <v>0</v>
      </c>
      <c r="H356" s="7">
        <f t="shared" si="32"/>
        <v>0</v>
      </c>
      <c r="I356" s="6">
        <f t="shared" si="33"/>
        <v>0</v>
      </c>
      <c r="J356" s="7">
        <f t="shared" si="34"/>
        <v>0</v>
      </c>
      <c r="K356" s="28">
        <v>0</v>
      </c>
      <c r="L356" s="29">
        <v>0</v>
      </c>
      <c r="M356" s="6">
        <f t="shared" si="35"/>
        <v>0</v>
      </c>
      <c r="N356" s="7">
        <f t="shared" si="36"/>
        <v>0</v>
      </c>
      <c r="O356" s="35"/>
      <c r="P356" s="36"/>
      <c r="Q356" s="59"/>
      <c r="R356" s="2" t="str">
        <f t="shared" si="37"/>
        <v>27945|0|0|0|0|0|0|</v>
      </c>
      <c r="S356" s="25"/>
    </row>
    <row r="357" spans="1:19" s="34" customFormat="1" ht="12.75" customHeight="1" x14ac:dyDescent="0.2">
      <c r="A357" s="70" t="s">
        <v>1412</v>
      </c>
      <c r="B357" s="61" t="s">
        <v>1413</v>
      </c>
      <c r="C357" s="26">
        <v>0</v>
      </c>
      <c r="D357" s="27">
        <v>0</v>
      </c>
      <c r="E357" s="28">
        <v>0</v>
      </c>
      <c r="F357" s="29">
        <v>0</v>
      </c>
      <c r="G357" s="6">
        <f t="shared" si="32"/>
        <v>0</v>
      </c>
      <c r="H357" s="7">
        <f t="shared" si="32"/>
        <v>0</v>
      </c>
      <c r="I357" s="6">
        <f t="shared" si="33"/>
        <v>0</v>
      </c>
      <c r="J357" s="7">
        <f t="shared" si="34"/>
        <v>0</v>
      </c>
      <c r="K357" s="28">
        <v>0</v>
      </c>
      <c r="L357" s="29">
        <v>0</v>
      </c>
      <c r="M357" s="6">
        <f t="shared" si="35"/>
        <v>0</v>
      </c>
      <c r="N357" s="7">
        <f t="shared" si="36"/>
        <v>0</v>
      </c>
      <c r="O357" s="35"/>
      <c r="P357" s="36"/>
      <c r="Q357" s="59"/>
      <c r="R357" s="2" t="str">
        <f t="shared" si="37"/>
        <v>27946|0|0|0|0|0|0|</v>
      </c>
      <c r="S357" s="25"/>
    </row>
    <row r="358" spans="1:19" s="34" customFormat="1" ht="12.75" customHeight="1" x14ac:dyDescent="0.2">
      <c r="A358" s="70" t="s">
        <v>1414</v>
      </c>
      <c r="B358" s="61" t="s">
        <v>1415</v>
      </c>
      <c r="C358" s="26">
        <v>0</v>
      </c>
      <c r="D358" s="27">
        <v>0</v>
      </c>
      <c r="E358" s="28">
        <v>0</v>
      </c>
      <c r="F358" s="29">
        <v>0</v>
      </c>
      <c r="G358" s="6">
        <f t="shared" si="32"/>
        <v>0</v>
      </c>
      <c r="H358" s="7">
        <f t="shared" si="32"/>
        <v>0</v>
      </c>
      <c r="I358" s="6">
        <f t="shared" si="33"/>
        <v>0</v>
      </c>
      <c r="J358" s="7">
        <f t="shared" si="34"/>
        <v>0</v>
      </c>
      <c r="K358" s="28">
        <v>0</v>
      </c>
      <c r="L358" s="29">
        <v>0</v>
      </c>
      <c r="M358" s="6">
        <f t="shared" si="35"/>
        <v>0</v>
      </c>
      <c r="N358" s="7">
        <f t="shared" si="36"/>
        <v>0</v>
      </c>
      <c r="O358" s="35"/>
      <c r="P358" s="36"/>
      <c r="Q358" s="59"/>
      <c r="R358" s="2" t="str">
        <f t="shared" si="37"/>
        <v>27951|0|0|0|0|0|0|</v>
      </c>
      <c r="S358" s="25"/>
    </row>
    <row r="359" spans="1:19" s="34" customFormat="1" ht="12.75" customHeight="1" x14ac:dyDescent="0.2">
      <c r="A359" s="70" t="s">
        <v>1416</v>
      </c>
      <c r="B359" s="61" t="s">
        <v>1417</v>
      </c>
      <c r="C359" s="26">
        <v>0</v>
      </c>
      <c r="D359" s="27">
        <v>0</v>
      </c>
      <c r="E359" s="28">
        <v>0</v>
      </c>
      <c r="F359" s="29">
        <v>0</v>
      </c>
      <c r="G359" s="6">
        <f t="shared" si="32"/>
        <v>0</v>
      </c>
      <c r="H359" s="7">
        <f t="shared" si="32"/>
        <v>0</v>
      </c>
      <c r="I359" s="6">
        <f t="shared" si="33"/>
        <v>0</v>
      </c>
      <c r="J359" s="7">
        <f t="shared" si="34"/>
        <v>0</v>
      </c>
      <c r="K359" s="28">
        <v>0</v>
      </c>
      <c r="L359" s="29">
        <v>0</v>
      </c>
      <c r="M359" s="6">
        <f t="shared" si="35"/>
        <v>0</v>
      </c>
      <c r="N359" s="7">
        <f t="shared" si="36"/>
        <v>0</v>
      </c>
      <c r="O359" s="35"/>
      <c r="P359" s="36"/>
      <c r="Q359" s="59"/>
      <c r="R359" s="2" t="str">
        <f t="shared" si="37"/>
        <v>27952|0|0|0|0|0|0|</v>
      </c>
      <c r="S359" s="25"/>
    </row>
    <row r="360" spans="1:19" s="34" customFormat="1" ht="12.75" customHeight="1" x14ac:dyDescent="0.2">
      <c r="A360" s="70" t="s">
        <v>3</v>
      </c>
      <c r="B360" s="61" t="s">
        <v>1418</v>
      </c>
      <c r="C360" s="26">
        <v>0</v>
      </c>
      <c r="D360" s="27">
        <v>0</v>
      </c>
      <c r="E360" s="28">
        <v>0</v>
      </c>
      <c r="F360" s="29">
        <v>0</v>
      </c>
      <c r="G360" s="6">
        <f t="shared" si="32"/>
        <v>0</v>
      </c>
      <c r="H360" s="7">
        <f t="shared" si="32"/>
        <v>0</v>
      </c>
      <c r="I360" s="6">
        <f t="shared" si="33"/>
        <v>0</v>
      </c>
      <c r="J360" s="7">
        <f t="shared" si="34"/>
        <v>0</v>
      </c>
      <c r="K360" s="28">
        <v>0</v>
      </c>
      <c r="L360" s="29">
        <v>0</v>
      </c>
      <c r="M360" s="6">
        <f t="shared" si="35"/>
        <v>0</v>
      </c>
      <c r="N360" s="7">
        <f t="shared" si="36"/>
        <v>0</v>
      </c>
      <c r="O360" s="35"/>
      <c r="P360" s="36"/>
      <c r="Q360" s="59"/>
      <c r="R360" s="2" t="str">
        <f t="shared" si="37"/>
        <v>281|0|0|0|0|0|0|</v>
      </c>
      <c r="S360" s="25"/>
    </row>
    <row r="361" spans="1:19" s="34" customFormat="1" ht="12.75" customHeight="1" x14ac:dyDescent="0.2">
      <c r="A361" s="70" t="s">
        <v>4</v>
      </c>
      <c r="B361" s="61" t="s">
        <v>1419</v>
      </c>
      <c r="C361" s="26">
        <v>0</v>
      </c>
      <c r="D361" s="27">
        <v>0</v>
      </c>
      <c r="E361" s="28">
        <v>0</v>
      </c>
      <c r="F361" s="29">
        <v>0</v>
      </c>
      <c r="G361" s="6">
        <f t="shared" si="32"/>
        <v>0</v>
      </c>
      <c r="H361" s="7">
        <f t="shared" si="32"/>
        <v>0</v>
      </c>
      <c r="I361" s="6">
        <f t="shared" si="33"/>
        <v>0</v>
      </c>
      <c r="J361" s="7">
        <f t="shared" si="34"/>
        <v>0</v>
      </c>
      <c r="K361" s="28">
        <v>0</v>
      </c>
      <c r="L361" s="29">
        <v>0</v>
      </c>
      <c r="M361" s="6">
        <f t="shared" si="35"/>
        <v>0</v>
      </c>
      <c r="N361" s="7">
        <f t="shared" si="36"/>
        <v>0</v>
      </c>
      <c r="O361" s="35"/>
      <c r="P361" s="36"/>
      <c r="Q361" s="59"/>
      <c r="R361" s="2" t="str">
        <f t="shared" si="37"/>
        <v>284|0|0|0|0|0|0|</v>
      </c>
      <c r="S361" s="25"/>
    </row>
    <row r="362" spans="1:19" s="34" customFormat="1" ht="12.75" customHeight="1" x14ac:dyDescent="0.2">
      <c r="A362" s="70" t="s">
        <v>5</v>
      </c>
      <c r="B362" s="61" t="s">
        <v>1420</v>
      </c>
      <c r="C362" s="26">
        <v>0</v>
      </c>
      <c r="D362" s="27">
        <v>0</v>
      </c>
      <c r="E362" s="28">
        <v>0</v>
      </c>
      <c r="F362" s="29">
        <v>0</v>
      </c>
      <c r="G362" s="6">
        <f t="shared" si="32"/>
        <v>0</v>
      </c>
      <c r="H362" s="7">
        <f t="shared" si="32"/>
        <v>0</v>
      </c>
      <c r="I362" s="6">
        <f t="shared" si="33"/>
        <v>0</v>
      </c>
      <c r="J362" s="7">
        <f t="shared" si="34"/>
        <v>0</v>
      </c>
      <c r="K362" s="28">
        <v>0</v>
      </c>
      <c r="L362" s="29">
        <v>0</v>
      </c>
      <c r="M362" s="6">
        <f t="shared" si="35"/>
        <v>0</v>
      </c>
      <c r="N362" s="7">
        <f t="shared" si="36"/>
        <v>0</v>
      </c>
      <c r="O362" s="35"/>
      <c r="P362" s="36"/>
      <c r="Q362" s="59"/>
      <c r="R362" s="2" t="str">
        <f t="shared" si="37"/>
        <v>285|0|0|0|0|0|0|</v>
      </c>
      <c r="S362" s="25"/>
    </row>
    <row r="363" spans="1:19" s="34" customFormat="1" ht="12.75" customHeight="1" x14ac:dyDescent="0.2">
      <c r="A363" s="70" t="s">
        <v>6</v>
      </c>
      <c r="B363" s="61" t="s">
        <v>1421</v>
      </c>
      <c r="C363" s="26">
        <v>0</v>
      </c>
      <c r="D363" s="27">
        <v>0</v>
      </c>
      <c r="E363" s="28">
        <v>0</v>
      </c>
      <c r="F363" s="29">
        <v>0</v>
      </c>
      <c r="G363" s="6">
        <f t="shared" ref="G363:H427" si="38">+C363+E363</f>
        <v>0</v>
      </c>
      <c r="H363" s="7">
        <f t="shared" si="38"/>
        <v>0</v>
      </c>
      <c r="I363" s="6">
        <f t="shared" si="33"/>
        <v>0</v>
      </c>
      <c r="J363" s="7">
        <f t="shared" si="34"/>
        <v>0</v>
      </c>
      <c r="K363" s="28">
        <v>0</v>
      </c>
      <c r="L363" s="29">
        <v>0</v>
      </c>
      <c r="M363" s="6">
        <f t="shared" si="35"/>
        <v>0</v>
      </c>
      <c r="N363" s="7">
        <f t="shared" si="36"/>
        <v>0</v>
      </c>
      <c r="O363" s="35"/>
      <c r="P363" s="36"/>
      <c r="Q363" s="59"/>
      <c r="R363" s="2" t="str">
        <f t="shared" si="37"/>
        <v>286|0|0|0|0|0|0|</v>
      </c>
      <c r="S363" s="25"/>
    </row>
    <row r="364" spans="1:19" s="34" customFormat="1" ht="12.75" customHeight="1" x14ac:dyDescent="0.2">
      <c r="A364" s="70" t="s">
        <v>7</v>
      </c>
      <c r="B364" s="61" t="s">
        <v>1422</v>
      </c>
      <c r="C364" s="26">
        <v>0</v>
      </c>
      <c r="D364" s="27">
        <v>0</v>
      </c>
      <c r="E364" s="28">
        <v>0</v>
      </c>
      <c r="F364" s="29">
        <v>0</v>
      </c>
      <c r="G364" s="6">
        <f t="shared" si="38"/>
        <v>0</v>
      </c>
      <c r="H364" s="7">
        <f t="shared" si="38"/>
        <v>0</v>
      </c>
      <c r="I364" s="6">
        <f t="shared" si="33"/>
        <v>0</v>
      </c>
      <c r="J364" s="7">
        <f t="shared" si="34"/>
        <v>0</v>
      </c>
      <c r="K364" s="28">
        <v>0</v>
      </c>
      <c r="L364" s="29">
        <v>0</v>
      </c>
      <c r="M364" s="6">
        <f t="shared" si="35"/>
        <v>0</v>
      </c>
      <c r="N364" s="7">
        <f t="shared" si="36"/>
        <v>0</v>
      </c>
      <c r="O364" s="35"/>
      <c r="P364" s="36"/>
      <c r="Q364" s="59"/>
      <c r="R364" s="2" t="str">
        <f t="shared" si="37"/>
        <v>2911|0|0|0|0|0|0|</v>
      </c>
      <c r="S364" s="25"/>
    </row>
    <row r="365" spans="1:19" s="34" customFormat="1" ht="12.75" customHeight="1" x14ac:dyDescent="0.2">
      <c r="A365" s="70" t="s">
        <v>8</v>
      </c>
      <c r="B365" s="61" t="s">
        <v>1423</v>
      </c>
      <c r="C365" s="26">
        <v>0</v>
      </c>
      <c r="D365" s="27">
        <v>0</v>
      </c>
      <c r="E365" s="28">
        <v>0</v>
      </c>
      <c r="F365" s="29">
        <v>0</v>
      </c>
      <c r="G365" s="6">
        <f t="shared" si="38"/>
        <v>0</v>
      </c>
      <c r="H365" s="7">
        <f t="shared" si="38"/>
        <v>0</v>
      </c>
      <c r="I365" s="6">
        <f t="shared" si="33"/>
        <v>0</v>
      </c>
      <c r="J365" s="7">
        <f t="shared" si="34"/>
        <v>0</v>
      </c>
      <c r="K365" s="28">
        <v>0</v>
      </c>
      <c r="L365" s="29">
        <v>0</v>
      </c>
      <c r="M365" s="6">
        <f t="shared" si="35"/>
        <v>0</v>
      </c>
      <c r="N365" s="7">
        <f t="shared" si="36"/>
        <v>0</v>
      </c>
      <c r="O365" s="35"/>
      <c r="P365" s="36"/>
      <c r="Q365" s="59"/>
      <c r="R365" s="2" t="str">
        <f t="shared" si="37"/>
        <v>2912|0|0|0|0|0|0|</v>
      </c>
      <c r="S365" s="25"/>
    </row>
    <row r="366" spans="1:19" s="34" customFormat="1" ht="12.75" customHeight="1" x14ac:dyDescent="0.2">
      <c r="A366" s="70" t="s">
        <v>488</v>
      </c>
      <c r="B366" s="61" t="s">
        <v>1424</v>
      </c>
      <c r="C366" s="26">
        <v>0</v>
      </c>
      <c r="D366" s="27">
        <v>0</v>
      </c>
      <c r="E366" s="28">
        <v>0</v>
      </c>
      <c r="F366" s="29">
        <v>0</v>
      </c>
      <c r="G366" s="6">
        <f t="shared" si="38"/>
        <v>0</v>
      </c>
      <c r="H366" s="7">
        <f t="shared" si="38"/>
        <v>0</v>
      </c>
      <c r="I366" s="6">
        <f t="shared" si="33"/>
        <v>0</v>
      </c>
      <c r="J366" s="7">
        <f t="shared" si="34"/>
        <v>0</v>
      </c>
      <c r="K366" s="28">
        <v>0</v>
      </c>
      <c r="L366" s="29">
        <v>0</v>
      </c>
      <c r="M366" s="6">
        <f t="shared" si="35"/>
        <v>0</v>
      </c>
      <c r="N366" s="7">
        <f t="shared" si="36"/>
        <v>0</v>
      </c>
      <c r="O366" s="35"/>
      <c r="P366" s="36"/>
      <c r="Q366" s="59"/>
      <c r="R366" s="2" t="str">
        <f t="shared" si="37"/>
        <v>2913|0|0|0|0|0|0|</v>
      </c>
      <c r="S366" s="25"/>
    </row>
    <row r="367" spans="1:19" s="34" customFormat="1" ht="12.75" customHeight="1" x14ac:dyDescent="0.2">
      <c r="A367" s="70" t="s">
        <v>9</v>
      </c>
      <c r="B367" s="61" t="s">
        <v>1425</v>
      </c>
      <c r="C367" s="26">
        <v>0</v>
      </c>
      <c r="D367" s="27">
        <v>0</v>
      </c>
      <c r="E367" s="28">
        <v>0</v>
      </c>
      <c r="F367" s="29">
        <v>0</v>
      </c>
      <c r="G367" s="6">
        <f t="shared" si="38"/>
        <v>0</v>
      </c>
      <c r="H367" s="7">
        <f t="shared" si="38"/>
        <v>0</v>
      </c>
      <c r="I367" s="6">
        <f t="shared" si="33"/>
        <v>0</v>
      </c>
      <c r="J367" s="7">
        <f t="shared" si="34"/>
        <v>0</v>
      </c>
      <c r="K367" s="28">
        <v>0</v>
      </c>
      <c r="L367" s="29">
        <v>0</v>
      </c>
      <c r="M367" s="6">
        <f t="shared" si="35"/>
        <v>0</v>
      </c>
      <c r="N367" s="7">
        <f t="shared" si="36"/>
        <v>0</v>
      </c>
      <c r="O367" s="35"/>
      <c r="P367" s="36"/>
      <c r="Q367" s="59"/>
      <c r="R367" s="2" t="str">
        <f t="shared" si="37"/>
        <v>2914|0|0|0|0|0|0|</v>
      </c>
      <c r="S367" s="25"/>
    </row>
    <row r="368" spans="1:19" s="34" customFormat="1" ht="12.75" customHeight="1" x14ac:dyDescent="0.2">
      <c r="A368" s="70" t="s">
        <v>10</v>
      </c>
      <c r="B368" s="61" t="s">
        <v>1426</v>
      </c>
      <c r="C368" s="26">
        <v>0</v>
      </c>
      <c r="D368" s="27">
        <v>0</v>
      </c>
      <c r="E368" s="28">
        <v>0</v>
      </c>
      <c r="F368" s="29">
        <v>0</v>
      </c>
      <c r="G368" s="6">
        <f t="shared" si="38"/>
        <v>0</v>
      </c>
      <c r="H368" s="7">
        <f t="shared" si="38"/>
        <v>0</v>
      </c>
      <c r="I368" s="6">
        <f t="shared" si="33"/>
        <v>0</v>
      </c>
      <c r="J368" s="7">
        <f t="shared" si="34"/>
        <v>0</v>
      </c>
      <c r="K368" s="28">
        <v>0</v>
      </c>
      <c r="L368" s="29">
        <v>0</v>
      </c>
      <c r="M368" s="6">
        <f t="shared" si="35"/>
        <v>0</v>
      </c>
      <c r="N368" s="7">
        <f t="shared" si="36"/>
        <v>0</v>
      </c>
      <c r="O368" s="35"/>
      <c r="P368" s="36"/>
      <c r="Q368" s="59"/>
      <c r="R368" s="2" t="str">
        <f t="shared" si="37"/>
        <v>2918|0|0|0|0|0|0|</v>
      </c>
      <c r="S368" s="25"/>
    </row>
    <row r="369" spans="1:19" s="34" customFormat="1" ht="12.75" customHeight="1" x14ac:dyDescent="0.2">
      <c r="A369" s="70" t="s">
        <v>11</v>
      </c>
      <c r="B369" s="61" t="s">
        <v>1427</v>
      </c>
      <c r="C369" s="26">
        <v>0</v>
      </c>
      <c r="D369" s="27">
        <v>0</v>
      </c>
      <c r="E369" s="28">
        <v>0</v>
      </c>
      <c r="F369" s="29">
        <v>0</v>
      </c>
      <c r="G369" s="6">
        <f t="shared" si="38"/>
        <v>0</v>
      </c>
      <c r="H369" s="7">
        <f t="shared" si="38"/>
        <v>0</v>
      </c>
      <c r="I369" s="6">
        <f t="shared" si="33"/>
        <v>0</v>
      </c>
      <c r="J369" s="7">
        <f t="shared" si="34"/>
        <v>0</v>
      </c>
      <c r="K369" s="28">
        <v>0</v>
      </c>
      <c r="L369" s="29">
        <v>0</v>
      </c>
      <c r="M369" s="6">
        <f t="shared" si="35"/>
        <v>0</v>
      </c>
      <c r="N369" s="7">
        <f t="shared" si="36"/>
        <v>0</v>
      </c>
      <c r="O369" s="35"/>
      <c r="P369" s="36"/>
      <c r="Q369" s="59"/>
      <c r="R369" s="2" t="str">
        <f t="shared" si="37"/>
        <v>2921|0|0|0|0|0|0|</v>
      </c>
      <c r="S369" s="25"/>
    </row>
    <row r="370" spans="1:19" s="34" customFormat="1" ht="12.75" customHeight="1" x14ac:dyDescent="0.2">
      <c r="A370" s="70" t="s">
        <v>12</v>
      </c>
      <c r="B370" s="61" t="s">
        <v>1428</v>
      </c>
      <c r="C370" s="26">
        <v>0</v>
      </c>
      <c r="D370" s="27">
        <v>0</v>
      </c>
      <c r="E370" s="28">
        <v>0</v>
      </c>
      <c r="F370" s="29">
        <v>0</v>
      </c>
      <c r="G370" s="6">
        <f t="shared" si="38"/>
        <v>0</v>
      </c>
      <c r="H370" s="7">
        <f t="shared" si="38"/>
        <v>0</v>
      </c>
      <c r="I370" s="6">
        <f t="shared" si="33"/>
        <v>0</v>
      </c>
      <c r="J370" s="7">
        <f t="shared" si="34"/>
        <v>0</v>
      </c>
      <c r="K370" s="28">
        <v>0</v>
      </c>
      <c r="L370" s="29">
        <v>0</v>
      </c>
      <c r="M370" s="6">
        <f t="shared" si="35"/>
        <v>0</v>
      </c>
      <c r="N370" s="7">
        <f t="shared" si="36"/>
        <v>0</v>
      </c>
      <c r="O370" s="35"/>
      <c r="P370" s="36"/>
      <c r="Q370" s="59"/>
      <c r="R370" s="2" t="str">
        <f t="shared" si="37"/>
        <v>2922|0|0|0|0|0|0|</v>
      </c>
      <c r="S370" s="25"/>
    </row>
    <row r="371" spans="1:19" s="34" customFormat="1" ht="12.75" customHeight="1" x14ac:dyDescent="0.2">
      <c r="A371" s="70" t="s">
        <v>13</v>
      </c>
      <c r="B371" s="61" t="s">
        <v>1429</v>
      </c>
      <c r="C371" s="26">
        <v>0</v>
      </c>
      <c r="D371" s="27">
        <v>0</v>
      </c>
      <c r="E371" s="28">
        <v>0</v>
      </c>
      <c r="F371" s="29">
        <v>0</v>
      </c>
      <c r="G371" s="6">
        <f t="shared" si="38"/>
        <v>0</v>
      </c>
      <c r="H371" s="7">
        <f t="shared" si="38"/>
        <v>0</v>
      </c>
      <c r="I371" s="6">
        <f t="shared" si="33"/>
        <v>0</v>
      </c>
      <c r="J371" s="7">
        <f t="shared" si="34"/>
        <v>0</v>
      </c>
      <c r="K371" s="28">
        <v>0</v>
      </c>
      <c r="L371" s="29">
        <v>0</v>
      </c>
      <c r="M371" s="6">
        <f t="shared" si="35"/>
        <v>0</v>
      </c>
      <c r="N371" s="7">
        <f t="shared" si="36"/>
        <v>0</v>
      </c>
      <c r="O371" s="35"/>
      <c r="P371" s="36"/>
      <c r="Q371" s="59"/>
      <c r="R371" s="2" t="str">
        <f t="shared" si="37"/>
        <v>2923|0|0|0|0|0|0|</v>
      </c>
      <c r="S371" s="25"/>
    </row>
    <row r="372" spans="1:19" s="34" customFormat="1" ht="12.75" customHeight="1" x14ac:dyDescent="0.2">
      <c r="A372" s="70" t="s">
        <v>14</v>
      </c>
      <c r="B372" s="61" t="s">
        <v>1430</v>
      </c>
      <c r="C372" s="26">
        <v>0</v>
      </c>
      <c r="D372" s="27">
        <v>0</v>
      </c>
      <c r="E372" s="28">
        <v>0</v>
      </c>
      <c r="F372" s="29">
        <v>0</v>
      </c>
      <c r="G372" s="6">
        <f t="shared" si="38"/>
        <v>0</v>
      </c>
      <c r="H372" s="7">
        <f t="shared" si="38"/>
        <v>0</v>
      </c>
      <c r="I372" s="6">
        <f t="shared" si="33"/>
        <v>0</v>
      </c>
      <c r="J372" s="7">
        <f t="shared" si="34"/>
        <v>0</v>
      </c>
      <c r="K372" s="28">
        <v>0</v>
      </c>
      <c r="L372" s="29">
        <v>0</v>
      </c>
      <c r="M372" s="6">
        <f t="shared" si="35"/>
        <v>0</v>
      </c>
      <c r="N372" s="7">
        <f t="shared" si="36"/>
        <v>0</v>
      </c>
      <c r="O372" s="35"/>
      <c r="P372" s="36"/>
      <c r="Q372" s="59"/>
      <c r="R372" s="2" t="str">
        <f t="shared" si="37"/>
        <v>2924|0|0|0|0|0|0|</v>
      </c>
      <c r="S372" s="25"/>
    </row>
    <row r="373" spans="1:19" s="34" customFormat="1" ht="12.75" customHeight="1" x14ac:dyDescent="0.2">
      <c r="A373" s="70" t="s">
        <v>15</v>
      </c>
      <c r="B373" s="61" t="s">
        <v>1431</v>
      </c>
      <c r="C373" s="26">
        <v>0</v>
      </c>
      <c r="D373" s="27">
        <v>0</v>
      </c>
      <c r="E373" s="28">
        <v>0</v>
      </c>
      <c r="F373" s="29">
        <v>0</v>
      </c>
      <c r="G373" s="6">
        <f t="shared" si="38"/>
        <v>0</v>
      </c>
      <c r="H373" s="7">
        <f t="shared" si="38"/>
        <v>0</v>
      </c>
      <c r="I373" s="6">
        <f t="shared" si="33"/>
        <v>0</v>
      </c>
      <c r="J373" s="7">
        <f t="shared" si="34"/>
        <v>0</v>
      </c>
      <c r="K373" s="28">
        <v>0</v>
      </c>
      <c r="L373" s="29">
        <v>0</v>
      </c>
      <c r="M373" s="6">
        <f t="shared" si="35"/>
        <v>0</v>
      </c>
      <c r="N373" s="7">
        <f t="shared" si="36"/>
        <v>0</v>
      </c>
      <c r="O373" s="35"/>
      <c r="P373" s="36"/>
      <c r="Q373" s="59"/>
      <c r="R373" s="2" t="str">
        <f t="shared" si="37"/>
        <v>2925|0|0|0|0|0|0|</v>
      </c>
      <c r="S373" s="25"/>
    </row>
    <row r="374" spans="1:19" s="34" customFormat="1" ht="12.75" customHeight="1" x14ac:dyDescent="0.2">
      <c r="A374" s="70" t="s">
        <v>16</v>
      </c>
      <c r="B374" s="61" t="s">
        <v>1432</v>
      </c>
      <c r="C374" s="26">
        <v>0</v>
      </c>
      <c r="D374" s="27">
        <v>0</v>
      </c>
      <c r="E374" s="28">
        <v>0</v>
      </c>
      <c r="F374" s="29">
        <v>0</v>
      </c>
      <c r="G374" s="6">
        <f t="shared" si="38"/>
        <v>0</v>
      </c>
      <c r="H374" s="7">
        <f t="shared" si="38"/>
        <v>0</v>
      </c>
      <c r="I374" s="6">
        <f t="shared" si="33"/>
        <v>0</v>
      </c>
      <c r="J374" s="7">
        <f t="shared" si="34"/>
        <v>0</v>
      </c>
      <c r="K374" s="28">
        <v>0</v>
      </c>
      <c r="L374" s="29">
        <v>0</v>
      </c>
      <c r="M374" s="6">
        <f t="shared" si="35"/>
        <v>0</v>
      </c>
      <c r="N374" s="7">
        <f t="shared" si="36"/>
        <v>0</v>
      </c>
      <c r="O374" s="35"/>
      <c r="P374" s="36"/>
      <c r="Q374" s="59"/>
      <c r="R374" s="2" t="str">
        <f t="shared" si="37"/>
        <v>2927|0|0|0|0|0|0|</v>
      </c>
      <c r="S374" s="25"/>
    </row>
    <row r="375" spans="1:19" s="34" customFormat="1" ht="12.75" customHeight="1" x14ac:dyDescent="0.2">
      <c r="A375" s="70" t="s">
        <v>17</v>
      </c>
      <c r="B375" s="61" t="s">
        <v>1433</v>
      </c>
      <c r="C375" s="26">
        <v>0</v>
      </c>
      <c r="D375" s="27">
        <v>0</v>
      </c>
      <c r="E375" s="28">
        <v>0</v>
      </c>
      <c r="F375" s="29">
        <v>0</v>
      </c>
      <c r="G375" s="6">
        <f t="shared" si="38"/>
        <v>0</v>
      </c>
      <c r="H375" s="7">
        <f t="shared" si="38"/>
        <v>0</v>
      </c>
      <c r="I375" s="6">
        <f t="shared" si="33"/>
        <v>0</v>
      </c>
      <c r="J375" s="7">
        <f t="shared" si="34"/>
        <v>0</v>
      </c>
      <c r="K375" s="28">
        <v>0</v>
      </c>
      <c r="L375" s="29">
        <v>0</v>
      </c>
      <c r="M375" s="6">
        <f t="shared" si="35"/>
        <v>0</v>
      </c>
      <c r="N375" s="7">
        <f t="shared" si="36"/>
        <v>0</v>
      </c>
      <c r="O375" s="35"/>
      <c r="P375" s="36"/>
      <c r="Q375" s="59"/>
      <c r="R375" s="2" t="str">
        <f t="shared" si="37"/>
        <v>2928|0|0|0|0|0|0|</v>
      </c>
      <c r="S375" s="25"/>
    </row>
    <row r="376" spans="1:19" s="34" customFormat="1" ht="12.75" customHeight="1" x14ac:dyDescent="0.2">
      <c r="A376" s="70" t="s">
        <v>18</v>
      </c>
      <c r="B376" s="61" t="s">
        <v>1434</v>
      </c>
      <c r="C376" s="26">
        <v>0</v>
      </c>
      <c r="D376" s="27">
        <v>0</v>
      </c>
      <c r="E376" s="28">
        <v>0</v>
      </c>
      <c r="F376" s="29">
        <v>0</v>
      </c>
      <c r="G376" s="6">
        <f t="shared" si="38"/>
        <v>0</v>
      </c>
      <c r="H376" s="7">
        <f t="shared" si="38"/>
        <v>0</v>
      </c>
      <c r="I376" s="6">
        <f t="shared" si="33"/>
        <v>0</v>
      </c>
      <c r="J376" s="7">
        <f t="shared" si="34"/>
        <v>0</v>
      </c>
      <c r="K376" s="28">
        <v>0</v>
      </c>
      <c r="L376" s="29">
        <v>0</v>
      </c>
      <c r="M376" s="6">
        <f t="shared" si="35"/>
        <v>0</v>
      </c>
      <c r="N376" s="7">
        <f t="shared" si="36"/>
        <v>0</v>
      </c>
      <c r="O376" s="35"/>
      <c r="P376" s="36"/>
      <c r="Q376" s="59"/>
      <c r="R376" s="2" t="str">
        <f t="shared" si="37"/>
        <v>2931|0|0|0|0|0|0|</v>
      </c>
      <c r="S376" s="25"/>
    </row>
    <row r="377" spans="1:19" s="34" customFormat="1" ht="12.75" customHeight="1" x14ac:dyDescent="0.2">
      <c r="A377" s="70" t="s">
        <v>19</v>
      </c>
      <c r="B377" s="61" t="s">
        <v>1435</v>
      </c>
      <c r="C377" s="26">
        <v>0</v>
      </c>
      <c r="D377" s="27">
        <v>0</v>
      </c>
      <c r="E377" s="28">
        <v>0</v>
      </c>
      <c r="F377" s="29">
        <v>0</v>
      </c>
      <c r="G377" s="6">
        <f t="shared" si="38"/>
        <v>0</v>
      </c>
      <c r="H377" s="7">
        <f t="shared" si="38"/>
        <v>0</v>
      </c>
      <c r="I377" s="6">
        <f t="shared" si="33"/>
        <v>0</v>
      </c>
      <c r="J377" s="7">
        <f t="shared" si="34"/>
        <v>0</v>
      </c>
      <c r="K377" s="28">
        <v>0</v>
      </c>
      <c r="L377" s="29">
        <v>0</v>
      </c>
      <c r="M377" s="6">
        <f t="shared" si="35"/>
        <v>0</v>
      </c>
      <c r="N377" s="7">
        <f t="shared" si="36"/>
        <v>0</v>
      </c>
      <c r="O377" s="35"/>
      <c r="P377" s="36"/>
      <c r="Q377" s="59"/>
      <c r="R377" s="2" t="str">
        <f t="shared" si="37"/>
        <v>2932|0|0|0|0|0|0|</v>
      </c>
      <c r="S377" s="25"/>
    </row>
    <row r="378" spans="1:19" s="34" customFormat="1" ht="12.75" customHeight="1" x14ac:dyDescent="0.2">
      <c r="A378" s="70" t="s">
        <v>20</v>
      </c>
      <c r="B378" s="61" t="s">
        <v>1436</v>
      </c>
      <c r="C378" s="26">
        <v>0</v>
      </c>
      <c r="D378" s="27">
        <v>0</v>
      </c>
      <c r="E378" s="28">
        <v>0</v>
      </c>
      <c r="F378" s="29">
        <v>0</v>
      </c>
      <c r="G378" s="6">
        <f t="shared" si="38"/>
        <v>0</v>
      </c>
      <c r="H378" s="7">
        <f t="shared" si="38"/>
        <v>0</v>
      </c>
      <c r="I378" s="6">
        <f t="shared" si="33"/>
        <v>0</v>
      </c>
      <c r="J378" s="7">
        <f t="shared" si="34"/>
        <v>0</v>
      </c>
      <c r="K378" s="28">
        <v>0</v>
      </c>
      <c r="L378" s="29">
        <v>0</v>
      </c>
      <c r="M378" s="6">
        <f t="shared" si="35"/>
        <v>0</v>
      </c>
      <c r="N378" s="7">
        <f t="shared" si="36"/>
        <v>0</v>
      </c>
      <c r="O378" s="35"/>
      <c r="P378" s="36"/>
      <c r="Q378" s="59"/>
      <c r="R378" s="2" t="str">
        <f t="shared" si="37"/>
        <v>2941|0|0|0|0|0|0|</v>
      </c>
      <c r="S378" s="25"/>
    </row>
    <row r="379" spans="1:19" s="34" customFormat="1" ht="12.75" customHeight="1" x14ac:dyDescent="0.2">
      <c r="A379" s="70" t="s">
        <v>21</v>
      </c>
      <c r="B379" s="61" t="s">
        <v>1437</v>
      </c>
      <c r="C379" s="26">
        <v>0</v>
      </c>
      <c r="D379" s="27">
        <v>0</v>
      </c>
      <c r="E379" s="28">
        <v>0</v>
      </c>
      <c r="F379" s="29">
        <v>0</v>
      </c>
      <c r="G379" s="6">
        <f t="shared" si="38"/>
        <v>0</v>
      </c>
      <c r="H379" s="7">
        <f t="shared" si="38"/>
        <v>0</v>
      </c>
      <c r="I379" s="6">
        <f t="shared" si="33"/>
        <v>0</v>
      </c>
      <c r="J379" s="7">
        <f t="shared" si="34"/>
        <v>0</v>
      </c>
      <c r="K379" s="28">
        <v>0</v>
      </c>
      <c r="L379" s="29">
        <v>0</v>
      </c>
      <c r="M379" s="6">
        <f t="shared" si="35"/>
        <v>0</v>
      </c>
      <c r="N379" s="7">
        <f t="shared" si="36"/>
        <v>0</v>
      </c>
      <c r="O379" s="35"/>
      <c r="P379" s="36"/>
      <c r="Q379" s="59"/>
      <c r="R379" s="2" t="str">
        <f t="shared" si="37"/>
        <v>2942|0|0|0|0|0|0|</v>
      </c>
      <c r="S379" s="25"/>
    </row>
    <row r="380" spans="1:19" s="34" customFormat="1" ht="12.75" customHeight="1" x14ac:dyDescent="0.2">
      <c r="A380" s="70" t="s">
        <v>22</v>
      </c>
      <c r="B380" s="61" t="s">
        <v>1438</v>
      </c>
      <c r="C380" s="26">
        <v>0</v>
      </c>
      <c r="D380" s="27">
        <v>0</v>
      </c>
      <c r="E380" s="28">
        <v>0</v>
      </c>
      <c r="F380" s="29">
        <v>0</v>
      </c>
      <c r="G380" s="6">
        <f t="shared" si="38"/>
        <v>0</v>
      </c>
      <c r="H380" s="7">
        <f t="shared" si="38"/>
        <v>0</v>
      </c>
      <c r="I380" s="6">
        <f t="shared" si="33"/>
        <v>0</v>
      </c>
      <c r="J380" s="7">
        <f t="shared" si="34"/>
        <v>0</v>
      </c>
      <c r="K380" s="28">
        <v>0</v>
      </c>
      <c r="L380" s="29">
        <v>0</v>
      </c>
      <c r="M380" s="6">
        <f t="shared" si="35"/>
        <v>0</v>
      </c>
      <c r="N380" s="7">
        <f t="shared" si="36"/>
        <v>0</v>
      </c>
      <c r="O380" s="35"/>
      <c r="P380" s="36"/>
      <c r="Q380" s="59"/>
      <c r="R380" s="2" t="str">
        <f t="shared" si="37"/>
        <v>2943|0|0|0|0|0|0|</v>
      </c>
      <c r="S380" s="25"/>
    </row>
    <row r="381" spans="1:19" s="34" customFormat="1" ht="12.75" customHeight="1" x14ac:dyDescent="0.2">
      <c r="A381" s="70" t="s">
        <v>23</v>
      </c>
      <c r="B381" s="61" t="s">
        <v>1439</v>
      </c>
      <c r="C381" s="26">
        <v>0</v>
      </c>
      <c r="D381" s="27">
        <v>0</v>
      </c>
      <c r="E381" s="28">
        <v>0</v>
      </c>
      <c r="F381" s="29">
        <v>0</v>
      </c>
      <c r="G381" s="6">
        <f t="shared" si="38"/>
        <v>0</v>
      </c>
      <c r="H381" s="7">
        <f t="shared" si="38"/>
        <v>0</v>
      </c>
      <c r="I381" s="6">
        <f t="shared" si="33"/>
        <v>0</v>
      </c>
      <c r="J381" s="7">
        <f t="shared" si="34"/>
        <v>0</v>
      </c>
      <c r="K381" s="28">
        <v>0</v>
      </c>
      <c r="L381" s="29">
        <v>0</v>
      </c>
      <c r="M381" s="6">
        <f t="shared" si="35"/>
        <v>0</v>
      </c>
      <c r="N381" s="7">
        <f t="shared" si="36"/>
        <v>0</v>
      </c>
      <c r="O381" s="35"/>
      <c r="P381" s="36"/>
      <c r="Q381" s="59"/>
      <c r="R381" s="2" t="str">
        <f t="shared" si="37"/>
        <v>2944|0|0|0|0|0|0|</v>
      </c>
      <c r="S381" s="25"/>
    </row>
    <row r="382" spans="1:19" s="34" customFormat="1" ht="12.75" customHeight="1" x14ac:dyDescent="0.2">
      <c r="A382" s="70" t="s">
        <v>24</v>
      </c>
      <c r="B382" s="61" t="s">
        <v>1440</v>
      </c>
      <c r="C382" s="26">
        <v>0</v>
      </c>
      <c r="D382" s="27">
        <v>0</v>
      </c>
      <c r="E382" s="28">
        <v>0</v>
      </c>
      <c r="F382" s="29">
        <v>0</v>
      </c>
      <c r="G382" s="6">
        <f t="shared" si="38"/>
        <v>0</v>
      </c>
      <c r="H382" s="7">
        <f t="shared" si="38"/>
        <v>0</v>
      </c>
      <c r="I382" s="6">
        <f t="shared" si="33"/>
        <v>0</v>
      </c>
      <c r="J382" s="7">
        <f t="shared" si="34"/>
        <v>0</v>
      </c>
      <c r="K382" s="28">
        <v>0</v>
      </c>
      <c r="L382" s="29">
        <v>0</v>
      </c>
      <c r="M382" s="6">
        <f t="shared" si="35"/>
        <v>0</v>
      </c>
      <c r="N382" s="7">
        <f t="shared" si="36"/>
        <v>0</v>
      </c>
      <c r="O382" s="35"/>
      <c r="P382" s="36"/>
      <c r="Q382" s="59"/>
      <c r="R382" s="2" t="str">
        <f t="shared" si="37"/>
        <v>2945|0|0|0|0|0|0|</v>
      </c>
      <c r="S382" s="25"/>
    </row>
    <row r="383" spans="1:19" s="34" customFormat="1" ht="12.75" customHeight="1" x14ac:dyDescent="0.2">
      <c r="A383" s="70" t="s">
        <v>25</v>
      </c>
      <c r="B383" s="61" t="s">
        <v>1441</v>
      </c>
      <c r="C383" s="26">
        <v>0</v>
      </c>
      <c r="D383" s="27">
        <v>0</v>
      </c>
      <c r="E383" s="28">
        <v>0</v>
      </c>
      <c r="F383" s="29">
        <v>0</v>
      </c>
      <c r="G383" s="6">
        <f t="shared" si="38"/>
        <v>0</v>
      </c>
      <c r="H383" s="7">
        <f t="shared" si="38"/>
        <v>0</v>
      </c>
      <c r="I383" s="6">
        <f t="shared" si="33"/>
        <v>0</v>
      </c>
      <c r="J383" s="7">
        <f t="shared" si="34"/>
        <v>0</v>
      </c>
      <c r="K383" s="28">
        <v>0</v>
      </c>
      <c r="L383" s="29">
        <v>0</v>
      </c>
      <c r="M383" s="6">
        <f t="shared" si="35"/>
        <v>0</v>
      </c>
      <c r="N383" s="7">
        <f t="shared" si="36"/>
        <v>0</v>
      </c>
      <c r="O383" s="35"/>
      <c r="P383" s="36"/>
      <c r="Q383" s="59"/>
      <c r="R383" s="2" t="str">
        <f t="shared" si="37"/>
        <v>2947|0|0|0|0|0|0|</v>
      </c>
      <c r="S383" s="25"/>
    </row>
    <row r="384" spans="1:19" s="34" customFormat="1" ht="12.75" customHeight="1" x14ac:dyDescent="0.2">
      <c r="A384" s="70" t="s">
        <v>26</v>
      </c>
      <c r="B384" s="61" t="s">
        <v>1442</v>
      </c>
      <c r="C384" s="26">
        <v>0</v>
      </c>
      <c r="D384" s="27">
        <v>0</v>
      </c>
      <c r="E384" s="28">
        <v>0</v>
      </c>
      <c r="F384" s="29">
        <v>0</v>
      </c>
      <c r="G384" s="6">
        <f t="shared" si="38"/>
        <v>0</v>
      </c>
      <c r="H384" s="7">
        <f t="shared" si="38"/>
        <v>0</v>
      </c>
      <c r="I384" s="6">
        <f t="shared" si="33"/>
        <v>0</v>
      </c>
      <c r="J384" s="7">
        <f t="shared" si="34"/>
        <v>0</v>
      </c>
      <c r="K384" s="28">
        <v>0</v>
      </c>
      <c r="L384" s="29">
        <v>0</v>
      </c>
      <c r="M384" s="6">
        <f t="shared" si="35"/>
        <v>0</v>
      </c>
      <c r="N384" s="7">
        <f t="shared" si="36"/>
        <v>0</v>
      </c>
      <c r="O384" s="35"/>
      <c r="P384" s="36"/>
      <c r="Q384" s="59"/>
      <c r="R384" s="2" t="str">
        <f t="shared" si="37"/>
        <v>2948|0|0|0|0|0|0|</v>
      </c>
      <c r="S384" s="25"/>
    </row>
    <row r="385" spans="1:19" s="34" customFormat="1" ht="12.75" customHeight="1" x14ac:dyDescent="0.2">
      <c r="A385" s="70" t="s">
        <v>27</v>
      </c>
      <c r="B385" s="61" t="s">
        <v>1443</v>
      </c>
      <c r="C385" s="26">
        <v>0</v>
      </c>
      <c r="D385" s="27">
        <v>0</v>
      </c>
      <c r="E385" s="28">
        <v>0</v>
      </c>
      <c r="F385" s="29">
        <v>0</v>
      </c>
      <c r="G385" s="6">
        <f t="shared" si="38"/>
        <v>0</v>
      </c>
      <c r="H385" s="7">
        <f t="shared" si="38"/>
        <v>0</v>
      </c>
      <c r="I385" s="6">
        <f t="shared" si="33"/>
        <v>0</v>
      </c>
      <c r="J385" s="7">
        <f t="shared" si="34"/>
        <v>0</v>
      </c>
      <c r="K385" s="28">
        <v>0</v>
      </c>
      <c r="L385" s="29">
        <v>0</v>
      </c>
      <c r="M385" s="6">
        <f t="shared" si="35"/>
        <v>0</v>
      </c>
      <c r="N385" s="7">
        <f t="shared" si="36"/>
        <v>0</v>
      </c>
      <c r="O385" s="35"/>
      <c r="P385" s="36"/>
      <c r="Q385" s="59"/>
      <c r="R385" s="2" t="str">
        <f t="shared" si="37"/>
        <v>2951|0|0|0|0|0|0|</v>
      </c>
      <c r="S385" s="25"/>
    </row>
    <row r="386" spans="1:19" s="34" customFormat="1" ht="12.75" customHeight="1" x14ac:dyDescent="0.2">
      <c r="A386" s="70" t="s">
        <v>28</v>
      </c>
      <c r="B386" s="61" t="s">
        <v>1444</v>
      </c>
      <c r="C386" s="26">
        <v>0</v>
      </c>
      <c r="D386" s="27">
        <v>0</v>
      </c>
      <c r="E386" s="28">
        <v>0</v>
      </c>
      <c r="F386" s="29">
        <v>0</v>
      </c>
      <c r="G386" s="6">
        <f t="shared" si="38"/>
        <v>0</v>
      </c>
      <c r="H386" s="7">
        <f t="shared" si="38"/>
        <v>0</v>
      </c>
      <c r="I386" s="6">
        <f t="shared" si="33"/>
        <v>0</v>
      </c>
      <c r="J386" s="7">
        <f t="shared" si="34"/>
        <v>0</v>
      </c>
      <c r="K386" s="28">
        <v>0</v>
      </c>
      <c r="L386" s="29">
        <v>0</v>
      </c>
      <c r="M386" s="6">
        <f t="shared" si="35"/>
        <v>0</v>
      </c>
      <c r="N386" s="7">
        <f t="shared" si="36"/>
        <v>0</v>
      </c>
      <c r="O386" s="35"/>
      <c r="P386" s="36"/>
      <c r="Q386" s="59"/>
      <c r="R386" s="2" t="str">
        <f t="shared" si="37"/>
        <v>2952|0|0|0|0|0|0|</v>
      </c>
      <c r="S386" s="25"/>
    </row>
    <row r="387" spans="1:19" s="34" customFormat="1" ht="12.75" customHeight="1" x14ac:dyDescent="0.2">
      <c r="A387" s="70" t="s">
        <v>29</v>
      </c>
      <c r="B387" s="61" t="s">
        <v>1445</v>
      </c>
      <c r="C387" s="26">
        <v>0</v>
      </c>
      <c r="D387" s="27">
        <v>0</v>
      </c>
      <c r="E387" s="28">
        <v>0</v>
      </c>
      <c r="F387" s="29">
        <v>0</v>
      </c>
      <c r="G387" s="6">
        <f t="shared" si="38"/>
        <v>0</v>
      </c>
      <c r="H387" s="7">
        <f t="shared" si="38"/>
        <v>0</v>
      </c>
      <c r="I387" s="6">
        <f t="shared" si="33"/>
        <v>0</v>
      </c>
      <c r="J387" s="7">
        <f t="shared" si="34"/>
        <v>0</v>
      </c>
      <c r="K387" s="28">
        <v>0</v>
      </c>
      <c r="L387" s="29">
        <v>0</v>
      </c>
      <c r="M387" s="6">
        <f t="shared" si="35"/>
        <v>0</v>
      </c>
      <c r="N387" s="7">
        <f t="shared" si="36"/>
        <v>0</v>
      </c>
      <c r="O387" s="35"/>
      <c r="P387" s="36"/>
      <c r="Q387" s="59"/>
      <c r="R387" s="2" t="str">
        <f t="shared" si="37"/>
        <v>2953|0|0|0|0|0|0|</v>
      </c>
      <c r="S387" s="25"/>
    </row>
    <row r="388" spans="1:19" s="34" customFormat="1" ht="12.75" customHeight="1" x14ac:dyDescent="0.2">
      <c r="A388" s="70" t="s">
        <v>30</v>
      </c>
      <c r="B388" s="61" t="s">
        <v>1446</v>
      </c>
      <c r="C388" s="26">
        <v>0</v>
      </c>
      <c r="D388" s="27">
        <v>0</v>
      </c>
      <c r="E388" s="28">
        <v>0</v>
      </c>
      <c r="F388" s="29">
        <v>0</v>
      </c>
      <c r="G388" s="6">
        <f t="shared" si="38"/>
        <v>0</v>
      </c>
      <c r="H388" s="7">
        <f t="shared" si="38"/>
        <v>0</v>
      </c>
      <c r="I388" s="6">
        <f t="shared" si="33"/>
        <v>0</v>
      </c>
      <c r="J388" s="7">
        <f t="shared" si="34"/>
        <v>0</v>
      </c>
      <c r="K388" s="28">
        <v>0</v>
      </c>
      <c r="L388" s="29">
        <v>0</v>
      </c>
      <c r="M388" s="6">
        <f t="shared" si="35"/>
        <v>0</v>
      </c>
      <c r="N388" s="7">
        <f t="shared" si="36"/>
        <v>0</v>
      </c>
      <c r="O388" s="35"/>
      <c r="P388" s="36"/>
      <c r="Q388" s="59"/>
      <c r="R388" s="2" t="str">
        <f t="shared" si="37"/>
        <v>2954|0|0|0|0|0|0|</v>
      </c>
      <c r="S388" s="25"/>
    </row>
    <row r="389" spans="1:19" s="34" customFormat="1" ht="12.75" customHeight="1" x14ac:dyDescent="0.2">
      <c r="A389" s="70" t="s">
        <v>31</v>
      </c>
      <c r="B389" s="61" t="s">
        <v>1447</v>
      </c>
      <c r="C389" s="26">
        <v>0</v>
      </c>
      <c r="D389" s="27">
        <v>0</v>
      </c>
      <c r="E389" s="28">
        <v>0</v>
      </c>
      <c r="F389" s="29">
        <v>0</v>
      </c>
      <c r="G389" s="6">
        <f t="shared" si="38"/>
        <v>0</v>
      </c>
      <c r="H389" s="7">
        <f t="shared" si="38"/>
        <v>0</v>
      </c>
      <c r="I389" s="6">
        <f t="shared" ref="I389:I453" si="39">IF($G389-$H389&gt;=0,$G389-$H389,0)</f>
        <v>0</v>
      </c>
      <c r="J389" s="7">
        <f t="shared" ref="J389:J453" si="40">IF($G389-$H389&lt;0,-$G389+$H389,0)</f>
        <v>0</v>
      </c>
      <c r="K389" s="28">
        <v>0</v>
      </c>
      <c r="L389" s="29">
        <v>0</v>
      </c>
      <c r="M389" s="6">
        <f t="shared" ref="M389:M453" si="41">IF($I389-$J389+$K389-$L389&gt;=0,$I389-$J389+$K389-$L389,0)</f>
        <v>0</v>
      </c>
      <c r="N389" s="7">
        <f t="shared" ref="N389:N453" si="42">IF($I389-$J389+$K389-$L389&lt;0,-($I389-$J389+$K389-$L389),0)</f>
        <v>0</v>
      </c>
      <c r="O389" s="35"/>
      <c r="P389" s="36"/>
      <c r="Q389" s="59"/>
      <c r="R389" s="2" t="str">
        <f t="shared" ref="R389:R452" si="43">CONCATENATE(A389,"|",C389,"|",D389,"|",E389,"|",F389,"|",K389,"|",L389,"|")</f>
        <v>2961|0|0|0|0|0|0|</v>
      </c>
      <c r="S389" s="25"/>
    </row>
    <row r="390" spans="1:19" s="34" customFormat="1" ht="12.75" customHeight="1" x14ac:dyDescent="0.2">
      <c r="A390" s="70" t="s">
        <v>32</v>
      </c>
      <c r="B390" s="61" t="s">
        <v>1448</v>
      </c>
      <c r="C390" s="26">
        <v>0</v>
      </c>
      <c r="D390" s="27">
        <v>0</v>
      </c>
      <c r="E390" s="28">
        <v>0</v>
      </c>
      <c r="F390" s="29">
        <v>0</v>
      </c>
      <c r="G390" s="6">
        <f t="shared" si="38"/>
        <v>0</v>
      </c>
      <c r="H390" s="7">
        <f t="shared" si="38"/>
        <v>0</v>
      </c>
      <c r="I390" s="6">
        <f t="shared" si="39"/>
        <v>0</v>
      </c>
      <c r="J390" s="7">
        <f t="shared" si="40"/>
        <v>0</v>
      </c>
      <c r="K390" s="28">
        <v>0</v>
      </c>
      <c r="L390" s="29">
        <v>0</v>
      </c>
      <c r="M390" s="6">
        <f t="shared" si="41"/>
        <v>0</v>
      </c>
      <c r="N390" s="7">
        <f t="shared" si="42"/>
        <v>0</v>
      </c>
      <c r="O390" s="35"/>
      <c r="P390" s="36"/>
      <c r="Q390" s="59"/>
      <c r="R390" s="2" t="str">
        <f t="shared" si="43"/>
        <v>2962|0|0|0|0|0|0|</v>
      </c>
      <c r="S390" s="25"/>
    </row>
    <row r="391" spans="1:19" s="34" customFormat="1" ht="12.75" customHeight="1" x14ac:dyDescent="0.2">
      <c r="A391" s="70" t="s">
        <v>33</v>
      </c>
      <c r="B391" s="61" t="s">
        <v>1449</v>
      </c>
      <c r="C391" s="26">
        <v>0</v>
      </c>
      <c r="D391" s="27">
        <v>0</v>
      </c>
      <c r="E391" s="28">
        <v>0</v>
      </c>
      <c r="F391" s="29">
        <v>0</v>
      </c>
      <c r="G391" s="6">
        <f t="shared" si="38"/>
        <v>0</v>
      </c>
      <c r="H391" s="7">
        <f t="shared" si="38"/>
        <v>0</v>
      </c>
      <c r="I391" s="6">
        <f t="shared" si="39"/>
        <v>0</v>
      </c>
      <c r="J391" s="7">
        <f t="shared" si="40"/>
        <v>0</v>
      </c>
      <c r="K391" s="28">
        <v>0</v>
      </c>
      <c r="L391" s="29">
        <v>0</v>
      </c>
      <c r="M391" s="6">
        <f t="shared" si="41"/>
        <v>0</v>
      </c>
      <c r="N391" s="7">
        <f t="shared" si="42"/>
        <v>0</v>
      </c>
      <c r="O391" s="35"/>
      <c r="P391" s="36"/>
      <c r="Q391" s="59"/>
      <c r="R391" s="2" t="str">
        <f t="shared" si="43"/>
        <v>2963|0|0|0|0|0|0|</v>
      </c>
      <c r="S391" s="25"/>
    </row>
    <row r="392" spans="1:19" s="34" customFormat="1" ht="12.75" customHeight="1" x14ac:dyDescent="0.2">
      <c r="A392" s="70" t="s">
        <v>34</v>
      </c>
      <c r="B392" s="61" t="s">
        <v>1450</v>
      </c>
      <c r="C392" s="26">
        <v>0</v>
      </c>
      <c r="D392" s="27">
        <v>0</v>
      </c>
      <c r="E392" s="28">
        <v>0</v>
      </c>
      <c r="F392" s="29">
        <v>0</v>
      </c>
      <c r="G392" s="6">
        <f t="shared" si="38"/>
        <v>0</v>
      </c>
      <c r="H392" s="7">
        <f t="shared" si="38"/>
        <v>0</v>
      </c>
      <c r="I392" s="6">
        <f t="shared" si="39"/>
        <v>0</v>
      </c>
      <c r="J392" s="7">
        <f t="shared" si="40"/>
        <v>0</v>
      </c>
      <c r="K392" s="28">
        <v>0</v>
      </c>
      <c r="L392" s="29">
        <v>0</v>
      </c>
      <c r="M392" s="6">
        <f t="shared" si="41"/>
        <v>0</v>
      </c>
      <c r="N392" s="7">
        <f t="shared" si="42"/>
        <v>0</v>
      </c>
      <c r="O392" s="35"/>
      <c r="P392" s="36"/>
      <c r="Q392" s="59"/>
      <c r="R392" s="2" t="str">
        <f t="shared" si="43"/>
        <v>2971|0|0|0|0|0|0|</v>
      </c>
      <c r="S392" s="25"/>
    </row>
    <row r="393" spans="1:19" s="34" customFormat="1" ht="12.75" customHeight="1" x14ac:dyDescent="0.2">
      <c r="A393" s="70" t="s">
        <v>35</v>
      </c>
      <c r="B393" s="61" t="s">
        <v>1451</v>
      </c>
      <c r="C393" s="26">
        <v>0</v>
      </c>
      <c r="D393" s="27">
        <v>0</v>
      </c>
      <c r="E393" s="28">
        <v>0</v>
      </c>
      <c r="F393" s="29">
        <v>0</v>
      </c>
      <c r="G393" s="6">
        <f t="shared" si="38"/>
        <v>0</v>
      </c>
      <c r="H393" s="7">
        <f t="shared" si="38"/>
        <v>0</v>
      </c>
      <c r="I393" s="6">
        <f t="shared" si="39"/>
        <v>0</v>
      </c>
      <c r="J393" s="7">
        <f t="shared" si="40"/>
        <v>0</v>
      </c>
      <c r="K393" s="28">
        <v>0</v>
      </c>
      <c r="L393" s="29">
        <v>0</v>
      </c>
      <c r="M393" s="6">
        <f t="shared" si="41"/>
        <v>0</v>
      </c>
      <c r="N393" s="7">
        <f t="shared" si="42"/>
        <v>0</v>
      </c>
      <c r="O393" s="35"/>
      <c r="P393" s="36"/>
      <c r="Q393" s="59"/>
      <c r="R393" s="2" t="str">
        <f t="shared" si="43"/>
        <v>2972|0|0|0|0|0|0|</v>
      </c>
      <c r="S393" s="25"/>
    </row>
    <row r="394" spans="1:19" s="34" customFormat="1" ht="12.75" customHeight="1" x14ac:dyDescent="0.2">
      <c r="A394" s="70" t="s">
        <v>36</v>
      </c>
      <c r="B394" s="61" t="s">
        <v>1452</v>
      </c>
      <c r="C394" s="26">
        <v>0</v>
      </c>
      <c r="D394" s="27">
        <v>0</v>
      </c>
      <c r="E394" s="28">
        <v>0</v>
      </c>
      <c r="F394" s="29">
        <v>0</v>
      </c>
      <c r="G394" s="6">
        <f t="shared" si="38"/>
        <v>0</v>
      </c>
      <c r="H394" s="7">
        <f t="shared" si="38"/>
        <v>0</v>
      </c>
      <c r="I394" s="6">
        <f t="shared" si="39"/>
        <v>0</v>
      </c>
      <c r="J394" s="7">
        <f t="shared" si="40"/>
        <v>0</v>
      </c>
      <c r="K394" s="28">
        <v>0</v>
      </c>
      <c r="L394" s="29">
        <v>0</v>
      </c>
      <c r="M394" s="6">
        <f t="shared" si="41"/>
        <v>0</v>
      </c>
      <c r="N394" s="7">
        <f t="shared" si="42"/>
        <v>0</v>
      </c>
      <c r="O394" s="35"/>
      <c r="P394" s="36"/>
      <c r="Q394" s="59"/>
      <c r="R394" s="2" t="str">
        <f t="shared" si="43"/>
        <v>2981|0|0|0|0|0|0|</v>
      </c>
      <c r="S394" s="25"/>
    </row>
    <row r="395" spans="1:19" s="34" customFormat="1" ht="12.75" customHeight="1" x14ac:dyDescent="0.2">
      <c r="A395" s="70" t="s">
        <v>37</v>
      </c>
      <c r="B395" s="61" t="s">
        <v>1453</v>
      </c>
      <c r="C395" s="26">
        <v>0</v>
      </c>
      <c r="D395" s="27">
        <v>0</v>
      </c>
      <c r="E395" s="28">
        <v>0</v>
      </c>
      <c r="F395" s="29">
        <v>0</v>
      </c>
      <c r="G395" s="6">
        <f t="shared" si="38"/>
        <v>0</v>
      </c>
      <c r="H395" s="7">
        <f t="shared" si="38"/>
        <v>0</v>
      </c>
      <c r="I395" s="6">
        <f t="shared" si="39"/>
        <v>0</v>
      </c>
      <c r="J395" s="7">
        <f t="shared" si="40"/>
        <v>0</v>
      </c>
      <c r="K395" s="28">
        <v>0</v>
      </c>
      <c r="L395" s="29">
        <v>0</v>
      </c>
      <c r="M395" s="6">
        <f t="shared" si="41"/>
        <v>0</v>
      </c>
      <c r="N395" s="7">
        <f t="shared" si="42"/>
        <v>0</v>
      </c>
      <c r="O395" s="35"/>
      <c r="P395" s="36"/>
      <c r="Q395" s="59"/>
      <c r="R395" s="2" t="str">
        <f t="shared" si="43"/>
        <v>2982|0|0|0|0|0|0|</v>
      </c>
      <c r="S395" s="25"/>
    </row>
    <row r="396" spans="1:19" s="34" customFormat="1" ht="12.75" customHeight="1" x14ac:dyDescent="0.2">
      <c r="A396" s="70" t="s">
        <v>38</v>
      </c>
      <c r="B396" s="61" t="s">
        <v>1454</v>
      </c>
      <c r="C396" s="26">
        <v>0</v>
      </c>
      <c r="D396" s="27">
        <v>0</v>
      </c>
      <c r="E396" s="28">
        <v>0</v>
      </c>
      <c r="F396" s="29">
        <v>0</v>
      </c>
      <c r="G396" s="6">
        <f t="shared" si="38"/>
        <v>0</v>
      </c>
      <c r="H396" s="7">
        <f t="shared" si="38"/>
        <v>0</v>
      </c>
      <c r="I396" s="6">
        <f t="shared" si="39"/>
        <v>0</v>
      </c>
      <c r="J396" s="7">
        <f t="shared" si="40"/>
        <v>0</v>
      </c>
      <c r="K396" s="28">
        <v>0</v>
      </c>
      <c r="L396" s="29">
        <v>0</v>
      </c>
      <c r="M396" s="6">
        <f t="shared" si="41"/>
        <v>0</v>
      </c>
      <c r="N396" s="7">
        <f t="shared" si="42"/>
        <v>0</v>
      </c>
      <c r="O396" s="35"/>
      <c r="P396" s="36"/>
      <c r="Q396" s="59"/>
      <c r="R396" s="2" t="str">
        <f t="shared" si="43"/>
        <v>2983|0|0|0|0|0|0|</v>
      </c>
      <c r="S396" s="25"/>
    </row>
    <row r="397" spans="1:19" s="34" customFormat="1" ht="12.75" customHeight="1" x14ac:dyDescent="0.2">
      <c r="A397" s="70" t="s">
        <v>39</v>
      </c>
      <c r="B397" s="61" t="s">
        <v>1455</v>
      </c>
      <c r="C397" s="26">
        <v>0</v>
      </c>
      <c r="D397" s="27">
        <v>0</v>
      </c>
      <c r="E397" s="28">
        <v>0</v>
      </c>
      <c r="F397" s="29">
        <v>0</v>
      </c>
      <c r="G397" s="6">
        <f t="shared" si="38"/>
        <v>0</v>
      </c>
      <c r="H397" s="7">
        <f t="shared" si="38"/>
        <v>0</v>
      </c>
      <c r="I397" s="6">
        <f t="shared" si="39"/>
        <v>0</v>
      </c>
      <c r="J397" s="7">
        <f t="shared" si="40"/>
        <v>0</v>
      </c>
      <c r="K397" s="28">
        <v>0</v>
      </c>
      <c r="L397" s="29">
        <v>0</v>
      </c>
      <c r="M397" s="6">
        <f t="shared" si="41"/>
        <v>0</v>
      </c>
      <c r="N397" s="7">
        <f t="shared" si="42"/>
        <v>0</v>
      </c>
      <c r="O397" s="35"/>
      <c r="P397" s="36"/>
      <c r="Q397" s="59"/>
      <c r="R397" s="2" t="str">
        <f t="shared" si="43"/>
        <v>2984|0|0|0|0|0|0|</v>
      </c>
      <c r="S397" s="25"/>
    </row>
    <row r="398" spans="1:19" s="34" customFormat="1" ht="12.75" customHeight="1" x14ac:dyDescent="0.2">
      <c r="A398" s="70" t="s">
        <v>40</v>
      </c>
      <c r="B398" s="61" t="s">
        <v>1456</v>
      </c>
      <c r="C398" s="26">
        <v>0</v>
      </c>
      <c r="D398" s="27">
        <v>0</v>
      </c>
      <c r="E398" s="28">
        <v>0</v>
      </c>
      <c r="F398" s="29">
        <v>0</v>
      </c>
      <c r="G398" s="6">
        <f t="shared" si="38"/>
        <v>0</v>
      </c>
      <c r="H398" s="7">
        <f t="shared" si="38"/>
        <v>0</v>
      </c>
      <c r="I398" s="6">
        <f t="shared" si="39"/>
        <v>0</v>
      </c>
      <c r="J398" s="7">
        <f t="shared" si="40"/>
        <v>0</v>
      </c>
      <c r="K398" s="28">
        <v>0</v>
      </c>
      <c r="L398" s="29">
        <v>0</v>
      </c>
      <c r="M398" s="6">
        <f t="shared" si="41"/>
        <v>0</v>
      </c>
      <c r="N398" s="7">
        <f t="shared" si="42"/>
        <v>0</v>
      </c>
      <c r="O398" s="35"/>
      <c r="P398" s="36"/>
      <c r="Q398" s="59"/>
      <c r="R398" s="2" t="str">
        <f t="shared" si="43"/>
        <v>30111|0|0|0|0|0|0|</v>
      </c>
      <c r="S398" s="25"/>
    </row>
    <row r="399" spans="1:19" s="34" customFormat="1" ht="12.75" customHeight="1" x14ac:dyDescent="0.2">
      <c r="A399" s="70" t="s">
        <v>41</v>
      </c>
      <c r="B399" s="61" t="s">
        <v>1457</v>
      </c>
      <c r="C399" s="26">
        <v>0</v>
      </c>
      <c r="D399" s="27">
        <v>0</v>
      </c>
      <c r="E399" s="28">
        <v>0</v>
      </c>
      <c r="F399" s="29">
        <v>0</v>
      </c>
      <c r="G399" s="6">
        <f t="shared" si="38"/>
        <v>0</v>
      </c>
      <c r="H399" s="7">
        <f t="shared" si="38"/>
        <v>0</v>
      </c>
      <c r="I399" s="6">
        <f t="shared" si="39"/>
        <v>0</v>
      </c>
      <c r="J399" s="7">
        <f t="shared" si="40"/>
        <v>0</v>
      </c>
      <c r="K399" s="28">
        <v>0</v>
      </c>
      <c r="L399" s="29">
        <v>0</v>
      </c>
      <c r="M399" s="6">
        <f t="shared" si="41"/>
        <v>0</v>
      </c>
      <c r="N399" s="7">
        <f t="shared" si="42"/>
        <v>0</v>
      </c>
      <c r="O399" s="35"/>
      <c r="P399" s="36"/>
      <c r="Q399" s="59"/>
      <c r="R399" s="2" t="str">
        <f t="shared" si="43"/>
        <v>30112|0|0|0|0|0|0|</v>
      </c>
      <c r="S399" s="25"/>
    </row>
    <row r="400" spans="1:19" s="34" customFormat="1" ht="12.75" customHeight="1" x14ac:dyDescent="0.2">
      <c r="A400" s="70" t="s">
        <v>42</v>
      </c>
      <c r="B400" s="61" t="s">
        <v>1458</v>
      </c>
      <c r="C400" s="26">
        <v>0</v>
      </c>
      <c r="D400" s="27">
        <v>0</v>
      </c>
      <c r="E400" s="28">
        <v>0</v>
      </c>
      <c r="F400" s="29">
        <v>0</v>
      </c>
      <c r="G400" s="6">
        <f t="shared" si="38"/>
        <v>0</v>
      </c>
      <c r="H400" s="7">
        <f t="shared" si="38"/>
        <v>0</v>
      </c>
      <c r="I400" s="6">
        <f t="shared" si="39"/>
        <v>0</v>
      </c>
      <c r="J400" s="7">
        <f t="shared" si="40"/>
        <v>0</v>
      </c>
      <c r="K400" s="28">
        <v>0</v>
      </c>
      <c r="L400" s="29">
        <v>0</v>
      </c>
      <c r="M400" s="6">
        <f t="shared" si="41"/>
        <v>0</v>
      </c>
      <c r="N400" s="7">
        <f t="shared" si="42"/>
        <v>0</v>
      </c>
      <c r="O400" s="35"/>
      <c r="P400" s="36"/>
      <c r="Q400" s="59"/>
      <c r="R400" s="2" t="str">
        <f t="shared" si="43"/>
        <v>30113|0|0|0|0|0|0|</v>
      </c>
      <c r="S400" s="25"/>
    </row>
    <row r="401" spans="1:19" s="34" customFormat="1" ht="12.75" customHeight="1" x14ac:dyDescent="0.2">
      <c r="A401" s="70" t="s">
        <v>43</v>
      </c>
      <c r="B401" s="61" t="s">
        <v>1459</v>
      </c>
      <c r="C401" s="26">
        <v>0</v>
      </c>
      <c r="D401" s="27">
        <v>0</v>
      </c>
      <c r="E401" s="28">
        <v>0</v>
      </c>
      <c r="F401" s="29">
        <v>0</v>
      </c>
      <c r="G401" s="6">
        <f t="shared" si="38"/>
        <v>0</v>
      </c>
      <c r="H401" s="7">
        <f t="shared" si="38"/>
        <v>0</v>
      </c>
      <c r="I401" s="6">
        <f t="shared" si="39"/>
        <v>0</v>
      </c>
      <c r="J401" s="7">
        <f t="shared" si="40"/>
        <v>0</v>
      </c>
      <c r="K401" s="28">
        <v>0</v>
      </c>
      <c r="L401" s="29">
        <v>0</v>
      </c>
      <c r="M401" s="6">
        <f t="shared" si="41"/>
        <v>0</v>
      </c>
      <c r="N401" s="7">
        <f t="shared" si="42"/>
        <v>0</v>
      </c>
      <c r="O401" s="35"/>
      <c r="P401" s="36"/>
      <c r="Q401" s="59"/>
      <c r="R401" s="2" t="str">
        <f t="shared" si="43"/>
        <v>30114|0|0|0|0|0|0|</v>
      </c>
      <c r="S401" s="25"/>
    </row>
    <row r="402" spans="1:19" s="34" customFormat="1" ht="12.75" customHeight="1" x14ac:dyDescent="0.2">
      <c r="A402" s="70" t="s">
        <v>44</v>
      </c>
      <c r="B402" s="61" t="s">
        <v>1460</v>
      </c>
      <c r="C402" s="26">
        <v>0</v>
      </c>
      <c r="D402" s="27">
        <v>0</v>
      </c>
      <c r="E402" s="28">
        <v>0</v>
      </c>
      <c r="F402" s="29">
        <v>0</v>
      </c>
      <c r="G402" s="6">
        <f t="shared" si="38"/>
        <v>0</v>
      </c>
      <c r="H402" s="7">
        <f t="shared" si="38"/>
        <v>0</v>
      </c>
      <c r="I402" s="6">
        <f t="shared" si="39"/>
        <v>0</v>
      </c>
      <c r="J402" s="7">
        <f t="shared" si="40"/>
        <v>0</v>
      </c>
      <c r="K402" s="28">
        <v>0</v>
      </c>
      <c r="L402" s="29">
        <v>0</v>
      </c>
      <c r="M402" s="6">
        <f t="shared" si="41"/>
        <v>0</v>
      </c>
      <c r="N402" s="7">
        <f t="shared" si="42"/>
        <v>0</v>
      </c>
      <c r="O402" s="35"/>
      <c r="P402" s="36"/>
      <c r="Q402" s="59"/>
      <c r="R402" s="2" t="str">
        <f t="shared" si="43"/>
        <v>3021|0|0|0|0|0|0|</v>
      </c>
      <c r="S402" s="25"/>
    </row>
    <row r="403" spans="1:19" s="34" customFormat="1" ht="12.75" customHeight="1" x14ac:dyDescent="0.2">
      <c r="A403" s="70" t="s">
        <v>1461</v>
      </c>
      <c r="B403" s="61" t="s">
        <v>1462</v>
      </c>
      <c r="C403" s="26">
        <v>0</v>
      </c>
      <c r="D403" s="27">
        <v>0</v>
      </c>
      <c r="E403" s="28">
        <v>0</v>
      </c>
      <c r="F403" s="29">
        <v>0</v>
      </c>
      <c r="G403" s="6">
        <f t="shared" si="38"/>
        <v>0</v>
      </c>
      <c r="H403" s="7">
        <f t="shared" si="38"/>
        <v>0</v>
      </c>
      <c r="I403" s="6">
        <f t="shared" si="39"/>
        <v>0</v>
      </c>
      <c r="J403" s="7">
        <f t="shared" si="40"/>
        <v>0</v>
      </c>
      <c r="K403" s="28">
        <v>0</v>
      </c>
      <c r="L403" s="29">
        <v>0</v>
      </c>
      <c r="M403" s="6">
        <f t="shared" si="41"/>
        <v>0</v>
      </c>
      <c r="N403" s="7">
        <f t="shared" si="42"/>
        <v>0</v>
      </c>
      <c r="O403" s="35"/>
      <c r="P403" s="36"/>
      <c r="Q403" s="59"/>
      <c r="R403" s="2" t="str">
        <f t="shared" si="43"/>
        <v>30221|0|0|0|0|0|0|</v>
      </c>
      <c r="S403" s="25"/>
    </row>
    <row r="404" spans="1:19" s="34" customFormat="1" ht="12.75" customHeight="1" x14ac:dyDescent="0.2">
      <c r="A404" s="70" t="s">
        <v>1463</v>
      </c>
      <c r="B404" s="61" t="s">
        <v>1464</v>
      </c>
      <c r="C404" s="26">
        <v>0</v>
      </c>
      <c r="D404" s="27">
        <v>0</v>
      </c>
      <c r="E404" s="28">
        <v>0</v>
      </c>
      <c r="F404" s="29">
        <v>0</v>
      </c>
      <c r="G404" s="6">
        <f t="shared" si="38"/>
        <v>0</v>
      </c>
      <c r="H404" s="7">
        <f t="shared" si="38"/>
        <v>0</v>
      </c>
      <c r="I404" s="6">
        <f t="shared" si="39"/>
        <v>0</v>
      </c>
      <c r="J404" s="7">
        <f t="shared" si="40"/>
        <v>0</v>
      </c>
      <c r="K404" s="28">
        <v>0</v>
      </c>
      <c r="L404" s="29">
        <v>0</v>
      </c>
      <c r="M404" s="6">
        <f t="shared" si="41"/>
        <v>0</v>
      </c>
      <c r="N404" s="7">
        <f t="shared" si="42"/>
        <v>0</v>
      </c>
      <c r="O404" s="35"/>
      <c r="P404" s="36"/>
      <c r="Q404" s="59"/>
      <c r="R404" s="2" t="str">
        <f t="shared" si="43"/>
        <v>30222|0|0|0|0|0|0|</v>
      </c>
      <c r="S404" s="25"/>
    </row>
    <row r="405" spans="1:19" s="34" customFormat="1" ht="12.75" customHeight="1" x14ac:dyDescent="0.2">
      <c r="A405" s="70" t="s">
        <v>1465</v>
      </c>
      <c r="B405" s="61" t="s">
        <v>1466</v>
      </c>
      <c r="C405" s="26">
        <v>0</v>
      </c>
      <c r="D405" s="27">
        <v>0</v>
      </c>
      <c r="E405" s="28">
        <v>0</v>
      </c>
      <c r="F405" s="29">
        <v>0</v>
      </c>
      <c r="G405" s="6">
        <f t="shared" si="38"/>
        <v>0</v>
      </c>
      <c r="H405" s="7">
        <f t="shared" si="38"/>
        <v>0</v>
      </c>
      <c r="I405" s="6">
        <f t="shared" si="39"/>
        <v>0</v>
      </c>
      <c r="J405" s="7">
        <f t="shared" si="40"/>
        <v>0</v>
      </c>
      <c r="K405" s="28">
        <v>0</v>
      </c>
      <c r="L405" s="29">
        <v>0</v>
      </c>
      <c r="M405" s="6">
        <f t="shared" si="41"/>
        <v>0</v>
      </c>
      <c r="N405" s="7">
        <f t="shared" si="42"/>
        <v>0</v>
      </c>
      <c r="O405" s="35"/>
      <c r="P405" s="36"/>
      <c r="Q405" s="59"/>
      <c r="R405" s="2" t="str">
        <f t="shared" si="43"/>
        <v>30223|0|0|0|0|0|0|</v>
      </c>
      <c r="S405" s="25"/>
    </row>
    <row r="406" spans="1:19" s="34" customFormat="1" ht="12.75" customHeight="1" x14ac:dyDescent="0.2">
      <c r="A406" s="70" t="s">
        <v>45</v>
      </c>
      <c r="B406" s="61" t="s">
        <v>1467</v>
      </c>
      <c r="C406" s="26">
        <v>0</v>
      </c>
      <c r="D406" s="27">
        <v>0</v>
      </c>
      <c r="E406" s="28">
        <v>0</v>
      </c>
      <c r="F406" s="29">
        <v>0</v>
      </c>
      <c r="G406" s="6">
        <f t="shared" si="38"/>
        <v>0</v>
      </c>
      <c r="H406" s="7">
        <f t="shared" si="38"/>
        <v>0</v>
      </c>
      <c r="I406" s="6">
        <f t="shared" si="39"/>
        <v>0</v>
      </c>
      <c r="J406" s="7">
        <f t="shared" si="40"/>
        <v>0</v>
      </c>
      <c r="K406" s="28">
        <v>0</v>
      </c>
      <c r="L406" s="29">
        <v>0</v>
      </c>
      <c r="M406" s="6">
        <f t="shared" si="41"/>
        <v>0</v>
      </c>
      <c r="N406" s="7">
        <f t="shared" si="42"/>
        <v>0</v>
      </c>
      <c r="O406" s="35"/>
      <c r="P406" s="36"/>
      <c r="Q406" s="59"/>
      <c r="R406" s="2" t="str">
        <f t="shared" si="43"/>
        <v>30231|0|0|0|0|0|0|</v>
      </c>
      <c r="S406" s="25"/>
    </row>
    <row r="407" spans="1:19" s="34" customFormat="1" ht="12.75" customHeight="1" x14ac:dyDescent="0.2">
      <c r="A407" s="70" t="s">
        <v>46</v>
      </c>
      <c r="B407" s="61" t="s">
        <v>1468</v>
      </c>
      <c r="C407" s="26">
        <v>0</v>
      </c>
      <c r="D407" s="27">
        <v>0</v>
      </c>
      <c r="E407" s="28">
        <v>0</v>
      </c>
      <c r="F407" s="29">
        <v>0</v>
      </c>
      <c r="G407" s="6">
        <f t="shared" si="38"/>
        <v>0</v>
      </c>
      <c r="H407" s="7">
        <f t="shared" si="38"/>
        <v>0</v>
      </c>
      <c r="I407" s="6">
        <f t="shared" si="39"/>
        <v>0</v>
      </c>
      <c r="J407" s="7">
        <f t="shared" si="40"/>
        <v>0</v>
      </c>
      <c r="K407" s="28">
        <v>0</v>
      </c>
      <c r="L407" s="29">
        <v>0</v>
      </c>
      <c r="M407" s="6">
        <f t="shared" si="41"/>
        <v>0</v>
      </c>
      <c r="N407" s="7">
        <f t="shared" si="42"/>
        <v>0</v>
      </c>
      <c r="O407" s="35"/>
      <c r="P407" s="36"/>
      <c r="Q407" s="59"/>
      <c r="R407" s="2" t="str">
        <f t="shared" si="43"/>
        <v>30232|0|0|0|0|0|0|</v>
      </c>
      <c r="S407" s="25"/>
    </row>
    <row r="408" spans="1:19" s="34" customFormat="1" ht="12.75" customHeight="1" x14ac:dyDescent="0.2">
      <c r="A408" s="70" t="s">
        <v>1469</v>
      </c>
      <c r="B408" s="61" t="s">
        <v>1470</v>
      </c>
      <c r="C408" s="26">
        <v>0</v>
      </c>
      <c r="D408" s="27">
        <v>0</v>
      </c>
      <c r="E408" s="28">
        <v>0</v>
      </c>
      <c r="F408" s="29">
        <v>0</v>
      </c>
      <c r="G408" s="6">
        <f t="shared" si="38"/>
        <v>0</v>
      </c>
      <c r="H408" s="7">
        <f t="shared" si="38"/>
        <v>0</v>
      </c>
      <c r="I408" s="6">
        <f t="shared" si="39"/>
        <v>0</v>
      </c>
      <c r="J408" s="7">
        <f t="shared" si="40"/>
        <v>0</v>
      </c>
      <c r="K408" s="28">
        <v>0</v>
      </c>
      <c r="L408" s="29">
        <v>0</v>
      </c>
      <c r="M408" s="6">
        <f t="shared" si="41"/>
        <v>0</v>
      </c>
      <c r="N408" s="7">
        <f t="shared" si="42"/>
        <v>0</v>
      </c>
      <c r="O408" s="35"/>
      <c r="P408" s="36"/>
      <c r="Q408" s="59"/>
      <c r="R408" s="2" t="str">
        <f t="shared" si="43"/>
        <v>30233|0|0|0|0|0|0|</v>
      </c>
      <c r="S408" s="25"/>
    </row>
    <row r="409" spans="1:19" s="34" customFormat="1" ht="12.75" customHeight="1" x14ac:dyDescent="0.2">
      <c r="A409" s="70" t="s">
        <v>47</v>
      </c>
      <c r="B409" s="61" t="s">
        <v>1471</v>
      </c>
      <c r="C409" s="26">
        <v>0</v>
      </c>
      <c r="D409" s="27">
        <v>0</v>
      </c>
      <c r="E409" s="28">
        <v>0</v>
      </c>
      <c r="F409" s="29">
        <v>0</v>
      </c>
      <c r="G409" s="6">
        <f>+C409+E409</f>
        <v>0</v>
      </c>
      <c r="H409" s="7">
        <f>+D409+F409</f>
        <v>0</v>
      </c>
      <c r="I409" s="6">
        <f t="shared" si="39"/>
        <v>0</v>
      </c>
      <c r="J409" s="7">
        <f t="shared" si="40"/>
        <v>0</v>
      </c>
      <c r="K409" s="28">
        <v>0</v>
      </c>
      <c r="L409" s="29">
        <v>0</v>
      </c>
      <c r="M409" s="6">
        <f t="shared" si="41"/>
        <v>0</v>
      </c>
      <c r="N409" s="7">
        <f t="shared" si="42"/>
        <v>0</v>
      </c>
      <c r="O409" s="35"/>
      <c r="P409" s="36"/>
      <c r="Q409" s="59"/>
      <c r="R409" s="2" t="str">
        <f t="shared" si="43"/>
        <v>30241|0|0|0|0|0|0|</v>
      </c>
      <c r="S409" s="25"/>
    </row>
    <row r="410" spans="1:19" s="34" customFormat="1" ht="12.75" customHeight="1" x14ac:dyDescent="0.2">
      <c r="A410" s="70" t="s">
        <v>48</v>
      </c>
      <c r="B410" s="61" t="s">
        <v>1472</v>
      </c>
      <c r="C410" s="26">
        <v>0</v>
      </c>
      <c r="D410" s="27">
        <v>0</v>
      </c>
      <c r="E410" s="28">
        <v>0</v>
      </c>
      <c r="F410" s="29">
        <v>0</v>
      </c>
      <c r="G410" s="6">
        <f t="shared" si="38"/>
        <v>0</v>
      </c>
      <c r="H410" s="7">
        <f t="shared" si="38"/>
        <v>0</v>
      </c>
      <c r="I410" s="6">
        <f t="shared" si="39"/>
        <v>0</v>
      </c>
      <c r="J410" s="7">
        <f t="shared" si="40"/>
        <v>0</v>
      </c>
      <c r="K410" s="28">
        <v>0</v>
      </c>
      <c r="L410" s="29">
        <v>0</v>
      </c>
      <c r="M410" s="6">
        <f t="shared" si="41"/>
        <v>0</v>
      </c>
      <c r="N410" s="7">
        <f t="shared" si="42"/>
        <v>0</v>
      </c>
      <c r="O410" s="35"/>
      <c r="P410" s="36"/>
      <c r="Q410" s="59"/>
      <c r="R410" s="2" t="str">
        <f t="shared" si="43"/>
        <v>30242|0|0|0|0|0|0|</v>
      </c>
      <c r="S410" s="25"/>
    </row>
    <row r="411" spans="1:19" s="34" customFormat="1" ht="12.75" customHeight="1" x14ac:dyDescent="0.2">
      <c r="A411" s="70" t="s">
        <v>1473</v>
      </c>
      <c r="B411" s="61" t="s">
        <v>1474</v>
      </c>
      <c r="C411" s="26">
        <v>0</v>
      </c>
      <c r="D411" s="27">
        <v>0</v>
      </c>
      <c r="E411" s="28">
        <v>0</v>
      </c>
      <c r="F411" s="29">
        <v>0</v>
      </c>
      <c r="G411" s="6">
        <f t="shared" si="38"/>
        <v>0</v>
      </c>
      <c r="H411" s="7">
        <f t="shared" si="38"/>
        <v>0</v>
      </c>
      <c r="I411" s="6">
        <f t="shared" si="39"/>
        <v>0</v>
      </c>
      <c r="J411" s="7">
        <f t="shared" si="40"/>
        <v>0</v>
      </c>
      <c r="K411" s="28">
        <v>0</v>
      </c>
      <c r="L411" s="29">
        <v>0</v>
      </c>
      <c r="M411" s="6">
        <f t="shared" si="41"/>
        <v>0</v>
      </c>
      <c r="N411" s="7">
        <f t="shared" si="42"/>
        <v>0</v>
      </c>
      <c r="O411" s="35"/>
      <c r="P411" s="36"/>
      <c r="Q411" s="59"/>
      <c r="R411" s="2" t="str">
        <f t="shared" si="43"/>
        <v>30243|0|0|0|0|0|0|</v>
      </c>
      <c r="S411" s="25"/>
    </row>
    <row r="412" spans="1:19" s="34" customFormat="1" ht="12.75" customHeight="1" x14ac:dyDescent="0.2">
      <c r="A412" s="70" t="s">
        <v>1475</v>
      </c>
      <c r="B412" s="61" t="s">
        <v>1476</v>
      </c>
      <c r="C412" s="26">
        <v>0</v>
      </c>
      <c r="D412" s="27">
        <v>0</v>
      </c>
      <c r="E412" s="28">
        <v>0</v>
      </c>
      <c r="F412" s="29">
        <v>0</v>
      </c>
      <c r="G412" s="6">
        <f t="shared" si="38"/>
        <v>0</v>
      </c>
      <c r="H412" s="7">
        <f t="shared" si="38"/>
        <v>0</v>
      </c>
      <c r="I412" s="6">
        <f t="shared" si="39"/>
        <v>0</v>
      </c>
      <c r="J412" s="7">
        <f t="shared" si="40"/>
        <v>0</v>
      </c>
      <c r="K412" s="28">
        <v>0</v>
      </c>
      <c r="L412" s="29">
        <v>0</v>
      </c>
      <c r="M412" s="6">
        <f t="shared" si="41"/>
        <v>0</v>
      </c>
      <c r="N412" s="7">
        <f t="shared" si="42"/>
        <v>0</v>
      </c>
      <c r="O412" s="35"/>
      <c r="P412" s="36"/>
      <c r="Q412" s="59"/>
      <c r="R412" s="2" t="str">
        <f t="shared" si="43"/>
        <v>30251|0|0|0|0|0|0|</v>
      </c>
      <c r="S412" s="25"/>
    </row>
    <row r="413" spans="1:19" s="34" customFormat="1" ht="12.75" customHeight="1" x14ac:dyDescent="0.2">
      <c r="A413" s="70" t="s">
        <v>1477</v>
      </c>
      <c r="B413" s="61" t="s">
        <v>1478</v>
      </c>
      <c r="C413" s="26">
        <v>0</v>
      </c>
      <c r="D413" s="27">
        <v>0</v>
      </c>
      <c r="E413" s="28">
        <v>0</v>
      </c>
      <c r="F413" s="29">
        <v>0</v>
      </c>
      <c r="G413" s="6">
        <f t="shared" si="38"/>
        <v>0</v>
      </c>
      <c r="H413" s="7">
        <f t="shared" si="38"/>
        <v>0</v>
      </c>
      <c r="I413" s="6">
        <f t="shared" si="39"/>
        <v>0</v>
      </c>
      <c r="J413" s="7">
        <f t="shared" si="40"/>
        <v>0</v>
      </c>
      <c r="K413" s="28">
        <v>0</v>
      </c>
      <c r="L413" s="29">
        <v>0</v>
      </c>
      <c r="M413" s="6">
        <f t="shared" si="41"/>
        <v>0</v>
      </c>
      <c r="N413" s="7">
        <f t="shared" si="42"/>
        <v>0</v>
      </c>
      <c r="O413" s="35"/>
      <c r="P413" s="36"/>
      <c r="Q413" s="59"/>
      <c r="R413" s="2" t="str">
        <f t="shared" si="43"/>
        <v>30252|0|0|0|0|0|0|</v>
      </c>
      <c r="S413" s="25"/>
    </row>
    <row r="414" spans="1:19" s="34" customFormat="1" ht="12.75" customHeight="1" x14ac:dyDescent="0.2">
      <c r="A414" s="70" t="s">
        <v>1479</v>
      </c>
      <c r="B414" s="61" t="s">
        <v>1480</v>
      </c>
      <c r="C414" s="26">
        <v>0</v>
      </c>
      <c r="D414" s="27">
        <v>0</v>
      </c>
      <c r="E414" s="28">
        <v>0</v>
      </c>
      <c r="F414" s="29">
        <v>0</v>
      </c>
      <c r="G414" s="6">
        <f t="shared" si="38"/>
        <v>0</v>
      </c>
      <c r="H414" s="7">
        <f t="shared" si="38"/>
        <v>0</v>
      </c>
      <c r="I414" s="6">
        <f t="shared" si="39"/>
        <v>0</v>
      </c>
      <c r="J414" s="7">
        <f t="shared" si="40"/>
        <v>0</v>
      </c>
      <c r="K414" s="28">
        <v>0</v>
      </c>
      <c r="L414" s="29">
        <v>0</v>
      </c>
      <c r="M414" s="6">
        <f t="shared" si="41"/>
        <v>0</v>
      </c>
      <c r="N414" s="7">
        <f t="shared" si="42"/>
        <v>0</v>
      </c>
      <c r="O414" s="35"/>
      <c r="P414" s="36"/>
      <c r="Q414" s="59"/>
      <c r="R414" s="2" t="str">
        <f t="shared" si="43"/>
        <v>30261|0|0|0|0|0|0|</v>
      </c>
      <c r="S414" s="25"/>
    </row>
    <row r="415" spans="1:19" s="34" customFormat="1" ht="12.75" customHeight="1" x14ac:dyDescent="0.2">
      <c r="A415" s="70" t="s">
        <v>1481</v>
      </c>
      <c r="B415" s="61" t="s">
        <v>1482</v>
      </c>
      <c r="C415" s="26">
        <v>0</v>
      </c>
      <c r="D415" s="27">
        <v>0</v>
      </c>
      <c r="E415" s="28">
        <v>0</v>
      </c>
      <c r="F415" s="29">
        <v>0</v>
      </c>
      <c r="G415" s="6">
        <f t="shared" si="38"/>
        <v>0</v>
      </c>
      <c r="H415" s="7">
        <f t="shared" si="38"/>
        <v>0</v>
      </c>
      <c r="I415" s="6">
        <f t="shared" si="39"/>
        <v>0</v>
      </c>
      <c r="J415" s="7">
        <f t="shared" si="40"/>
        <v>0</v>
      </c>
      <c r="K415" s="28">
        <v>0</v>
      </c>
      <c r="L415" s="29">
        <v>0</v>
      </c>
      <c r="M415" s="6">
        <f t="shared" si="41"/>
        <v>0</v>
      </c>
      <c r="N415" s="7">
        <f t="shared" si="42"/>
        <v>0</v>
      </c>
      <c r="O415" s="35"/>
      <c r="P415" s="36"/>
      <c r="Q415" s="59"/>
      <c r="R415" s="2" t="str">
        <f t="shared" si="43"/>
        <v>30262|0|0|0|0|0|0|</v>
      </c>
      <c r="S415" s="25"/>
    </row>
    <row r="416" spans="1:19" s="34" customFormat="1" ht="12.75" customHeight="1" x14ac:dyDescent="0.2">
      <c r="A416" s="70" t="s">
        <v>1483</v>
      </c>
      <c r="B416" s="61" t="s">
        <v>1484</v>
      </c>
      <c r="C416" s="26">
        <v>0</v>
      </c>
      <c r="D416" s="27">
        <v>0</v>
      </c>
      <c r="E416" s="28">
        <v>0</v>
      </c>
      <c r="F416" s="29">
        <v>0</v>
      </c>
      <c r="G416" s="6">
        <f t="shared" si="38"/>
        <v>0</v>
      </c>
      <c r="H416" s="7">
        <f t="shared" si="38"/>
        <v>0</v>
      </c>
      <c r="I416" s="6">
        <f t="shared" si="39"/>
        <v>0</v>
      </c>
      <c r="J416" s="7">
        <f t="shared" si="40"/>
        <v>0</v>
      </c>
      <c r="K416" s="28">
        <v>0</v>
      </c>
      <c r="L416" s="29">
        <v>0</v>
      </c>
      <c r="M416" s="6">
        <f t="shared" si="41"/>
        <v>0</v>
      </c>
      <c r="N416" s="7">
        <f t="shared" si="42"/>
        <v>0</v>
      </c>
      <c r="O416" s="35"/>
      <c r="P416" s="36"/>
      <c r="Q416" s="59"/>
      <c r="R416" s="2" t="str">
        <f t="shared" si="43"/>
        <v>30271|0|0|0|0|0|0|</v>
      </c>
      <c r="S416" s="25"/>
    </row>
    <row r="417" spans="1:19" s="34" customFormat="1" ht="12.75" customHeight="1" x14ac:dyDescent="0.2">
      <c r="A417" s="70" t="s">
        <v>1485</v>
      </c>
      <c r="B417" s="61" t="s">
        <v>1486</v>
      </c>
      <c r="C417" s="26">
        <v>0</v>
      </c>
      <c r="D417" s="27">
        <v>0</v>
      </c>
      <c r="E417" s="28">
        <v>0</v>
      </c>
      <c r="F417" s="29">
        <v>0</v>
      </c>
      <c r="G417" s="6">
        <f t="shared" si="38"/>
        <v>0</v>
      </c>
      <c r="H417" s="7">
        <f t="shared" si="38"/>
        <v>0</v>
      </c>
      <c r="I417" s="6">
        <f t="shared" si="39"/>
        <v>0</v>
      </c>
      <c r="J417" s="7">
        <f t="shared" si="40"/>
        <v>0</v>
      </c>
      <c r="K417" s="28">
        <v>0</v>
      </c>
      <c r="L417" s="29">
        <v>0</v>
      </c>
      <c r="M417" s="6">
        <f t="shared" si="41"/>
        <v>0</v>
      </c>
      <c r="N417" s="7">
        <f t="shared" si="42"/>
        <v>0</v>
      </c>
      <c r="O417" s="35"/>
      <c r="P417" s="36"/>
      <c r="Q417" s="59"/>
      <c r="R417" s="2" t="str">
        <f t="shared" si="43"/>
        <v>30272|0|0|0|0|0|0|</v>
      </c>
      <c r="S417" s="25"/>
    </row>
    <row r="418" spans="1:19" s="34" customFormat="1" ht="12.75" customHeight="1" x14ac:dyDescent="0.2">
      <c r="A418" s="70" t="s">
        <v>1487</v>
      </c>
      <c r="B418" s="61" t="s">
        <v>1488</v>
      </c>
      <c r="C418" s="26">
        <v>0</v>
      </c>
      <c r="D418" s="27">
        <v>0</v>
      </c>
      <c r="E418" s="28">
        <v>0</v>
      </c>
      <c r="F418" s="29">
        <v>0</v>
      </c>
      <c r="G418" s="6">
        <f t="shared" si="38"/>
        <v>0</v>
      </c>
      <c r="H418" s="7">
        <f t="shared" si="38"/>
        <v>0</v>
      </c>
      <c r="I418" s="6">
        <f t="shared" si="39"/>
        <v>0</v>
      </c>
      <c r="J418" s="7">
        <f t="shared" si="40"/>
        <v>0</v>
      </c>
      <c r="K418" s="28">
        <v>0</v>
      </c>
      <c r="L418" s="29">
        <v>0</v>
      </c>
      <c r="M418" s="6">
        <f t="shared" si="41"/>
        <v>0</v>
      </c>
      <c r="N418" s="7">
        <f t="shared" si="42"/>
        <v>0</v>
      </c>
      <c r="O418" s="35"/>
      <c r="P418" s="36"/>
      <c r="Q418" s="59"/>
      <c r="R418" s="2" t="str">
        <f t="shared" si="43"/>
        <v>30273|0|0|0|0|0|0|</v>
      </c>
      <c r="S418" s="25"/>
    </row>
    <row r="419" spans="1:19" s="34" customFormat="1" ht="12.75" customHeight="1" x14ac:dyDescent="0.2">
      <c r="A419" s="70" t="s">
        <v>1489</v>
      </c>
      <c r="B419" s="61" t="s">
        <v>1490</v>
      </c>
      <c r="C419" s="26">
        <v>0</v>
      </c>
      <c r="D419" s="27">
        <v>0</v>
      </c>
      <c r="E419" s="28">
        <v>0</v>
      </c>
      <c r="F419" s="29">
        <v>0</v>
      </c>
      <c r="G419" s="6">
        <f t="shared" si="38"/>
        <v>0</v>
      </c>
      <c r="H419" s="7">
        <f t="shared" si="38"/>
        <v>0</v>
      </c>
      <c r="I419" s="6">
        <f t="shared" si="39"/>
        <v>0</v>
      </c>
      <c r="J419" s="7">
        <f t="shared" si="40"/>
        <v>0</v>
      </c>
      <c r="K419" s="28">
        <v>0</v>
      </c>
      <c r="L419" s="29">
        <v>0</v>
      </c>
      <c r="M419" s="6">
        <f t="shared" si="41"/>
        <v>0</v>
      </c>
      <c r="N419" s="7">
        <f t="shared" si="42"/>
        <v>0</v>
      </c>
      <c r="O419" s="35"/>
      <c r="P419" s="36"/>
      <c r="Q419" s="59"/>
      <c r="R419" s="2" t="str">
        <f t="shared" si="43"/>
        <v>30281|0|0|0|0|0|0|</v>
      </c>
      <c r="S419" s="25"/>
    </row>
    <row r="420" spans="1:19" s="34" customFormat="1" ht="12.75" customHeight="1" x14ac:dyDescent="0.2">
      <c r="A420" s="70" t="s">
        <v>1491</v>
      </c>
      <c r="B420" s="61" t="s">
        <v>1492</v>
      </c>
      <c r="C420" s="26">
        <v>0</v>
      </c>
      <c r="D420" s="27">
        <v>0</v>
      </c>
      <c r="E420" s="28">
        <v>0</v>
      </c>
      <c r="F420" s="29">
        <v>0</v>
      </c>
      <c r="G420" s="6">
        <f t="shared" si="38"/>
        <v>0</v>
      </c>
      <c r="H420" s="7">
        <f t="shared" si="38"/>
        <v>0</v>
      </c>
      <c r="I420" s="6">
        <f t="shared" si="39"/>
        <v>0</v>
      </c>
      <c r="J420" s="7">
        <f t="shared" si="40"/>
        <v>0</v>
      </c>
      <c r="K420" s="28">
        <v>0</v>
      </c>
      <c r="L420" s="29">
        <v>0</v>
      </c>
      <c r="M420" s="6">
        <f t="shared" si="41"/>
        <v>0</v>
      </c>
      <c r="N420" s="7">
        <f t="shared" si="42"/>
        <v>0</v>
      </c>
      <c r="O420" s="35"/>
      <c r="P420" s="36"/>
      <c r="Q420" s="59"/>
      <c r="R420" s="2" t="str">
        <f t="shared" si="43"/>
        <v>30282|0|0|0|0|0|0|</v>
      </c>
      <c r="S420" s="25"/>
    </row>
    <row r="421" spans="1:19" s="34" customFormat="1" ht="12.75" customHeight="1" x14ac:dyDescent="0.2">
      <c r="A421" s="70" t="s">
        <v>1493</v>
      </c>
      <c r="B421" s="61" t="s">
        <v>1494</v>
      </c>
      <c r="C421" s="26">
        <v>0</v>
      </c>
      <c r="D421" s="27">
        <v>0</v>
      </c>
      <c r="E421" s="28">
        <v>0</v>
      </c>
      <c r="F421" s="29">
        <v>0</v>
      </c>
      <c r="G421" s="6">
        <f t="shared" si="38"/>
        <v>0</v>
      </c>
      <c r="H421" s="7">
        <f t="shared" si="38"/>
        <v>0</v>
      </c>
      <c r="I421" s="6">
        <f t="shared" si="39"/>
        <v>0</v>
      </c>
      <c r="J421" s="7">
        <f t="shared" si="40"/>
        <v>0</v>
      </c>
      <c r="K421" s="28">
        <v>0</v>
      </c>
      <c r="L421" s="29">
        <v>0</v>
      </c>
      <c r="M421" s="6">
        <f t="shared" si="41"/>
        <v>0</v>
      </c>
      <c r="N421" s="7">
        <f t="shared" si="42"/>
        <v>0</v>
      </c>
      <c r="O421" s="35"/>
      <c r="P421" s="36"/>
      <c r="Q421" s="59"/>
      <c r="R421" s="2" t="str">
        <f t="shared" si="43"/>
        <v>3081|0|0|0|0|0|0|</v>
      </c>
      <c r="S421" s="25"/>
    </row>
    <row r="422" spans="1:19" s="34" customFormat="1" ht="12.75" customHeight="1" x14ac:dyDescent="0.2">
      <c r="A422" s="70" t="s">
        <v>1495</v>
      </c>
      <c r="B422" s="61" t="s">
        <v>1496</v>
      </c>
      <c r="C422" s="26">
        <v>0</v>
      </c>
      <c r="D422" s="27">
        <v>0</v>
      </c>
      <c r="E422" s="28">
        <v>0</v>
      </c>
      <c r="F422" s="29">
        <v>0</v>
      </c>
      <c r="G422" s="6">
        <f t="shared" si="38"/>
        <v>0</v>
      </c>
      <c r="H422" s="7">
        <f t="shared" si="38"/>
        <v>0</v>
      </c>
      <c r="I422" s="6">
        <f t="shared" si="39"/>
        <v>0</v>
      </c>
      <c r="J422" s="7">
        <f t="shared" si="40"/>
        <v>0</v>
      </c>
      <c r="K422" s="28">
        <v>0</v>
      </c>
      <c r="L422" s="29">
        <v>0</v>
      </c>
      <c r="M422" s="6">
        <f t="shared" si="41"/>
        <v>0</v>
      </c>
      <c r="N422" s="7">
        <f t="shared" si="42"/>
        <v>0</v>
      </c>
      <c r="O422" s="35"/>
      <c r="P422" s="36"/>
      <c r="Q422" s="59"/>
      <c r="R422" s="2" t="str">
        <f t="shared" si="43"/>
        <v>3082|0|0|0|0|0|0|</v>
      </c>
      <c r="S422" s="25"/>
    </row>
    <row r="423" spans="1:19" s="34" customFormat="1" ht="12.75" customHeight="1" x14ac:dyDescent="0.2">
      <c r="A423" s="70" t="s">
        <v>49</v>
      </c>
      <c r="B423" s="61" t="s">
        <v>1497</v>
      </c>
      <c r="C423" s="26">
        <v>0</v>
      </c>
      <c r="D423" s="27">
        <v>0</v>
      </c>
      <c r="E423" s="28">
        <v>0</v>
      </c>
      <c r="F423" s="29">
        <v>0</v>
      </c>
      <c r="G423" s="6">
        <f t="shared" si="38"/>
        <v>0</v>
      </c>
      <c r="H423" s="7">
        <f t="shared" si="38"/>
        <v>0</v>
      </c>
      <c r="I423" s="6">
        <f t="shared" si="39"/>
        <v>0</v>
      </c>
      <c r="J423" s="7">
        <f t="shared" si="40"/>
        <v>0</v>
      </c>
      <c r="K423" s="28">
        <v>0</v>
      </c>
      <c r="L423" s="29">
        <v>0</v>
      </c>
      <c r="M423" s="6">
        <f t="shared" si="41"/>
        <v>0</v>
      </c>
      <c r="N423" s="7">
        <f t="shared" si="42"/>
        <v>0</v>
      </c>
      <c r="O423" s="35"/>
      <c r="P423" s="36"/>
      <c r="Q423" s="59"/>
      <c r="R423" s="2" t="str">
        <f t="shared" si="43"/>
        <v>31111|0|0|0|0|0|0|</v>
      </c>
      <c r="S423" s="25"/>
    </row>
    <row r="424" spans="1:19" s="34" customFormat="1" ht="12.75" customHeight="1" x14ac:dyDescent="0.2">
      <c r="A424" s="70" t="s">
        <v>50</v>
      </c>
      <c r="B424" s="61" t="s">
        <v>1498</v>
      </c>
      <c r="C424" s="26">
        <v>0</v>
      </c>
      <c r="D424" s="27">
        <v>0</v>
      </c>
      <c r="E424" s="28">
        <v>0</v>
      </c>
      <c r="F424" s="29">
        <v>0</v>
      </c>
      <c r="G424" s="6">
        <f t="shared" si="38"/>
        <v>0</v>
      </c>
      <c r="H424" s="7">
        <f t="shared" si="38"/>
        <v>0</v>
      </c>
      <c r="I424" s="6">
        <f t="shared" si="39"/>
        <v>0</v>
      </c>
      <c r="J424" s="7">
        <f t="shared" si="40"/>
        <v>0</v>
      </c>
      <c r="K424" s="28">
        <v>0</v>
      </c>
      <c r="L424" s="29">
        <v>0</v>
      </c>
      <c r="M424" s="6">
        <f t="shared" si="41"/>
        <v>0</v>
      </c>
      <c r="N424" s="7">
        <f t="shared" si="42"/>
        <v>0</v>
      </c>
      <c r="O424" s="35"/>
      <c r="P424" s="36"/>
      <c r="Q424" s="59"/>
      <c r="R424" s="2" t="str">
        <f t="shared" si="43"/>
        <v>31112|0|0|0|0|0|0|</v>
      </c>
      <c r="S424" s="25"/>
    </row>
    <row r="425" spans="1:19" s="34" customFormat="1" ht="12.75" customHeight="1" x14ac:dyDescent="0.2">
      <c r="A425" s="70" t="s">
        <v>51</v>
      </c>
      <c r="B425" s="61" t="s">
        <v>1499</v>
      </c>
      <c r="C425" s="26">
        <v>0</v>
      </c>
      <c r="D425" s="27">
        <v>0</v>
      </c>
      <c r="E425" s="28">
        <v>0</v>
      </c>
      <c r="F425" s="29">
        <v>0</v>
      </c>
      <c r="G425" s="6">
        <f t="shared" si="38"/>
        <v>0</v>
      </c>
      <c r="H425" s="7">
        <f t="shared" si="38"/>
        <v>0</v>
      </c>
      <c r="I425" s="6">
        <f t="shared" si="39"/>
        <v>0</v>
      </c>
      <c r="J425" s="7">
        <f t="shared" si="40"/>
        <v>0</v>
      </c>
      <c r="K425" s="28">
        <v>0</v>
      </c>
      <c r="L425" s="29">
        <v>0</v>
      </c>
      <c r="M425" s="6">
        <f t="shared" si="41"/>
        <v>0</v>
      </c>
      <c r="N425" s="7">
        <f t="shared" si="42"/>
        <v>0</v>
      </c>
      <c r="O425" s="35"/>
      <c r="P425" s="36"/>
      <c r="Q425" s="59"/>
      <c r="R425" s="2" t="str">
        <f t="shared" si="43"/>
        <v>31113|0|0|0|0|0|0|</v>
      </c>
      <c r="S425" s="25"/>
    </row>
    <row r="426" spans="1:19" s="34" customFormat="1" ht="12.75" customHeight="1" x14ac:dyDescent="0.2">
      <c r="A426" s="70" t="s">
        <v>52</v>
      </c>
      <c r="B426" s="61" t="s">
        <v>1500</v>
      </c>
      <c r="C426" s="26">
        <v>0</v>
      </c>
      <c r="D426" s="27">
        <v>0</v>
      </c>
      <c r="E426" s="28">
        <v>0</v>
      </c>
      <c r="F426" s="29">
        <v>0</v>
      </c>
      <c r="G426" s="6">
        <f t="shared" si="38"/>
        <v>0</v>
      </c>
      <c r="H426" s="7">
        <f t="shared" si="38"/>
        <v>0</v>
      </c>
      <c r="I426" s="6">
        <f t="shared" si="39"/>
        <v>0</v>
      </c>
      <c r="J426" s="7">
        <f t="shared" si="40"/>
        <v>0</v>
      </c>
      <c r="K426" s="28">
        <v>0</v>
      </c>
      <c r="L426" s="29">
        <v>0</v>
      </c>
      <c r="M426" s="6">
        <f t="shared" si="41"/>
        <v>0</v>
      </c>
      <c r="N426" s="7">
        <f t="shared" si="42"/>
        <v>0</v>
      </c>
      <c r="O426" s="35"/>
      <c r="P426" s="36"/>
      <c r="Q426" s="59"/>
      <c r="R426" s="2" t="str">
        <f t="shared" si="43"/>
        <v>31121|0|0|0|0|0|0|</v>
      </c>
      <c r="S426" s="25"/>
    </row>
    <row r="427" spans="1:19" s="34" customFormat="1" ht="12.75" customHeight="1" x14ac:dyDescent="0.2">
      <c r="A427" s="70" t="s">
        <v>53</v>
      </c>
      <c r="B427" s="61" t="s">
        <v>1501</v>
      </c>
      <c r="C427" s="26">
        <v>0</v>
      </c>
      <c r="D427" s="27">
        <v>0</v>
      </c>
      <c r="E427" s="28">
        <v>0</v>
      </c>
      <c r="F427" s="29">
        <v>0</v>
      </c>
      <c r="G427" s="6">
        <f t="shared" si="38"/>
        <v>0</v>
      </c>
      <c r="H427" s="7">
        <f t="shared" si="38"/>
        <v>0</v>
      </c>
      <c r="I427" s="6">
        <f t="shared" si="39"/>
        <v>0</v>
      </c>
      <c r="J427" s="7">
        <f t="shared" si="40"/>
        <v>0</v>
      </c>
      <c r="K427" s="28">
        <v>0</v>
      </c>
      <c r="L427" s="29">
        <v>0</v>
      </c>
      <c r="M427" s="6">
        <f t="shared" si="41"/>
        <v>0</v>
      </c>
      <c r="N427" s="7">
        <f t="shared" si="42"/>
        <v>0</v>
      </c>
      <c r="O427" s="35"/>
      <c r="P427" s="36"/>
      <c r="Q427" s="59"/>
      <c r="R427" s="2" t="str">
        <f t="shared" si="43"/>
        <v>31122|0|0|0|0|0|0|</v>
      </c>
      <c r="S427" s="25"/>
    </row>
    <row r="428" spans="1:19" s="34" customFormat="1" ht="12.75" customHeight="1" x14ac:dyDescent="0.2">
      <c r="A428" s="70" t="s">
        <v>54</v>
      </c>
      <c r="B428" s="61" t="s">
        <v>1502</v>
      </c>
      <c r="C428" s="26">
        <v>0</v>
      </c>
      <c r="D428" s="27">
        <v>0</v>
      </c>
      <c r="E428" s="28">
        <v>0</v>
      </c>
      <c r="F428" s="29">
        <v>0</v>
      </c>
      <c r="G428" s="6">
        <f t="shared" ref="G428:H491" si="44">+C428+E428</f>
        <v>0</v>
      </c>
      <c r="H428" s="7">
        <f t="shared" si="44"/>
        <v>0</v>
      </c>
      <c r="I428" s="6">
        <f t="shared" si="39"/>
        <v>0</v>
      </c>
      <c r="J428" s="7">
        <f t="shared" si="40"/>
        <v>0</v>
      </c>
      <c r="K428" s="28">
        <v>0</v>
      </c>
      <c r="L428" s="29">
        <v>0</v>
      </c>
      <c r="M428" s="6">
        <f t="shared" si="41"/>
        <v>0</v>
      </c>
      <c r="N428" s="7">
        <f t="shared" si="42"/>
        <v>0</v>
      </c>
      <c r="O428" s="35"/>
      <c r="P428" s="36"/>
      <c r="Q428" s="59"/>
      <c r="R428" s="2" t="str">
        <f t="shared" si="43"/>
        <v>31123|0|0|0|0|0|0|</v>
      </c>
      <c r="S428" s="25"/>
    </row>
    <row r="429" spans="1:19" s="34" customFormat="1" ht="12.75" customHeight="1" x14ac:dyDescent="0.2">
      <c r="A429" s="70" t="s">
        <v>55</v>
      </c>
      <c r="B429" s="61" t="s">
        <v>1503</v>
      </c>
      <c r="C429" s="26">
        <v>0</v>
      </c>
      <c r="D429" s="27">
        <v>0</v>
      </c>
      <c r="E429" s="28">
        <v>0</v>
      </c>
      <c r="F429" s="29">
        <v>0</v>
      </c>
      <c r="G429" s="6">
        <f t="shared" si="44"/>
        <v>0</v>
      </c>
      <c r="H429" s="7">
        <f t="shared" si="44"/>
        <v>0</v>
      </c>
      <c r="I429" s="6">
        <f t="shared" si="39"/>
        <v>0</v>
      </c>
      <c r="J429" s="7">
        <f t="shared" si="40"/>
        <v>0</v>
      </c>
      <c r="K429" s="28">
        <v>0</v>
      </c>
      <c r="L429" s="29">
        <v>0</v>
      </c>
      <c r="M429" s="6">
        <f t="shared" si="41"/>
        <v>0</v>
      </c>
      <c r="N429" s="7">
        <f t="shared" si="42"/>
        <v>0</v>
      </c>
      <c r="O429" s="35"/>
      <c r="P429" s="36"/>
      <c r="Q429" s="59"/>
      <c r="R429" s="2" t="str">
        <f t="shared" si="43"/>
        <v>31211|0|0|0|0|0|0|</v>
      </c>
      <c r="S429" s="25"/>
    </row>
    <row r="430" spans="1:19" s="34" customFormat="1" ht="12.75" customHeight="1" x14ac:dyDescent="0.2">
      <c r="A430" s="70" t="s">
        <v>56</v>
      </c>
      <c r="B430" s="61" t="s">
        <v>1504</v>
      </c>
      <c r="C430" s="26">
        <v>0</v>
      </c>
      <c r="D430" s="27">
        <v>0</v>
      </c>
      <c r="E430" s="28">
        <v>0</v>
      </c>
      <c r="F430" s="29">
        <v>0</v>
      </c>
      <c r="G430" s="6">
        <f t="shared" si="44"/>
        <v>0</v>
      </c>
      <c r="H430" s="7">
        <f t="shared" si="44"/>
        <v>0</v>
      </c>
      <c r="I430" s="6">
        <f t="shared" si="39"/>
        <v>0</v>
      </c>
      <c r="J430" s="7">
        <f t="shared" si="40"/>
        <v>0</v>
      </c>
      <c r="K430" s="28">
        <v>0</v>
      </c>
      <c r="L430" s="29">
        <v>0</v>
      </c>
      <c r="M430" s="6">
        <f t="shared" si="41"/>
        <v>0</v>
      </c>
      <c r="N430" s="7">
        <f t="shared" si="42"/>
        <v>0</v>
      </c>
      <c r="O430" s="35"/>
      <c r="P430" s="36"/>
      <c r="Q430" s="59"/>
      <c r="R430" s="2" t="str">
        <f t="shared" si="43"/>
        <v>31212|0|0|0|0|0|0|</v>
      </c>
      <c r="S430" s="25"/>
    </row>
    <row r="431" spans="1:19" s="34" customFormat="1" ht="12.75" customHeight="1" x14ac:dyDescent="0.2">
      <c r="A431" s="70" t="s">
        <v>57</v>
      </c>
      <c r="B431" s="61" t="s">
        <v>1505</v>
      </c>
      <c r="C431" s="26">
        <v>0</v>
      </c>
      <c r="D431" s="27">
        <v>0</v>
      </c>
      <c r="E431" s="28">
        <v>0</v>
      </c>
      <c r="F431" s="29">
        <v>0</v>
      </c>
      <c r="G431" s="6">
        <f t="shared" si="44"/>
        <v>0</v>
      </c>
      <c r="H431" s="7">
        <f t="shared" si="44"/>
        <v>0</v>
      </c>
      <c r="I431" s="6">
        <f t="shared" si="39"/>
        <v>0</v>
      </c>
      <c r="J431" s="7">
        <f t="shared" si="40"/>
        <v>0</v>
      </c>
      <c r="K431" s="28">
        <v>0</v>
      </c>
      <c r="L431" s="29">
        <v>0</v>
      </c>
      <c r="M431" s="6">
        <f t="shared" si="41"/>
        <v>0</v>
      </c>
      <c r="N431" s="7">
        <f t="shared" si="42"/>
        <v>0</v>
      </c>
      <c r="O431" s="35"/>
      <c r="P431" s="36"/>
      <c r="Q431" s="59"/>
      <c r="R431" s="2" t="str">
        <f t="shared" si="43"/>
        <v>31213|0|0|0|0|0|0|</v>
      </c>
      <c r="S431" s="25"/>
    </row>
    <row r="432" spans="1:19" s="34" customFormat="1" ht="12.75" customHeight="1" x14ac:dyDescent="0.2">
      <c r="A432" s="70" t="s">
        <v>58</v>
      </c>
      <c r="B432" s="61" t="s">
        <v>1506</v>
      </c>
      <c r="C432" s="26">
        <v>0</v>
      </c>
      <c r="D432" s="27">
        <v>0</v>
      </c>
      <c r="E432" s="28">
        <v>0</v>
      </c>
      <c r="F432" s="29">
        <v>0</v>
      </c>
      <c r="G432" s="6">
        <f t="shared" si="44"/>
        <v>0</v>
      </c>
      <c r="H432" s="7">
        <f t="shared" si="44"/>
        <v>0</v>
      </c>
      <c r="I432" s="6">
        <f t="shared" si="39"/>
        <v>0</v>
      </c>
      <c r="J432" s="7">
        <f t="shared" si="40"/>
        <v>0</v>
      </c>
      <c r="K432" s="28">
        <v>0</v>
      </c>
      <c r="L432" s="29">
        <v>0</v>
      </c>
      <c r="M432" s="6">
        <f t="shared" si="41"/>
        <v>0</v>
      </c>
      <c r="N432" s="7">
        <f t="shared" si="42"/>
        <v>0</v>
      </c>
      <c r="O432" s="35"/>
      <c r="P432" s="36"/>
      <c r="Q432" s="59"/>
      <c r="R432" s="2" t="str">
        <f t="shared" si="43"/>
        <v>31214|0|0|0|0|0|0|</v>
      </c>
      <c r="S432" s="25"/>
    </row>
    <row r="433" spans="1:19" s="34" customFormat="1" ht="12.75" customHeight="1" x14ac:dyDescent="0.2">
      <c r="A433" s="70" t="s">
        <v>59</v>
      </c>
      <c r="B433" s="61" t="s">
        <v>1507</v>
      </c>
      <c r="C433" s="26">
        <v>0</v>
      </c>
      <c r="D433" s="27">
        <v>0</v>
      </c>
      <c r="E433" s="28">
        <v>0</v>
      </c>
      <c r="F433" s="29">
        <v>0</v>
      </c>
      <c r="G433" s="6">
        <f t="shared" si="44"/>
        <v>0</v>
      </c>
      <c r="H433" s="7">
        <f t="shared" si="44"/>
        <v>0</v>
      </c>
      <c r="I433" s="6">
        <f t="shared" si="39"/>
        <v>0</v>
      </c>
      <c r="J433" s="7">
        <f t="shared" si="40"/>
        <v>0</v>
      </c>
      <c r="K433" s="28">
        <v>0</v>
      </c>
      <c r="L433" s="29">
        <v>0</v>
      </c>
      <c r="M433" s="6">
        <f t="shared" si="41"/>
        <v>0</v>
      </c>
      <c r="N433" s="7">
        <f t="shared" si="42"/>
        <v>0</v>
      </c>
      <c r="O433" s="35"/>
      <c r="P433" s="36"/>
      <c r="Q433" s="59"/>
      <c r="R433" s="2" t="str">
        <f t="shared" si="43"/>
        <v>3211|0|0|0|0|0|0|</v>
      </c>
      <c r="S433" s="25"/>
    </row>
    <row r="434" spans="1:19" s="34" customFormat="1" ht="12.75" customHeight="1" x14ac:dyDescent="0.2">
      <c r="A434" s="70" t="s">
        <v>60</v>
      </c>
      <c r="B434" s="61" t="s">
        <v>1508</v>
      </c>
      <c r="C434" s="26">
        <v>0</v>
      </c>
      <c r="D434" s="27">
        <v>0</v>
      </c>
      <c r="E434" s="28">
        <v>0</v>
      </c>
      <c r="F434" s="29">
        <v>0</v>
      </c>
      <c r="G434" s="6">
        <f t="shared" si="44"/>
        <v>0</v>
      </c>
      <c r="H434" s="7">
        <f t="shared" si="44"/>
        <v>0</v>
      </c>
      <c r="I434" s="6">
        <f t="shared" si="39"/>
        <v>0</v>
      </c>
      <c r="J434" s="7">
        <f t="shared" si="40"/>
        <v>0</v>
      </c>
      <c r="K434" s="28">
        <v>0</v>
      </c>
      <c r="L434" s="29">
        <v>0</v>
      </c>
      <c r="M434" s="6">
        <f t="shared" si="41"/>
        <v>0</v>
      </c>
      <c r="N434" s="7">
        <f t="shared" si="42"/>
        <v>0</v>
      </c>
      <c r="O434" s="35"/>
      <c r="P434" s="36"/>
      <c r="Q434" s="59"/>
      <c r="R434" s="2" t="str">
        <f t="shared" si="43"/>
        <v>3212|0|0|0|0|0|0|</v>
      </c>
      <c r="S434" s="25"/>
    </row>
    <row r="435" spans="1:19" s="34" customFormat="1" ht="12.75" customHeight="1" x14ac:dyDescent="0.2">
      <c r="A435" s="70" t="s">
        <v>61</v>
      </c>
      <c r="B435" s="61" t="s">
        <v>1509</v>
      </c>
      <c r="C435" s="26">
        <v>0</v>
      </c>
      <c r="D435" s="27">
        <v>0</v>
      </c>
      <c r="E435" s="28">
        <v>0</v>
      </c>
      <c r="F435" s="29">
        <v>0</v>
      </c>
      <c r="G435" s="6">
        <f t="shared" si="44"/>
        <v>0</v>
      </c>
      <c r="H435" s="7">
        <f t="shared" si="44"/>
        <v>0</v>
      </c>
      <c r="I435" s="6">
        <f t="shared" si="39"/>
        <v>0</v>
      </c>
      <c r="J435" s="7">
        <f t="shared" si="40"/>
        <v>0</v>
      </c>
      <c r="K435" s="28">
        <v>0</v>
      </c>
      <c r="L435" s="29">
        <v>0</v>
      </c>
      <c r="M435" s="6">
        <f t="shared" si="41"/>
        <v>0</v>
      </c>
      <c r="N435" s="7">
        <f t="shared" si="42"/>
        <v>0</v>
      </c>
      <c r="O435" s="35"/>
      <c r="P435" s="36"/>
      <c r="Q435" s="59"/>
      <c r="R435" s="2" t="str">
        <f t="shared" si="43"/>
        <v>3221|0|0|0|0|0|0|</v>
      </c>
      <c r="S435" s="25"/>
    </row>
    <row r="436" spans="1:19" s="34" customFormat="1" ht="12.75" customHeight="1" x14ac:dyDescent="0.2">
      <c r="A436" s="70" t="s">
        <v>62</v>
      </c>
      <c r="B436" s="61" t="s">
        <v>1510</v>
      </c>
      <c r="C436" s="26">
        <v>0</v>
      </c>
      <c r="D436" s="27">
        <v>0</v>
      </c>
      <c r="E436" s="28">
        <v>0</v>
      </c>
      <c r="F436" s="29">
        <v>0</v>
      </c>
      <c r="G436" s="6">
        <f t="shared" si="44"/>
        <v>0</v>
      </c>
      <c r="H436" s="7">
        <f t="shared" si="44"/>
        <v>0</v>
      </c>
      <c r="I436" s="6">
        <f t="shared" si="39"/>
        <v>0</v>
      </c>
      <c r="J436" s="7">
        <f t="shared" si="40"/>
        <v>0</v>
      </c>
      <c r="K436" s="28">
        <v>0</v>
      </c>
      <c r="L436" s="29">
        <v>0</v>
      </c>
      <c r="M436" s="6">
        <f t="shared" si="41"/>
        <v>0</v>
      </c>
      <c r="N436" s="7">
        <f t="shared" si="42"/>
        <v>0</v>
      </c>
      <c r="O436" s="35"/>
      <c r="P436" s="36"/>
      <c r="Q436" s="59"/>
      <c r="R436" s="2" t="str">
        <f t="shared" si="43"/>
        <v>3222|0|0|0|0|0|0|</v>
      </c>
      <c r="S436" s="25"/>
    </row>
    <row r="437" spans="1:19" s="34" customFormat="1" ht="12.75" customHeight="1" x14ac:dyDescent="0.2">
      <c r="A437" s="70" t="s">
        <v>63</v>
      </c>
      <c r="B437" s="61" t="s">
        <v>1511</v>
      </c>
      <c r="C437" s="26">
        <v>0</v>
      </c>
      <c r="D437" s="27">
        <v>0</v>
      </c>
      <c r="E437" s="28">
        <v>0</v>
      </c>
      <c r="F437" s="29">
        <v>0</v>
      </c>
      <c r="G437" s="6">
        <f t="shared" si="44"/>
        <v>0</v>
      </c>
      <c r="H437" s="7">
        <f t="shared" si="44"/>
        <v>0</v>
      </c>
      <c r="I437" s="6">
        <f t="shared" si="39"/>
        <v>0</v>
      </c>
      <c r="J437" s="7">
        <f t="shared" si="40"/>
        <v>0</v>
      </c>
      <c r="K437" s="28">
        <v>0</v>
      </c>
      <c r="L437" s="29">
        <v>0</v>
      </c>
      <c r="M437" s="6">
        <f t="shared" si="41"/>
        <v>0</v>
      </c>
      <c r="N437" s="7">
        <f t="shared" si="42"/>
        <v>0</v>
      </c>
      <c r="O437" s="35"/>
      <c r="P437" s="36"/>
      <c r="Q437" s="59"/>
      <c r="R437" s="2" t="str">
        <f t="shared" si="43"/>
        <v>3223|0|0|0|0|0|0|</v>
      </c>
      <c r="S437" s="25"/>
    </row>
    <row r="438" spans="1:19" s="34" customFormat="1" ht="12.75" customHeight="1" x14ac:dyDescent="0.2">
      <c r="A438" s="70" t="s">
        <v>64</v>
      </c>
      <c r="B438" s="61" t="s">
        <v>1512</v>
      </c>
      <c r="C438" s="26">
        <v>0</v>
      </c>
      <c r="D438" s="27">
        <v>0</v>
      </c>
      <c r="E438" s="28">
        <v>0</v>
      </c>
      <c r="F438" s="29">
        <v>0</v>
      </c>
      <c r="G438" s="6">
        <f t="shared" si="44"/>
        <v>0</v>
      </c>
      <c r="H438" s="7">
        <f t="shared" si="44"/>
        <v>0</v>
      </c>
      <c r="I438" s="6">
        <f t="shared" si="39"/>
        <v>0</v>
      </c>
      <c r="J438" s="7">
        <f t="shared" si="40"/>
        <v>0</v>
      </c>
      <c r="K438" s="28">
        <v>0</v>
      </c>
      <c r="L438" s="29">
        <v>0</v>
      </c>
      <c r="M438" s="6">
        <f t="shared" si="41"/>
        <v>0</v>
      </c>
      <c r="N438" s="7">
        <f t="shared" si="42"/>
        <v>0</v>
      </c>
      <c r="O438" s="35"/>
      <c r="P438" s="36"/>
      <c r="Q438" s="59"/>
      <c r="R438" s="2" t="str">
        <f t="shared" si="43"/>
        <v>3224|0|0|0|0|0|0|</v>
      </c>
      <c r="S438" s="25"/>
    </row>
    <row r="439" spans="1:19" s="34" customFormat="1" ht="12.75" customHeight="1" x14ac:dyDescent="0.2">
      <c r="A439" s="70" t="s">
        <v>65</v>
      </c>
      <c r="B439" s="61" t="s">
        <v>1513</v>
      </c>
      <c r="C439" s="26">
        <v>0</v>
      </c>
      <c r="D439" s="27">
        <v>0</v>
      </c>
      <c r="E439" s="28">
        <v>0</v>
      </c>
      <c r="F439" s="29">
        <v>0</v>
      </c>
      <c r="G439" s="6">
        <f t="shared" si="44"/>
        <v>0</v>
      </c>
      <c r="H439" s="7">
        <f t="shared" si="44"/>
        <v>0</v>
      </c>
      <c r="I439" s="6">
        <f t="shared" si="39"/>
        <v>0</v>
      </c>
      <c r="J439" s="7">
        <f t="shared" si="40"/>
        <v>0</v>
      </c>
      <c r="K439" s="28">
        <v>0</v>
      </c>
      <c r="L439" s="29">
        <v>0</v>
      </c>
      <c r="M439" s="6">
        <f t="shared" si="41"/>
        <v>0</v>
      </c>
      <c r="N439" s="7">
        <f t="shared" si="42"/>
        <v>0</v>
      </c>
      <c r="O439" s="35"/>
      <c r="P439" s="36"/>
      <c r="Q439" s="59"/>
      <c r="R439" s="2" t="str">
        <f t="shared" si="43"/>
        <v>3225|0|0|0|0|0|0|</v>
      </c>
      <c r="S439" s="25"/>
    </row>
    <row r="440" spans="1:19" s="34" customFormat="1" ht="12.75" customHeight="1" x14ac:dyDescent="0.2">
      <c r="A440" s="70" t="s">
        <v>66</v>
      </c>
      <c r="B440" s="61" t="s">
        <v>1514</v>
      </c>
      <c r="C440" s="26">
        <v>0</v>
      </c>
      <c r="D440" s="27">
        <v>0</v>
      </c>
      <c r="E440" s="28">
        <v>0</v>
      </c>
      <c r="F440" s="29">
        <v>0</v>
      </c>
      <c r="G440" s="6">
        <f t="shared" si="44"/>
        <v>0</v>
      </c>
      <c r="H440" s="7">
        <f t="shared" si="44"/>
        <v>0</v>
      </c>
      <c r="I440" s="6">
        <f t="shared" si="39"/>
        <v>0</v>
      </c>
      <c r="J440" s="7">
        <f t="shared" si="40"/>
        <v>0</v>
      </c>
      <c r="K440" s="28">
        <v>0</v>
      </c>
      <c r="L440" s="29">
        <v>0</v>
      </c>
      <c r="M440" s="6">
        <f t="shared" si="41"/>
        <v>0</v>
      </c>
      <c r="N440" s="7">
        <f t="shared" si="42"/>
        <v>0</v>
      </c>
      <c r="O440" s="35"/>
      <c r="P440" s="36"/>
      <c r="Q440" s="59"/>
      <c r="R440" s="2" t="str">
        <f t="shared" si="43"/>
        <v>3226|0|0|0|0|0|0|</v>
      </c>
      <c r="S440" s="25"/>
    </row>
    <row r="441" spans="1:19" s="34" customFormat="1" ht="12.75" customHeight="1" x14ac:dyDescent="0.2">
      <c r="A441" s="70" t="s">
        <v>67</v>
      </c>
      <c r="B441" s="61" t="s">
        <v>1515</v>
      </c>
      <c r="C441" s="26">
        <v>0</v>
      </c>
      <c r="D441" s="27">
        <v>0</v>
      </c>
      <c r="E441" s="28">
        <v>0</v>
      </c>
      <c r="F441" s="29">
        <v>0</v>
      </c>
      <c r="G441" s="6">
        <f t="shared" si="44"/>
        <v>0</v>
      </c>
      <c r="H441" s="7">
        <f t="shared" si="44"/>
        <v>0</v>
      </c>
      <c r="I441" s="6">
        <f t="shared" si="39"/>
        <v>0</v>
      </c>
      <c r="J441" s="7">
        <f t="shared" si="40"/>
        <v>0</v>
      </c>
      <c r="K441" s="28">
        <v>0</v>
      </c>
      <c r="L441" s="29">
        <v>0</v>
      </c>
      <c r="M441" s="6">
        <f t="shared" si="41"/>
        <v>0</v>
      </c>
      <c r="N441" s="7">
        <f t="shared" si="42"/>
        <v>0</v>
      </c>
      <c r="O441" s="35"/>
      <c r="P441" s="36"/>
      <c r="Q441" s="59"/>
      <c r="R441" s="2" t="str">
        <f t="shared" si="43"/>
        <v>3227|0|0|0|0|0|0|</v>
      </c>
      <c r="S441" s="25"/>
    </row>
    <row r="442" spans="1:19" s="34" customFormat="1" ht="12.75" customHeight="1" x14ac:dyDescent="0.2">
      <c r="A442" s="70" t="s">
        <v>68</v>
      </c>
      <c r="B442" s="61" t="s">
        <v>1516</v>
      </c>
      <c r="C442" s="26">
        <v>0</v>
      </c>
      <c r="D442" s="27">
        <v>0</v>
      </c>
      <c r="E442" s="28">
        <v>0</v>
      </c>
      <c r="F442" s="29">
        <v>0</v>
      </c>
      <c r="G442" s="6">
        <f t="shared" si="44"/>
        <v>0</v>
      </c>
      <c r="H442" s="7">
        <f t="shared" si="44"/>
        <v>0</v>
      </c>
      <c r="I442" s="6">
        <f t="shared" si="39"/>
        <v>0</v>
      </c>
      <c r="J442" s="7">
        <f t="shared" si="40"/>
        <v>0</v>
      </c>
      <c r="K442" s="28">
        <v>0</v>
      </c>
      <c r="L442" s="29">
        <v>0</v>
      </c>
      <c r="M442" s="6">
        <f t="shared" si="41"/>
        <v>0</v>
      </c>
      <c r="N442" s="7">
        <f t="shared" si="42"/>
        <v>0</v>
      </c>
      <c r="O442" s="35"/>
      <c r="P442" s="36"/>
      <c r="Q442" s="59"/>
      <c r="R442" s="2" t="str">
        <f t="shared" si="43"/>
        <v>33111|0|0|0|0|0|0|</v>
      </c>
      <c r="S442" s="25"/>
    </row>
    <row r="443" spans="1:19" s="34" customFormat="1" ht="12.75" customHeight="1" x14ac:dyDescent="0.2">
      <c r="A443" s="70" t="s">
        <v>69</v>
      </c>
      <c r="B443" s="61" t="s">
        <v>1517</v>
      </c>
      <c r="C443" s="26">
        <v>0</v>
      </c>
      <c r="D443" s="27">
        <v>0</v>
      </c>
      <c r="E443" s="28">
        <v>0</v>
      </c>
      <c r="F443" s="29">
        <v>0</v>
      </c>
      <c r="G443" s="6">
        <f t="shared" si="44"/>
        <v>0</v>
      </c>
      <c r="H443" s="7">
        <f t="shared" si="44"/>
        <v>0</v>
      </c>
      <c r="I443" s="6">
        <f t="shared" si="39"/>
        <v>0</v>
      </c>
      <c r="J443" s="7">
        <f t="shared" si="40"/>
        <v>0</v>
      </c>
      <c r="K443" s="28">
        <v>0</v>
      </c>
      <c r="L443" s="29">
        <v>0</v>
      </c>
      <c r="M443" s="6">
        <f t="shared" si="41"/>
        <v>0</v>
      </c>
      <c r="N443" s="7">
        <f t="shared" si="42"/>
        <v>0</v>
      </c>
      <c r="O443" s="35"/>
      <c r="P443" s="36"/>
      <c r="Q443" s="59"/>
      <c r="R443" s="2" t="str">
        <f t="shared" si="43"/>
        <v>33112|0|0|0|0|0|0|</v>
      </c>
      <c r="S443" s="25"/>
    </row>
    <row r="444" spans="1:19" s="34" customFormat="1" ht="12.75" customHeight="1" x14ac:dyDescent="0.2">
      <c r="A444" s="70" t="s">
        <v>70</v>
      </c>
      <c r="B444" s="61" t="s">
        <v>1518</v>
      </c>
      <c r="C444" s="26">
        <v>0</v>
      </c>
      <c r="D444" s="27">
        <v>0</v>
      </c>
      <c r="E444" s="28">
        <v>0</v>
      </c>
      <c r="F444" s="29">
        <v>0</v>
      </c>
      <c r="G444" s="6">
        <f t="shared" si="44"/>
        <v>0</v>
      </c>
      <c r="H444" s="7">
        <f t="shared" si="44"/>
        <v>0</v>
      </c>
      <c r="I444" s="6">
        <f t="shared" si="39"/>
        <v>0</v>
      </c>
      <c r="J444" s="7">
        <f t="shared" si="40"/>
        <v>0</v>
      </c>
      <c r="K444" s="28">
        <v>0</v>
      </c>
      <c r="L444" s="29">
        <v>0</v>
      </c>
      <c r="M444" s="6">
        <f t="shared" si="41"/>
        <v>0</v>
      </c>
      <c r="N444" s="7">
        <f t="shared" si="42"/>
        <v>0</v>
      </c>
      <c r="O444" s="35"/>
      <c r="P444" s="36"/>
      <c r="Q444" s="59"/>
      <c r="R444" s="2" t="str">
        <f t="shared" si="43"/>
        <v>33211|0|0|0|0|0|0|</v>
      </c>
      <c r="S444" s="25"/>
    </row>
    <row r="445" spans="1:19" s="34" customFormat="1" ht="12.75" customHeight="1" x14ac:dyDescent="0.2">
      <c r="A445" s="70" t="s">
        <v>71</v>
      </c>
      <c r="B445" s="61" t="s">
        <v>1519</v>
      </c>
      <c r="C445" s="26">
        <v>0</v>
      </c>
      <c r="D445" s="27">
        <v>0</v>
      </c>
      <c r="E445" s="28">
        <v>0</v>
      </c>
      <c r="F445" s="29">
        <v>0</v>
      </c>
      <c r="G445" s="6">
        <f t="shared" si="44"/>
        <v>0</v>
      </c>
      <c r="H445" s="7">
        <f t="shared" si="44"/>
        <v>0</v>
      </c>
      <c r="I445" s="6">
        <f t="shared" si="39"/>
        <v>0</v>
      </c>
      <c r="J445" s="7">
        <f t="shared" si="40"/>
        <v>0</v>
      </c>
      <c r="K445" s="28">
        <v>0</v>
      </c>
      <c r="L445" s="29">
        <v>0</v>
      </c>
      <c r="M445" s="6">
        <f t="shared" si="41"/>
        <v>0</v>
      </c>
      <c r="N445" s="7">
        <f t="shared" si="42"/>
        <v>0</v>
      </c>
      <c r="O445" s="35"/>
      <c r="P445" s="36"/>
      <c r="Q445" s="59"/>
      <c r="R445" s="2" t="str">
        <f t="shared" si="43"/>
        <v>33212|0|0|0|0|0|0|</v>
      </c>
      <c r="S445" s="25"/>
    </row>
    <row r="446" spans="1:19" s="34" customFormat="1" ht="12.75" customHeight="1" x14ac:dyDescent="0.2">
      <c r="A446" s="70" t="s">
        <v>72</v>
      </c>
      <c r="B446" s="61" t="s">
        <v>1520</v>
      </c>
      <c r="C446" s="26">
        <v>0</v>
      </c>
      <c r="D446" s="27">
        <v>0</v>
      </c>
      <c r="E446" s="28">
        <v>0</v>
      </c>
      <c r="F446" s="29">
        <v>0</v>
      </c>
      <c r="G446" s="6">
        <f t="shared" si="44"/>
        <v>0</v>
      </c>
      <c r="H446" s="7">
        <f t="shared" si="44"/>
        <v>0</v>
      </c>
      <c r="I446" s="6">
        <f t="shared" si="39"/>
        <v>0</v>
      </c>
      <c r="J446" s="7">
        <f t="shared" si="40"/>
        <v>0</v>
      </c>
      <c r="K446" s="28">
        <v>0</v>
      </c>
      <c r="L446" s="29">
        <v>0</v>
      </c>
      <c r="M446" s="6">
        <f t="shared" si="41"/>
        <v>0</v>
      </c>
      <c r="N446" s="7">
        <f t="shared" si="42"/>
        <v>0</v>
      </c>
      <c r="O446" s="35"/>
      <c r="P446" s="36"/>
      <c r="Q446" s="59"/>
      <c r="R446" s="2" t="str">
        <f t="shared" si="43"/>
        <v>33213|0|0|0|0|0|0|</v>
      </c>
      <c r="S446" s="25"/>
    </row>
    <row r="447" spans="1:19" s="34" customFormat="1" ht="12.75" customHeight="1" x14ac:dyDescent="0.2">
      <c r="A447" s="70" t="s">
        <v>73</v>
      </c>
      <c r="B447" s="61" t="s">
        <v>1521</v>
      </c>
      <c r="C447" s="26">
        <v>0</v>
      </c>
      <c r="D447" s="27">
        <v>0</v>
      </c>
      <c r="E447" s="28">
        <v>0</v>
      </c>
      <c r="F447" s="29">
        <v>0</v>
      </c>
      <c r="G447" s="6">
        <f t="shared" si="44"/>
        <v>0</v>
      </c>
      <c r="H447" s="7">
        <f t="shared" si="44"/>
        <v>0</v>
      </c>
      <c r="I447" s="6">
        <f t="shared" si="39"/>
        <v>0</v>
      </c>
      <c r="J447" s="7">
        <f t="shared" si="40"/>
        <v>0</v>
      </c>
      <c r="K447" s="28">
        <v>0</v>
      </c>
      <c r="L447" s="29">
        <v>0</v>
      </c>
      <c r="M447" s="6">
        <f t="shared" si="41"/>
        <v>0</v>
      </c>
      <c r="N447" s="7">
        <f t="shared" si="42"/>
        <v>0</v>
      </c>
      <c r="O447" s="35"/>
      <c r="P447" s="36"/>
      <c r="Q447" s="59"/>
      <c r="R447" s="2" t="str">
        <f t="shared" si="43"/>
        <v>33221|0|0|0|0|0|0|</v>
      </c>
      <c r="S447" s="25"/>
    </row>
    <row r="448" spans="1:19" s="34" customFormat="1" ht="12.75" customHeight="1" x14ac:dyDescent="0.2">
      <c r="A448" s="70" t="s">
        <v>74</v>
      </c>
      <c r="B448" s="61" t="s">
        <v>1522</v>
      </c>
      <c r="C448" s="26">
        <v>0</v>
      </c>
      <c r="D448" s="27">
        <v>0</v>
      </c>
      <c r="E448" s="28">
        <v>0</v>
      </c>
      <c r="F448" s="29">
        <v>0</v>
      </c>
      <c r="G448" s="6">
        <f t="shared" si="44"/>
        <v>0</v>
      </c>
      <c r="H448" s="7">
        <f t="shared" si="44"/>
        <v>0</v>
      </c>
      <c r="I448" s="6">
        <f t="shared" si="39"/>
        <v>0</v>
      </c>
      <c r="J448" s="7">
        <f t="shared" si="40"/>
        <v>0</v>
      </c>
      <c r="K448" s="28">
        <v>0</v>
      </c>
      <c r="L448" s="29">
        <v>0</v>
      </c>
      <c r="M448" s="6">
        <f t="shared" si="41"/>
        <v>0</v>
      </c>
      <c r="N448" s="7">
        <f t="shared" si="42"/>
        <v>0</v>
      </c>
      <c r="O448" s="35"/>
      <c r="P448" s="36"/>
      <c r="Q448" s="59"/>
      <c r="R448" s="2" t="str">
        <f t="shared" si="43"/>
        <v>33222|0|0|0|0|0|0|</v>
      </c>
      <c r="S448" s="25"/>
    </row>
    <row r="449" spans="1:19" s="34" customFormat="1" ht="12.75" customHeight="1" x14ac:dyDescent="0.2">
      <c r="A449" s="70" t="s">
        <v>75</v>
      </c>
      <c r="B449" s="61" t="s">
        <v>1523</v>
      </c>
      <c r="C449" s="26">
        <v>0</v>
      </c>
      <c r="D449" s="27">
        <v>0</v>
      </c>
      <c r="E449" s="28">
        <v>0</v>
      </c>
      <c r="F449" s="29">
        <v>0</v>
      </c>
      <c r="G449" s="6">
        <f t="shared" si="44"/>
        <v>0</v>
      </c>
      <c r="H449" s="7">
        <f t="shared" si="44"/>
        <v>0</v>
      </c>
      <c r="I449" s="6">
        <f t="shared" si="39"/>
        <v>0</v>
      </c>
      <c r="J449" s="7">
        <f t="shared" si="40"/>
        <v>0</v>
      </c>
      <c r="K449" s="28">
        <v>0</v>
      </c>
      <c r="L449" s="29">
        <v>0</v>
      </c>
      <c r="M449" s="6">
        <f t="shared" si="41"/>
        <v>0</v>
      </c>
      <c r="N449" s="7">
        <f t="shared" si="42"/>
        <v>0</v>
      </c>
      <c r="O449" s="35"/>
      <c r="P449" s="36"/>
      <c r="Q449" s="59"/>
      <c r="R449" s="2" t="str">
        <f t="shared" si="43"/>
        <v>33223|0|0|0|0|0|0|</v>
      </c>
      <c r="S449" s="25"/>
    </row>
    <row r="450" spans="1:19" s="34" customFormat="1" ht="12.75" customHeight="1" x14ac:dyDescent="0.2">
      <c r="A450" s="70" t="s">
        <v>76</v>
      </c>
      <c r="B450" s="61" t="s">
        <v>1524</v>
      </c>
      <c r="C450" s="26">
        <v>0</v>
      </c>
      <c r="D450" s="27">
        <v>0</v>
      </c>
      <c r="E450" s="28">
        <v>0</v>
      </c>
      <c r="F450" s="29">
        <v>0</v>
      </c>
      <c r="G450" s="6">
        <f t="shared" si="44"/>
        <v>0</v>
      </c>
      <c r="H450" s="7">
        <f t="shared" si="44"/>
        <v>0</v>
      </c>
      <c r="I450" s="6">
        <f t="shared" si="39"/>
        <v>0</v>
      </c>
      <c r="J450" s="7">
        <f t="shared" si="40"/>
        <v>0</v>
      </c>
      <c r="K450" s="28">
        <v>0</v>
      </c>
      <c r="L450" s="29">
        <v>0</v>
      </c>
      <c r="M450" s="6">
        <f t="shared" si="41"/>
        <v>0</v>
      </c>
      <c r="N450" s="7">
        <f t="shared" si="42"/>
        <v>0</v>
      </c>
      <c r="O450" s="35"/>
      <c r="P450" s="36"/>
      <c r="Q450" s="59"/>
      <c r="R450" s="2" t="str">
        <f t="shared" si="43"/>
        <v>33231|0|0|0|0|0|0|</v>
      </c>
      <c r="S450" s="25"/>
    </row>
    <row r="451" spans="1:19" s="34" customFormat="1" ht="12.75" customHeight="1" x14ac:dyDescent="0.2">
      <c r="A451" s="70" t="s">
        <v>77</v>
      </c>
      <c r="B451" s="61" t="s">
        <v>1525</v>
      </c>
      <c r="C451" s="26">
        <v>0</v>
      </c>
      <c r="D451" s="27">
        <v>0</v>
      </c>
      <c r="E451" s="28">
        <v>0</v>
      </c>
      <c r="F451" s="29">
        <v>0</v>
      </c>
      <c r="G451" s="6">
        <f t="shared" si="44"/>
        <v>0</v>
      </c>
      <c r="H451" s="7">
        <f t="shared" si="44"/>
        <v>0</v>
      </c>
      <c r="I451" s="6">
        <f t="shared" si="39"/>
        <v>0</v>
      </c>
      <c r="J451" s="7">
        <f t="shared" si="40"/>
        <v>0</v>
      </c>
      <c r="K451" s="28">
        <v>0</v>
      </c>
      <c r="L451" s="29">
        <v>0</v>
      </c>
      <c r="M451" s="6">
        <f t="shared" si="41"/>
        <v>0</v>
      </c>
      <c r="N451" s="7">
        <f t="shared" si="42"/>
        <v>0</v>
      </c>
      <c r="O451" s="35"/>
      <c r="P451" s="36"/>
      <c r="Q451" s="59"/>
      <c r="R451" s="2" t="str">
        <f t="shared" si="43"/>
        <v>33232|0|0|0|0|0|0|</v>
      </c>
      <c r="S451" s="25"/>
    </row>
    <row r="452" spans="1:19" s="34" customFormat="1" ht="12.75" customHeight="1" x14ac:dyDescent="0.2">
      <c r="A452" s="70" t="s">
        <v>78</v>
      </c>
      <c r="B452" s="61" t="s">
        <v>1526</v>
      </c>
      <c r="C452" s="26">
        <v>0</v>
      </c>
      <c r="D452" s="27">
        <v>0</v>
      </c>
      <c r="E452" s="28">
        <v>0</v>
      </c>
      <c r="F452" s="29">
        <v>0</v>
      </c>
      <c r="G452" s="6">
        <f t="shared" si="44"/>
        <v>0</v>
      </c>
      <c r="H452" s="7">
        <f t="shared" si="44"/>
        <v>0</v>
      </c>
      <c r="I452" s="6">
        <f t="shared" si="39"/>
        <v>0</v>
      </c>
      <c r="J452" s="7">
        <f t="shared" si="40"/>
        <v>0</v>
      </c>
      <c r="K452" s="28">
        <v>0</v>
      </c>
      <c r="L452" s="29">
        <v>0</v>
      </c>
      <c r="M452" s="6">
        <f t="shared" si="41"/>
        <v>0</v>
      </c>
      <c r="N452" s="7">
        <f t="shared" si="42"/>
        <v>0</v>
      </c>
      <c r="O452" s="35"/>
      <c r="P452" s="36"/>
      <c r="Q452" s="59"/>
      <c r="R452" s="2" t="str">
        <f t="shared" si="43"/>
        <v>33233|0|0|0|0|0|0|</v>
      </c>
      <c r="S452" s="25"/>
    </row>
    <row r="453" spans="1:19" s="34" customFormat="1" ht="12.75" customHeight="1" x14ac:dyDescent="0.2">
      <c r="A453" s="70" t="s">
        <v>79</v>
      </c>
      <c r="B453" s="61" t="s">
        <v>1527</v>
      </c>
      <c r="C453" s="26">
        <v>0</v>
      </c>
      <c r="D453" s="27">
        <v>0</v>
      </c>
      <c r="E453" s="28">
        <v>0</v>
      </c>
      <c r="F453" s="29">
        <v>0</v>
      </c>
      <c r="G453" s="6">
        <f t="shared" si="44"/>
        <v>0</v>
      </c>
      <c r="H453" s="7">
        <f t="shared" si="44"/>
        <v>0</v>
      </c>
      <c r="I453" s="6">
        <f t="shared" si="39"/>
        <v>0</v>
      </c>
      <c r="J453" s="7">
        <f t="shared" si="40"/>
        <v>0</v>
      </c>
      <c r="K453" s="28">
        <v>0</v>
      </c>
      <c r="L453" s="29">
        <v>0</v>
      </c>
      <c r="M453" s="6">
        <f t="shared" si="41"/>
        <v>0</v>
      </c>
      <c r="N453" s="7">
        <f t="shared" si="42"/>
        <v>0</v>
      </c>
      <c r="O453" s="35"/>
      <c r="P453" s="36"/>
      <c r="Q453" s="59"/>
      <c r="R453" s="2" t="str">
        <f t="shared" ref="R453:R516" si="45">CONCATENATE(A453,"|",C453,"|",D453,"|",E453,"|",F453,"|",K453,"|",L453,"|")</f>
        <v>33241|0|0|0|0|0|0|</v>
      </c>
      <c r="S453" s="25"/>
    </row>
    <row r="454" spans="1:19" s="34" customFormat="1" ht="12.75" customHeight="1" x14ac:dyDescent="0.2">
      <c r="A454" s="70" t="s">
        <v>80</v>
      </c>
      <c r="B454" s="61" t="s">
        <v>1528</v>
      </c>
      <c r="C454" s="26">
        <v>0</v>
      </c>
      <c r="D454" s="27">
        <v>0</v>
      </c>
      <c r="E454" s="28">
        <v>0</v>
      </c>
      <c r="F454" s="29">
        <v>0</v>
      </c>
      <c r="G454" s="6">
        <f t="shared" si="44"/>
        <v>0</v>
      </c>
      <c r="H454" s="7">
        <f t="shared" si="44"/>
        <v>0</v>
      </c>
      <c r="I454" s="6">
        <f t="shared" ref="I454:I517" si="46">IF($G454-$H454&gt;=0,$G454-$H454,0)</f>
        <v>0</v>
      </c>
      <c r="J454" s="7">
        <f t="shared" ref="J454:J517" si="47">IF($G454-$H454&lt;0,-$G454+$H454,0)</f>
        <v>0</v>
      </c>
      <c r="K454" s="28">
        <v>0</v>
      </c>
      <c r="L454" s="29">
        <v>0</v>
      </c>
      <c r="M454" s="6">
        <f t="shared" ref="M454:M517" si="48">IF($I454-$J454+$K454-$L454&gt;=0,$I454-$J454+$K454-$L454,0)</f>
        <v>0</v>
      </c>
      <c r="N454" s="7">
        <f t="shared" ref="N454:N517" si="49">IF($I454-$J454+$K454-$L454&lt;0,-($I454-$J454+$K454-$L454),0)</f>
        <v>0</v>
      </c>
      <c r="O454" s="35"/>
      <c r="P454" s="36"/>
      <c r="Q454" s="59"/>
      <c r="R454" s="2" t="str">
        <f t="shared" si="45"/>
        <v>33242|0|0|0|0|0|0|</v>
      </c>
      <c r="S454" s="25"/>
    </row>
    <row r="455" spans="1:19" s="34" customFormat="1" ht="12.75" customHeight="1" x14ac:dyDescent="0.2">
      <c r="A455" s="70" t="s">
        <v>81</v>
      </c>
      <c r="B455" s="61" t="s">
        <v>1529</v>
      </c>
      <c r="C455" s="26">
        <v>0</v>
      </c>
      <c r="D455" s="27">
        <v>0</v>
      </c>
      <c r="E455" s="28">
        <v>0</v>
      </c>
      <c r="F455" s="29">
        <v>0</v>
      </c>
      <c r="G455" s="6">
        <f t="shared" si="44"/>
        <v>0</v>
      </c>
      <c r="H455" s="7">
        <f t="shared" si="44"/>
        <v>0</v>
      </c>
      <c r="I455" s="6">
        <f t="shared" si="46"/>
        <v>0</v>
      </c>
      <c r="J455" s="7">
        <f t="shared" si="47"/>
        <v>0</v>
      </c>
      <c r="K455" s="28">
        <v>0</v>
      </c>
      <c r="L455" s="29">
        <v>0</v>
      </c>
      <c r="M455" s="6">
        <f t="shared" si="48"/>
        <v>0</v>
      </c>
      <c r="N455" s="7">
        <f t="shared" si="49"/>
        <v>0</v>
      </c>
      <c r="O455" s="35"/>
      <c r="P455" s="36"/>
      <c r="Q455" s="59"/>
      <c r="R455" s="2" t="str">
        <f t="shared" si="45"/>
        <v>33243|0|0|0|0|0|0|</v>
      </c>
      <c r="S455" s="25"/>
    </row>
    <row r="456" spans="1:19" s="34" customFormat="1" ht="12.75" customHeight="1" x14ac:dyDescent="0.2">
      <c r="A456" s="70" t="s">
        <v>82</v>
      </c>
      <c r="B456" s="61" t="s">
        <v>1530</v>
      </c>
      <c r="C456" s="26">
        <v>0</v>
      </c>
      <c r="D456" s="27">
        <v>0</v>
      </c>
      <c r="E456" s="28">
        <v>0</v>
      </c>
      <c r="F456" s="29">
        <v>0</v>
      </c>
      <c r="G456" s="6">
        <f t="shared" si="44"/>
        <v>0</v>
      </c>
      <c r="H456" s="7">
        <f t="shared" si="44"/>
        <v>0</v>
      </c>
      <c r="I456" s="6">
        <f t="shared" si="46"/>
        <v>0</v>
      </c>
      <c r="J456" s="7">
        <f t="shared" si="47"/>
        <v>0</v>
      </c>
      <c r="K456" s="28">
        <v>0</v>
      </c>
      <c r="L456" s="29">
        <v>0</v>
      </c>
      <c r="M456" s="6">
        <f t="shared" si="48"/>
        <v>0</v>
      </c>
      <c r="N456" s="7">
        <f t="shared" si="49"/>
        <v>0</v>
      </c>
      <c r="O456" s="35"/>
      <c r="P456" s="36"/>
      <c r="Q456" s="59"/>
      <c r="R456" s="2" t="str">
        <f t="shared" si="45"/>
        <v>33311|0|0|0|0|0|0|</v>
      </c>
      <c r="S456" s="25"/>
    </row>
    <row r="457" spans="1:19" s="34" customFormat="1" ht="12.75" customHeight="1" x14ac:dyDescent="0.2">
      <c r="A457" s="70" t="s">
        <v>83</v>
      </c>
      <c r="B457" s="61" t="s">
        <v>1531</v>
      </c>
      <c r="C457" s="26">
        <v>0</v>
      </c>
      <c r="D457" s="27">
        <v>0</v>
      </c>
      <c r="E457" s="28">
        <v>0</v>
      </c>
      <c r="F457" s="29">
        <v>0</v>
      </c>
      <c r="G457" s="6">
        <f t="shared" si="44"/>
        <v>0</v>
      </c>
      <c r="H457" s="7">
        <f t="shared" si="44"/>
        <v>0</v>
      </c>
      <c r="I457" s="6">
        <f t="shared" si="46"/>
        <v>0</v>
      </c>
      <c r="J457" s="7">
        <f t="shared" si="47"/>
        <v>0</v>
      </c>
      <c r="K457" s="28">
        <v>0</v>
      </c>
      <c r="L457" s="29">
        <v>0</v>
      </c>
      <c r="M457" s="6">
        <f t="shared" si="48"/>
        <v>0</v>
      </c>
      <c r="N457" s="7">
        <f t="shared" si="49"/>
        <v>0</v>
      </c>
      <c r="O457" s="35"/>
      <c r="P457" s="36"/>
      <c r="Q457" s="59"/>
      <c r="R457" s="2" t="str">
        <f t="shared" si="45"/>
        <v>33312|0|0|0|0|0|0|</v>
      </c>
      <c r="S457" s="25"/>
    </row>
    <row r="458" spans="1:19" s="34" customFormat="1" ht="12.75" customHeight="1" x14ac:dyDescent="0.2">
      <c r="A458" s="70" t="s">
        <v>84</v>
      </c>
      <c r="B458" s="61" t="s">
        <v>1532</v>
      </c>
      <c r="C458" s="26">
        <v>0</v>
      </c>
      <c r="D458" s="27">
        <v>0</v>
      </c>
      <c r="E458" s="28">
        <v>0</v>
      </c>
      <c r="F458" s="29">
        <v>0</v>
      </c>
      <c r="G458" s="6">
        <f t="shared" si="44"/>
        <v>0</v>
      </c>
      <c r="H458" s="7">
        <f t="shared" si="44"/>
        <v>0</v>
      </c>
      <c r="I458" s="6">
        <f t="shared" si="46"/>
        <v>0</v>
      </c>
      <c r="J458" s="7">
        <f t="shared" si="47"/>
        <v>0</v>
      </c>
      <c r="K458" s="28">
        <v>0</v>
      </c>
      <c r="L458" s="29">
        <v>0</v>
      </c>
      <c r="M458" s="6">
        <f t="shared" si="48"/>
        <v>0</v>
      </c>
      <c r="N458" s="7">
        <f t="shared" si="49"/>
        <v>0</v>
      </c>
      <c r="O458" s="35"/>
      <c r="P458" s="36"/>
      <c r="Q458" s="59"/>
      <c r="R458" s="2" t="str">
        <f t="shared" si="45"/>
        <v>33313|0|0|0|0|0|0|</v>
      </c>
      <c r="S458" s="25"/>
    </row>
    <row r="459" spans="1:19" s="34" customFormat="1" ht="12.75" customHeight="1" x14ac:dyDescent="0.2">
      <c r="A459" s="70" t="s">
        <v>85</v>
      </c>
      <c r="B459" s="61" t="s">
        <v>1533</v>
      </c>
      <c r="C459" s="26">
        <v>0</v>
      </c>
      <c r="D459" s="27">
        <v>0</v>
      </c>
      <c r="E459" s="28">
        <v>0</v>
      </c>
      <c r="F459" s="29">
        <v>0</v>
      </c>
      <c r="G459" s="6">
        <f t="shared" si="44"/>
        <v>0</v>
      </c>
      <c r="H459" s="7">
        <f t="shared" si="44"/>
        <v>0</v>
      </c>
      <c r="I459" s="6">
        <f t="shared" si="46"/>
        <v>0</v>
      </c>
      <c r="J459" s="7">
        <f t="shared" si="47"/>
        <v>0</v>
      </c>
      <c r="K459" s="28">
        <v>0</v>
      </c>
      <c r="L459" s="29">
        <v>0</v>
      </c>
      <c r="M459" s="6">
        <f t="shared" si="48"/>
        <v>0</v>
      </c>
      <c r="N459" s="7">
        <f t="shared" si="49"/>
        <v>0</v>
      </c>
      <c r="O459" s="35"/>
      <c r="P459" s="36"/>
      <c r="Q459" s="59"/>
      <c r="R459" s="2" t="str">
        <f t="shared" si="45"/>
        <v>33411|0|0|0|0|0|0|</v>
      </c>
      <c r="S459" s="25"/>
    </row>
    <row r="460" spans="1:19" s="34" customFormat="1" ht="12.75" customHeight="1" x14ac:dyDescent="0.2">
      <c r="A460" s="70" t="s">
        <v>86</v>
      </c>
      <c r="B460" s="61" t="s">
        <v>1534</v>
      </c>
      <c r="C460" s="26">
        <v>0</v>
      </c>
      <c r="D460" s="27">
        <v>0</v>
      </c>
      <c r="E460" s="28">
        <v>0</v>
      </c>
      <c r="F460" s="29">
        <v>0</v>
      </c>
      <c r="G460" s="6">
        <f t="shared" si="44"/>
        <v>0</v>
      </c>
      <c r="H460" s="7">
        <f t="shared" si="44"/>
        <v>0</v>
      </c>
      <c r="I460" s="6">
        <f t="shared" si="46"/>
        <v>0</v>
      </c>
      <c r="J460" s="7">
        <f t="shared" si="47"/>
        <v>0</v>
      </c>
      <c r="K460" s="28">
        <v>0</v>
      </c>
      <c r="L460" s="29">
        <v>0</v>
      </c>
      <c r="M460" s="6">
        <f t="shared" si="48"/>
        <v>0</v>
      </c>
      <c r="N460" s="7">
        <f t="shared" si="49"/>
        <v>0</v>
      </c>
      <c r="O460" s="35"/>
      <c r="P460" s="36"/>
      <c r="Q460" s="59"/>
      <c r="R460" s="2" t="str">
        <f t="shared" si="45"/>
        <v>33412|0|0|0|0|0|0|</v>
      </c>
      <c r="S460" s="25"/>
    </row>
    <row r="461" spans="1:19" s="34" customFormat="1" ht="12.75" customHeight="1" x14ac:dyDescent="0.2">
      <c r="A461" s="70" t="s">
        <v>87</v>
      </c>
      <c r="B461" s="61" t="s">
        <v>1535</v>
      </c>
      <c r="C461" s="26">
        <v>0</v>
      </c>
      <c r="D461" s="27">
        <v>0</v>
      </c>
      <c r="E461" s="28">
        <v>0</v>
      </c>
      <c r="F461" s="29">
        <v>0</v>
      </c>
      <c r="G461" s="6">
        <f t="shared" si="44"/>
        <v>0</v>
      </c>
      <c r="H461" s="7">
        <f t="shared" si="44"/>
        <v>0</v>
      </c>
      <c r="I461" s="6">
        <f t="shared" si="46"/>
        <v>0</v>
      </c>
      <c r="J461" s="7">
        <f t="shared" si="47"/>
        <v>0</v>
      </c>
      <c r="K461" s="28">
        <v>0</v>
      </c>
      <c r="L461" s="29">
        <v>0</v>
      </c>
      <c r="M461" s="6">
        <f t="shared" si="48"/>
        <v>0</v>
      </c>
      <c r="N461" s="7">
        <f t="shared" si="49"/>
        <v>0</v>
      </c>
      <c r="O461" s="35"/>
      <c r="P461" s="36"/>
      <c r="Q461" s="59"/>
      <c r="R461" s="2" t="str">
        <f t="shared" si="45"/>
        <v>33421|0|0|0|0|0|0|</v>
      </c>
      <c r="S461" s="25"/>
    </row>
    <row r="462" spans="1:19" s="34" customFormat="1" ht="12.75" customHeight="1" x14ac:dyDescent="0.2">
      <c r="A462" s="70" t="s">
        <v>88</v>
      </c>
      <c r="B462" s="61" t="s">
        <v>1536</v>
      </c>
      <c r="C462" s="26">
        <v>0</v>
      </c>
      <c r="D462" s="27">
        <v>0</v>
      </c>
      <c r="E462" s="28">
        <v>0</v>
      </c>
      <c r="F462" s="29">
        <v>0</v>
      </c>
      <c r="G462" s="6">
        <f t="shared" si="44"/>
        <v>0</v>
      </c>
      <c r="H462" s="7">
        <f t="shared" si="44"/>
        <v>0</v>
      </c>
      <c r="I462" s="6">
        <f t="shared" si="46"/>
        <v>0</v>
      </c>
      <c r="J462" s="7">
        <f t="shared" si="47"/>
        <v>0</v>
      </c>
      <c r="K462" s="28">
        <v>0</v>
      </c>
      <c r="L462" s="29">
        <v>0</v>
      </c>
      <c r="M462" s="6">
        <f t="shared" si="48"/>
        <v>0</v>
      </c>
      <c r="N462" s="7">
        <f t="shared" si="49"/>
        <v>0</v>
      </c>
      <c r="O462" s="35"/>
      <c r="P462" s="36"/>
      <c r="Q462" s="59"/>
      <c r="R462" s="2" t="str">
        <f t="shared" si="45"/>
        <v>33422|0|0|0|0|0|0|</v>
      </c>
      <c r="S462" s="25"/>
    </row>
    <row r="463" spans="1:19" s="34" customFormat="1" ht="12.75" customHeight="1" x14ac:dyDescent="0.2">
      <c r="A463" s="70" t="s">
        <v>89</v>
      </c>
      <c r="B463" s="61" t="s">
        <v>1537</v>
      </c>
      <c r="C463" s="26">
        <v>0</v>
      </c>
      <c r="D463" s="27">
        <v>0</v>
      </c>
      <c r="E463" s="28">
        <v>0</v>
      </c>
      <c r="F463" s="29">
        <v>0</v>
      </c>
      <c r="G463" s="6">
        <f t="shared" si="44"/>
        <v>0</v>
      </c>
      <c r="H463" s="7">
        <f t="shared" si="44"/>
        <v>0</v>
      </c>
      <c r="I463" s="6">
        <f t="shared" si="46"/>
        <v>0</v>
      </c>
      <c r="J463" s="7">
        <f t="shared" si="47"/>
        <v>0</v>
      </c>
      <c r="K463" s="28">
        <v>0</v>
      </c>
      <c r="L463" s="29">
        <v>0</v>
      </c>
      <c r="M463" s="6">
        <f t="shared" si="48"/>
        <v>0</v>
      </c>
      <c r="N463" s="7">
        <f t="shared" si="49"/>
        <v>0</v>
      </c>
      <c r="O463" s="35"/>
      <c r="P463" s="36"/>
      <c r="Q463" s="59"/>
      <c r="R463" s="2" t="str">
        <f t="shared" si="45"/>
        <v>33511|0|0|0|0|0|0|</v>
      </c>
      <c r="S463" s="25"/>
    </row>
    <row r="464" spans="1:19" s="34" customFormat="1" ht="12.75" customHeight="1" x14ac:dyDescent="0.2">
      <c r="A464" s="70" t="s">
        <v>90</v>
      </c>
      <c r="B464" s="61" t="s">
        <v>1538</v>
      </c>
      <c r="C464" s="26">
        <v>0</v>
      </c>
      <c r="D464" s="27">
        <v>0</v>
      </c>
      <c r="E464" s="28">
        <v>0</v>
      </c>
      <c r="F464" s="29">
        <v>0</v>
      </c>
      <c r="G464" s="6">
        <f t="shared" si="44"/>
        <v>0</v>
      </c>
      <c r="H464" s="7">
        <f t="shared" si="44"/>
        <v>0</v>
      </c>
      <c r="I464" s="6">
        <f t="shared" si="46"/>
        <v>0</v>
      </c>
      <c r="J464" s="7">
        <f t="shared" si="47"/>
        <v>0</v>
      </c>
      <c r="K464" s="28">
        <v>0</v>
      </c>
      <c r="L464" s="29">
        <v>0</v>
      </c>
      <c r="M464" s="6">
        <f t="shared" si="48"/>
        <v>0</v>
      </c>
      <c r="N464" s="7">
        <f t="shared" si="49"/>
        <v>0</v>
      </c>
      <c r="O464" s="35"/>
      <c r="P464" s="36"/>
      <c r="Q464" s="59"/>
      <c r="R464" s="2" t="str">
        <f t="shared" si="45"/>
        <v>33512|0|0|0|0|0|0|</v>
      </c>
      <c r="S464" s="25"/>
    </row>
    <row r="465" spans="1:19" s="34" customFormat="1" ht="12.75" customHeight="1" x14ac:dyDescent="0.2">
      <c r="A465" s="70" t="s">
        <v>91</v>
      </c>
      <c r="B465" s="61" t="s">
        <v>1539</v>
      </c>
      <c r="C465" s="26">
        <v>0</v>
      </c>
      <c r="D465" s="27">
        <v>0</v>
      </c>
      <c r="E465" s="28">
        <v>0</v>
      </c>
      <c r="F465" s="29">
        <v>0</v>
      </c>
      <c r="G465" s="6">
        <f t="shared" si="44"/>
        <v>0</v>
      </c>
      <c r="H465" s="7">
        <f t="shared" si="44"/>
        <v>0</v>
      </c>
      <c r="I465" s="6">
        <f t="shared" si="46"/>
        <v>0</v>
      </c>
      <c r="J465" s="7">
        <f t="shared" si="47"/>
        <v>0</v>
      </c>
      <c r="K465" s="28">
        <v>0</v>
      </c>
      <c r="L465" s="29">
        <v>0</v>
      </c>
      <c r="M465" s="6">
        <f t="shared" si="48"/>
        <v>0</v>
      </c>
      <c r="N465" s="7">
        <f t="shared" si="49"/>
        <v>0</v>
      </c>
      <c r="O465" s="35"/>
      <c r="P465" s="36"/>
      <c r="Q465" s="59"/>
      <c r="R465" s="2" t="str">
        <f t="shared" si="45"/>
        <v>33521|0|0|0|0|0|0|</v>
      </c>
      <c r="S465" s="25"/>
    </row>
    <row r="466" spans="1:19" s="34" customFormat="1" ht="12.75" customHeight="1" x14ac:dyDescent="0.2">
      <c r="A466" s="70" t="s">
        <v>92</v>
      </c>
      <c r="B466" s="61" t="s">
        <v>1540</v>
      </c>
      <c r="C466" s="26">
        <v>0</v>
      </c>
      <c r="D466" s="27">
        <v>0</v>
      </c>
      <c r="E466" s="28">
        <v>0</v>
      </c>
      <c r="F466" s="29">
        <v>0</v>
      </c>
      <c r="G466" s="6">
        <f t="shared" si="44"/>
        <v>0</v>
      </c>
      <c r="H466" s="7">
        <f t="shared" si="44"/>
        <v>0</v>
      </c>
      <c r="I466" s="6">
        <f t="shared" si="46"/>
        <v>0</v>
      </c>
      <c r="J466" s="7">
        <f t="shared" si="47"/>
        <v>0</v>
      </c>
      <c r="K466" s="28">
        <v>0</v>
      </c>
      <c r="L466" s="29">
        <v>0</v>
      </c>
      <c r="M466" s="6">
        <f t="shared" si="48"/>
        <v>0</v>
      </c>
      <c r="N466" s="7">
        <f t="shared" si="49"/>
        <v>0</v>
      </c>
      <c r="O466" s="35"/>
      <c r="P466" s="36"/>
      <c r="Q466" s="59"/>
      <c r="R466" s="2" t="str">
        <f t="shared" si="45"/>
        <v>33522|0|0|0|0|0|0|</v>
      </c>
      <c r="S466" s="25"/>
    </row>
    <row r="467" spans="1:19" s="34" customFormat="1" ht="12.75" customHeight="1" x14ac:dyDescent="0.2">
      <c r="A467" s="70" t="s">
        <v>93</v>
      </c>
      <c r="B467" s="61" t="s">
        <v>1541</v>
      </c>
      <c r="C467" s="26">
        <v>0</v>
      </c>
      <c r="D467" s="27">
        <v>0</v>
      </c>
      <c r="E467" s="28">
        <v>0</v>
      </c>
      <c r="F467" s="29">
        <v>0</v>
      </c>
      <c r="G467" s="6">
        <f t="shared" si="44"/>
        <v>0</v>
      </c>
      <c r="H467" s="7">
        <f t="shared" si="44"/>
        <v>0</v>
      </c>
      <c r="I467" s="6">
        <f t="shared" si="46"/>
        <v>0</v>
      </c>
      <c r="J467" s="7">
        <f t="shared" si="47"/>
        <v>0</v>
      </c>
      <c r="K467" s="28">
        <v>0</v>
      </c>
      <c r="L467" s="29">
        <v>0</v>
      </c>
      <c r="M467" s="6">
        <f t="shared" si="48"/>
        <v>0</v>
      </c>
      <c r="N467" s="7">
        <f t="shared" si="49"/>
        <v>0</v>
      </c>
      <c r="O467" s="35"/>
      <c r="P467" s="36"/>
      <c r="Q467" s="59"/>
      <c r="R467" s="2" t="str">
        <f t="shared" si="45"/>
        <v>33611|0|0|0|0|0|0|</v>
      </c>
      <c r="S467" s="25"/>
    </row>
    <row r="468" spans="1:19" s="34" customFormat="1" ht="12.75" customHeight="1" x14ac:dyDescent="0.2">
      <c r="A468" s="70" t="s">
        <v>94</v>
      </c>
      <c r="B468" s="61" t="s">
        <v>1542</v>
      </c>
      <c r="C468" s="26">
        <v>0</v>
      </c>
      <c r="D468" s="27">
        <v>0</v>
      </c>
      <c r="E468" s="28">
        <v>0</v>
      </c>
      <c r="F468" s="29">
        <v>0</v>
      </c>
      <c r="G468" s="6">
        <f t="shared" si="44"/>
        <v>0</v>
      </c>
      <c r="H468" s="7">
        <f t="shared" si="44"/>
        <v>0</v>
      </c>
      <c r="I468" s="6">
        <f t="shared" si="46"/>
        <v>0</v>
      </c>
      <c r="J468" s="7">
        <f t="shared" si="47"/>
        <v>0</v>
      </c>
      <c r="K468" s="28">
        <v>0</v>
      </c>
      <c r="L468" s="29">
        <v>0</v>
      </c>
      <c r="M468" s="6">
        <f t="shared" si="48"/>
        <v>0</v>
      </c>
      <c r="N468" s="7">
        <f t="shared" si="49"/>
        <v>0</v>
      </c>
      <c r="O468" s="35"/>
      <c r="P468" s="36"/>
      <c r="Q468" s="59"/>
      <c r="R468" s="2" t="str">
        <f t="shared" si="45"/>
        <v>33612|0|0|0|0|0|0|</v>
      </c>
      <c r="S468" s="25"/>
    </row>
    <row r="469" spans="1:19" s="34" customFormat="1" ht="12.75" customHeight="1" x14ac:dyDescent="0.2">
      <c r="A469" s="70" t="s">
        <v>95</v>
      </c>
      <c r="B469" s="61" t="s">
        <v>1543</v>
      </c>
      <c r="C469" s="26">
        <v>0</v>
      </c>
      <c r="D469" s="27">
        <v>0</v>
      </c>
      <c r="E469" s="28">
        <v>0</v>
      </c>
      <c r="F469" s="29">
        <v>0</v>
      </c>
      <c r="G469" s="6">
        <f t="shared" si="44"/>
        <v>0</v>
      </c>
      <c r="H469" s="7">
        <f t="shared" si="44"/>
        <v>0</v>
      </c>
      <c r="I469" s="6">
        <f t="shared" si="46"/>
        <v>0</v>
      </c>
      <c r="J469" s="7">
        <f t="shared" si="47"/>
        <v>0</v>
      </c>
      <c r="K469" s="28">
        <v>0</v>
      </c>
      <c r="L469" s="29">
        <v>0</v>
      </c>
      <c r="M469" s="6">
        <f t="shared" si="48"/>
        <v>0</v>
      </c>
      <c r="N469" s="7">
        <f t="shared" si="49"/>
        <v>0</v>
      </c>
      <c r="O469" s="35"/>
      <c r="P469" s="36"/>
      <c r="Q469" s="59"/>
      <c r="R469" s="2" t="str">
        <f t="shared" si="45"/>
        <v>33621|0|0|0|0|0|0|</v>
      </c>
      <c r="S469" s="25"/>
    </row>
    <row r="470" spans="1:19" s="34" customFormat="1" ht="12.75" customHeight="1" x14ac:dyDescent="0.2">
      <c r="A470" s="70" t="s">
        <v>96</v>
      </c>
      <c r="B470" s="61" t="s">
        <v>1544</v>
      </c>
      <c r="C470" s="26">
        <v>0</v>
      </c>
      <c r="D470" s="27">
        <v>0</v>
      </c>
      <c r="E470" s="28">
        <v>0</v>
      </c>
      <c r="F470" s="29">
        <v>0</v>
      </c>
      <c r="G470" s="6">
        <f t="shared" si="44"/>
        <v>0</v>
      </c>
      <c r="H470" s="7">
        <f t="shared" si="44"/>
        <v>0</v>
      </c>
      <c r="I470" s="6">
        <f t="shared" si="46"/>
        <v>0</v>
      </c>
      <c r="J470" s="7">
        <f t="shared" si="47"/>
        <v>0</v>
      </c>
      <c r="K470" s="28">
        <v>0</v>
      </c>
      <c r="L470" s="29">
        <v>0</v>
      </c>
      <c r="M470" s="6">
        <f t="shared" si="48"/>
        <v>0</v>
      </c>
      <c r="N470" s="7">
        <f t="shared" si="49"/>
        <v>0</v>
      </c>
      <c r="O470" s="35"/>
      <c r="P470" s="36"/>
      <c r="Q470" s="59"/>
      <c r="R470" s="2" t="str">
        <f t="shared" si="45"/>
        <v>33622|0|0|0|0|0|0|</v>
      </c>
      <c r="S470" s="25"/>
    </row>
    <row r="471" spans="1:19" s="34" customFormat="1" ht="12.75" customHeight="1" x14ac:dyDescent="0.2">
      <c r="A471" s="70" t="s">
        <v>97</v>
      </c>
      <c r="B471" s="61" t="s">
        <v>1545</v>
      </c>
      <c r="C471" s="26">
        <v>0</v>
      </c>
      <c r="D471" s="27">
        <v>0</v>
      </c>
      <c r="E471" s="28">
        <v>0</v>
      </c>
      <c r="F471" s="29">
        <v>0</v>
      </c>
      <c r="G471" s="6">
        <f t="shared" si="44"/>
        <v>0</v>
      </c>
      <c r="H471" s="7">
        <f t="shared" si="44"/>
        <v>0</v>
      </c>
      <c r="I471" s="6">
        <f t="shared" si="46"/>
        <v>0</v>
      </c>
      <c r="J471" s="7">
        <f t="shared" si="47"/>
        <v>0</v>
      </c>
      <c r="K471" s="28">
        <v>0</v>
      </c>
      <c r="L471" s="29">
        <v>0</v>
      </c>
      <c r="M471" s="6">
        <f t="shared" si="48"/>
        <v>0</v>
      </c>
      <c r="N471" s="7">
        <f t="shared" si="49"/>
        <v>0</v>
      </c>
      <c r="O471" s="35"/>
      <c r="P471" s="36"/>
      <c r="Q471" s="59"/>
      <c r="R471" s="2" t="str">
        <f t="shared" si="45"/>
        <v>33631|0|0|0|0|0|0|</v>
      </c>
      <c r="S471" s="25"/>
    </row>
    <row r="472" spans="1:19" s="34" customFormat="1" ht="12.75" customHeight="1" x14ac:dyDescent="0.2">
      <c r="A472" s="70" t="s">
        <v>98</v>
      </c>
      <c r="B472" s="61" t="s">
        <v>1546</v>
      </c>
      <c r="C472" s="26">
        <v>0</v>
      </c>
      <c r="D472" s="27">
        <v>0</v>
      </c>
      <c r="E472" s="28">
        <v>0</v>
      </c>
      <c r="F472" s="29">
        <v>0</v>
      </c>
      <c r="G472" s="6">
        <f t="shared" si="44"/>
        <v>0</v>
      </c>
      <c r="H472" s="7">
        <f t="shared" si="44"/>
        <v>0</v>
      </c>
      <c r="I472" s="6">
        <f t="shared" si="46"/>
        <v>0</v>
      </c>
      <c r="J472" s="7">
        <f t="shared" si="47"/>
        <v>0</v>
      </c>
      <c r="K472" s="28">
        <v>0</v>
      </c>
      <c r="L472" s="29">
        <v>0</v>
      </c>
      <c r="M472" s="6">
        <f t="shared" si="48"/>
        <v>0</v>
      </c>
      <c r="N472" s="7">
        <f t="shared" si="49"/>
        <v>0</v>
      </c>
      <c r="O472" s="35"/>
      <c r="P472" s="36"/>
      <c r="Q472" s="59"/>
      <c r="R472" s="2" t="str">
        <f t="shared" si="45"/>
        <v>33632|0|0|0|0|0|0|</v>
      </c>
      <c r="S472" s="25"/>
    </row>
    <row r="473" spans="1:19" s="34" customFormat="1" ht="12.75" customHeight="1" x14ac:dyDescent="0.2">
      <c r="A473" s="70" t="s">
        <v>99</v>
      </c>
      <c r="B473" s="61" t="s">
        <v>1547</v>
      </c>
      <c r="C473" s="26">
        <v>0</v>
      </c>
      <c r="D473" s="27">
        <v>0</v>
      </c>
      <c r="E473" s="28">
        <v>0</v>
      </c>
      <c r="F473" s="29">
        <v>0</v>
      </c>
      <c r="G473" s="6">
        <f t="shared" si="44"/>
        <v>0</v>
      </c>
      <c r="H473" s="7">
        <f t="shared" si="44"/>
        <v>0</v>
      </c>
      <c r="I473" s="6">
        <f t="shared" si="46"/>
        <v>0</v>
      </c>
      <c r="J473" s="7">
        <f t="shared" si="47"/>
        <v>0</v>
      </c>
      <c r="K473" s="28">
        <v>0</v>
      </c>
      <c r="L473" s="29">
        <v>0</v>
      </c>
      <c r="M473" s="6">
        <f t="shared" si="48"/>
        <v>0</v>
      </c>
      <c r="N473" s="7">
        <f t="shared" si="49"/>
        <v>0</v>
      </c>
      <c r="O473" s="35"/>
      <c r="P473" s="36"/>
      <c r="Q473" s="59"/>
      <c r="R473" s="2" t="str">
        <f t="shared" si="45"/>
        <v>33691|0|0|0|0|0|0|</v>
      </c>
      <c r="S473" s="25"/>
    </row>
    <row r="474" spans="1:19" s="34" customFormat="1" ht="12.75" customHeight="1" x14ac:dyDescent="0.2">
      <c r="A474" s="70" t="s">
        <v>100</v>
      </c>
      <c r="B474" s="61" t="s">
        <v>1548</v>
      </c>
      <c r="C474" s="26">
        <v>0</v>
      </c>
      <c r="D474" s="27">
        <v>0</v>
      </c>
      <c r="E474" s="28">
        <v>0</v>
      </c>
      <c r="F474" s="29">
        <v>0</v>
      </c>
      <c r="G474" s="6">
        <f t="shared" si="44"/>
        <v>0</v>
      </c>
      <c r="H474" s="7">
        <f t="shared" si="44"/>
        <v>0</v>
      </c>
      <c r="I474" s="6">
        <f t="shared" si="46"/>
        <v>0</v>
      </c>
      <c r="J474" s="7">
        <f t="shared" si="47"/>
        <v>0</v>
      </c>
      <c r="K474" s="28">
        <v>0</v>
      </c>
      <c r="L474" s="29">
        <v>0</v>
      </c>
      <c r="M474" s="6">
        <f t="shared" si="48"/>
        <v>0</v>
      </c>
      <c r="N474" s="7">
        <f t="shared" si="49"/>
        <v>0</v>
      </c>
      <c r="O474" s="35"/>
      <c r="P474" s="36"/>
      <c r="Q474" s="59"/>
      <c r="R474" s="2" t="str">
        <f t="shared" si="45"/>
        <v>33692|0|0|0|0|0|0|</v>
      </c>
      <c r="S474" s="25"/>
    </row>
    <row r="475" spans="1:19" s="34" customFormat="1" ht="12.75" customHeight="1" x14ac:dyDescent="0.2">
      <c r="A475" s="70" t="s">
        <v>101</v>
      </c>
      <c r="B475" s="61" t="s">
        <v>1549</v>
      </c>
      <c r="C475" s="26">
        <v>0</v>
      </c>
      <c r="D475" s="27">
        <v>0</v>
      </c>
      <c r="E475" s="28">
        <v>0</v>
      </c>
      <c r="F475" s="29">
        <v>0</v>
      </c>
      <c r="G475" s="6">
        <f t="shared" si="44"/>
        <v>0</v>
      </c>
      <c r="H475" s="7">
        <f t="shared" si="44"/>
        <v>0</v>
      </c>
      <c r="I475" s="6">
        <f t="shared" si="46"/>
        <v>0</v>
      </c>
      <c r="J475" s="7">
        <f t="shared" si="47"/>
        <v>0</v>
      </c>
      <c r="K475" s="28">
        <v>0</v>
      </c>
      <c r="L475" s="29">
        <v>0</v>
      </c>
      <c r="M475" s="6">
        <f t="shared" si="48"/>
        <v>0</v>
      </c>
      <c r="N475" s="7">
        <f t="shared" si="49"/>
        <v>0</v>
      </c>
      <c r="O475" s="35"/>
      <c r="P475" s="36"/>
      <c r="Q475" s="59"/>
      <c r="R475" s="2" t="str">
        <f t="shared" si="45"/>
        <v>33711|0|0|0|0|0|0|</v>
      </c>
      <c r="S475" s="25"/>
    </row>
    <row r="476" spans="1:19" s="34" customFormat="1" ht="12.75" customHeight="1" x14ac:dyDescent="0.2">
      <c r="A476" s="70" t="s">
        <v>102</v>
      </c>
      <c r="B476" s="61" t="s">
        <v>1550</v>
      </c>
      <c r="C476" s="26">
        <v>0</v>
      </c>
      <c r="D476" s="27">
        <v>0</v>
      </c>
      <c r="E476" s="28">
        <v>0</v>
      </c>
      <c r="F476" s="29">
        <v>0</v>
      </c>
      <c r="G476" s="6">
        <f t="shared" si="44"/>
        <v>0</v>
      </c>
      <c r="H476" s="7">
        <f t="shared" si="44"/>
        <v>0</v>
      </c>
      <c r="I476" s="6">
        <f t="shared" si="46"/>
        <v>0</v>
      </c>
      <c r="J476" s="7">
        <f t="shared" si="47"/>
        <v>0</v>
      </c>
      <c r="K476" s="28">
        <v>0</v>
      </c>
      <c r="L476" s="29">
        <v>0</v>
      </c>
      <c r="M476" s="6">
        <f t="shared" si="48"/>
        <v>0</v>
      </c>
      <c r="N476" s="7">
        <f t="shared" si="49"/>
        <v>0</v>
      </c>
      <c r="O476" s="35"/>
      <c r="P476" s="36"/>
      <c r="Q476" s="59"/>
      <c r="R476" s="2" t="str">
        <f t="shared" si="45"/>
        <v>33712|0|0|0|0|0|0|</v>
      </c>
      <c r="S476" s="25"/>
    </row>
    <row r="477" spans="1:19" s="34" customFormat="1" ht="12.75" customHeight="1" x14ac:dyDescent="0.2">
      <c r="A477" s="70" t="s">
        <v>103</v>
      </c>
      <c r="B477" s="61" t="s">
        <v>1551</v>
      </c>
      <c r="C477" s="26">
        <v>0</v>
      </c>
      <c r="D477" s="27">
        <v>0</v>
      </c>
      <c r="E477" s="28">
        <v>0</v>
      </c>
      <c r="F477" s="29">
        <v>0</v>
      </c>
      <c r="G477" s="6">
        <f t="shared" si="44"/>
        <v>0</v>
      </c>
      <c r="H477" s="7">
        <f t="shared" si="44"/>
        <v>0</v>
      </c>
      <c r="I477" s="6">
        <f t="shared" si="46"/>
        <v>0</v>
      </c>
      <c r="J477" s="7">
        <f t="shared" si="47"/>
        <v>0</v>
      </c>
      <c r="K477" s="28">
        <v>0</v>
      </c>
      <c r="L477" s="29">
        <v>0</v>
      </c>
      <c r="M477" s="6">
        <f t="shared" si="48"/>
        <v>0</v>
      </c>
      <c r="N477" s="7">
        <f t="shared" si="49"/>
        <v>0</v>
      </c>
      <c r="O477" s="35"/>
      <c r="P477" s="36"/>
      <c r="Q477" s="59"/>
      <c r="R477" s="2" t="str">
        <f t="shared" si="45"/>
        <v>33721|0|0|0|0|0|0|</v>
      </c>
      <c r="S477" s="25"/>
    </row>
    <row r="478" spans="1:19" s="34" customFormat="1" ht="12.75" customHeight="1" x14ac:dyDescent="0.2">
      <c r="A478" s="70" t="s">
        <v>104</v>
      </c>
      <c r="B478" s="61" t="s">
        <v>1552</v>
      </c>
      <c r="C478" s="26">
        <v>0</v>
      </c>
      <c r="D478" s="27">
        <v>0</v>
      </c>
      <c r="E478" s="28">
        <v>0</v>
      </c>
      <c r="F478" s="29">
        <v>0</v>
      </c>
      <c r="G478" s="6">
        <f t="shared" si="44"/>
        <v>0</v>
      </c>
      <c r="H478" s="7">
        <f t="shared" si="44"/>
        <v>0</v>
      </c>
      <c r="I478" s="6">
        <f t="shared" si="46"/>
        <v>0</v>
      </c>
      <c r="J478" s="7">
        <f t="shared" si="47"/>
        <v>0</v>
      </c>
      <c r="K478" s="28">
        <v>0</v>
      </c>
      <c r="L478" s="29">
        <v>0</v>
      </c>
      <c r="M478" s="6">
        <f t="shared" si="48"/>
        <v>0</v>
      </c>
      <c r="N478" s="7">
        <f t="shared" si="49"/>
        <v>0</v>
      </c>
      <c r="O478" s="35"/>
      <c r="P478" s="36"/>
      <c r="Q478" s="59"/>
      <c r="R478" s="2" t="str">
        <f t="shared" si="45"/>
        <v>33722|0|0|0|0|0|0|</v>
      </c>
      <c r="S478" s="25"/>
    </row>
    <row r="479" spans="1:19" s="34" customFormat="1" ht="12.75" customHeight="1" x14ac:dyDescent="0.2">
      <c r="A479" s="70" t="s">
        <v>105</v>
      </c>
      <c r="B479" s="61" t="s">
        <v>1553</v>
      </c>
      <c r="C479" s="26">
        <v>0</v>
      </c>
      <c r="D479" s="27">
        <v>0</v>
      </c>
      <c r="E479" s="28">
        <v>0</v>
      </c>
      <c r="F479" s="29">
        <v>0</v>
      </c>
      <c r="G479" s="6">
        <f t="shared" si="44"/>
        <v>0</v>
      </c>
      <c r="H479" s="7">
        <f t="shared" si="44"/>
        <v>0</v>
      </c>
      <c r="I479" s="6">
        <f t="shared" si="46"/>
        <v>0</v>
      </c>
      <c r="J479" s="7">
        <f t="shared" si="47"/>
        <v>0</v>
      </c>
      <c r="K479" s="28">
        <v>0</v>
      </c>
      <c r="L479" s="29">
        <v>0</v>
      </c>
      <c r="M479" s="6">
        <f t="shared" si="48"/>
        <v>0</v>
      </c>
      <c r="N479" s="7">
        <f t="shared" si="49"/>
        <v>0</v>
      </c>
      <c r="O479" s="35"/>
      <c r="P479" s="36"/>
      <c r="Q479" s="59"/>
      <c r="R479" s="2" t="str">
        <f t="shared" si="45"/>
        <v>3381|0|0|0|0|0|0|</v>
      </c>
      <c r="S479" s="25"/>
    </row>
    <row r="480" spans="1:19" s="34" customFormat="1" ht="12.75" customHeight="1" x14ac:dyDescent="0.2">
      <c r="A480" s="70" t="s">
        <v>106</v>
      </c>
      <c r="B480" s="61" t="s">
        <v>1554</v>
      </c>
      <c r="C480" s="26">
        <v>0</v>
      </c>
      <c r="D480" s="27">
        <v>0</v>
      </c>
      <c r="E480" s="28">
        <v>0</v>
      </c>
      <c r="F480" s="29">
        <v>0</v>
      </c>
      <c r="G480" s="6">
        <f t="shared" si="44"/>
        <v>0</v>
      </c>
      <c r="H480" s="7">
        <f t="shared" si="44"/>
        <v>0</v>
      </c>
      <c r="I480" s="6">
        <f t="shared" si="46"/>
        <v>0</v>
      </c>
      <c r="J480" s="7">
        <f t="shared" si="47"/>
        <v>0</v>
      </c>
      <c r="K480" s="28">
        <v>0</v>
      </c>
      <c r="L480" s="29">
        <v>0</v>
      </c>
      <c r="M480" s="6">
        <f t="shared" si="48"/>
        <v>0</v>
      </c>
      <c r="N480" s="7">
        <f t="shared" si="49"/>
        <v>0</v>
      </c>
      <c r="O480" s="35"/>
      <c r="P480" s="36"/>
      <c r="Q480" s="59"/>
      <c r="R480" s="2" t="str">
        <f t="shared" si="45"/>
        <v>3382|0|0|0|0|0|0|</v>
      </c>
      <c r="S480" s="25"/>
    </row>
    <row r="481" spans="1:19" s="34" customFormat="1" ht="12.75" customHeight="1" x14ac:dyDescent="0.2">
      <c r="A481" s="70" t="s">
        <v>107</v>
      </c>
      <c r="B481" s="61" t="s">
        <v>1555</v>
      </c>
      <c r="C481" s="26">
        <v>0</v>
      </c>
      <c r="D481" s="27">
        <v>0</v>
      </c>
      <c r="E481" s="28">
        <v>0</v>
      </c>
      <c r="F481" s="29">
        <v>0</v>
      </c>
      <c r="G481" s="6">
        <f t="shared" si="44"/>
        <v>0</v>
      </c>
      <c r="H481" s="7">
        <f t="shared" si="44"/>
        <v>0</v>
      </c>
      <c r="I481" s="6">
        <f t="shared" si="46"/>
        <v>0</v>
      </c>
      <c r="J481" s="7">
        <f t="shared" si="47"/>
        <v>0</v>
      </c>
      <c r="K481" s="28">
        <v>0</v>
      </c>
      <c r="L481" s="29">
        <v>0</v>
      </c>
      <c r="M481" s="6">
        <f t="shared" si="48"/>
        <v>0</v>
      </c>
      <c r="N481" s="7">
        <f t="shared" si="49"/>
        <v>0</v>
      </c>
      <c r="O481" s="35"/>
      <c r="P481" s="36"/>
      <c r="Q481" s="59"/>
      <c r="R481" s="2" t="str">
        <f t="shared" si="45"/>
        <v>3383|0|0|0|0|0|0|</v>
      </c>
      <c r="S481" s="25"/>
    </row>
    <row r="482" spans="1:19" s="34" customFormat="1" ht="12.75" customHeight="1" x14ac:dyDescent="0.2">
      <c r="A482" s="70" t="s">
        <v>108</v>
      </c>
      <c r="B482" s="61" t="s">
        <v>1556</v>
      </c>
      <c r="C482" s="26">
        <v>0</v>
      </c>
      <c r="D482" s="27">
        <v>0</v>
      </c>
      <c r="E482" s="28">
        <v>0</v>
      </c>
      <c r="F482" s="29">
        <v>0</v>
      </c>
      <c r="G482" s="6">
        <f t="shared" si="44"/>
        <v>0</v>
      </c>
      <c r="H482" s="7">
        <f t="shared" si="44"/>
        <v>0</v>
      </c>
      <c r="I482" s="6">
        <f t="shared" si="46"/>
        <v>0</v>
      </c>
      <c r="J482" s="7">
        <f t="shared" si="47"/>
        <v>0</v>
      </c>
      <c r="K482" s="28">
        <v>0</v>
      </c>
      <c r="L482" s="29">
        <v>0</v>
      </c>
      <c r="M482" s="6">
        <f t="shared" si="48"/>
        <v>0</v>
      </c>
      <c r="N482" s="7">
        <f t="shared" si="49"/>
        <v>0</v>
      </c>
      <c r="O482" s="35"/>
      <c r="P482" s="36"/>
      <c r="Q482" s="59"/>
      <c r="R482" s="2" t="str">
        <f t="shared" si="45"/>
        <v>3386|0|0|0|0|0|0|</v>
      </c>
      <c r="S482" s="25"/>
    </row>
    <row r="483" spans="1:19" s="34" customFormat="1" ht="12.75" customHeight="1" x14ac:dyDescent="0.2">
      <c r="A483" s="70" t="s">
        <v>109</v>
      </c>
      <c r="B483" s="61" t="s">
        <v>1557</v>
      </c>
      <c r="C483" s="26">
        <v>0</v>
      </c>
      <c r="D483" s="27">
        <v>0</v>
      </c>
      <c r="E483" s="28">
        <v>0</v>
      </c>
      <c r="F483" s="29">
        <v>0</v>
      </c>
      <c r="G483" s="6">
        <f t="shared" si="44"/>
        <v>0</v>
      </c>
      <c r="H483" s="7">
        <f t="shared" si="44"/>
        <v>0</v>
      </c>
      <c r="I483" s="6">
        <f t="shared" si="46"/>
        <v>0</v>
      </c>
      <c r="J483" s="7">
        <f t="shared" si="47"/>
        <v>0</v>
      </c>
      <c r="K483" s="28">
        <v>0</v>
      </c>
      <c r="L483" s="29">
        <v>0</v>
      </c>
      <c r="M483" s="6">
        <f t="shared" si="48"/>
        <v>0</v>
      </c>
      <c r="N483" s="7">
        <f t="shared" si="49"/>
        <v>0</v>
      </c>
      <c r="O483" s="35"/>
      <c r="P483" s="36"/>
      <c r="Q483" s="59"/>
      <c r="R483" s="2" t="str">
        <f t="shared" si="45"/>
        <v>3387|0|0|0|0|0|0|</v>
      </c>
      <c r="S483" s="25"/>
    </row>
    <row r="484" spans="1:19" s="34" customFormat="1" ht="12.75" customHeight="1" x14ac:dyDescent="0.2">
      <c r="A484" s="70" t="s">
        <v>110</v>
      </c>
      <c r="B484" s="61" t="s">
        <v>1558</v>
      </c>
      <c r="C484" s="26">
        <v>0</v>
      </c>
      <c r="D484" s="27">
        <v>0</v>
      </c>
      <c r="E484" s="28">
        <v>0</v>
      </c>
      <c r="F484" s="29">
        <v>0</v>
      </c>
      <c r="G484" s="6">
        <f t="shared" si="44"/>
        <v>0</v>
      </c>
      <c r="H484" s="7">
        <f t="shared" si="44"/>
        <v>0</v>
      </c>
      <c r="I484" s="6">
        <f t="shared" si="46"/>
        <v>0</v>
      </c>
      <c r="J484" s="7">
        <f t="shared" si="47"/>
        <v>0</v>
      </c>
      <c r="K484" s="28">
        <v>0</v>
      </c>
      <c r="L484" s="29">
        <v>0</v>
      </c>
      <c r="M484" s="6">
        <f t="shared" si="48"/>
        <v>0</v>
      </c>
      <c r="N484" s="7">
        <f t="shared" si="49"/>
        <v>0</v>
      </c>
      <c r="O484" s="35"/>
      <c r="P484" s="36"/>
      <c r="Q484" s="59"/>
      <c r="R484" s="2" t="str">
        <f t="shared" si="45"/>
        <v>3391|0|0|0|0|0|0|</v>
      </c>
      <c r="S484" s="25"/>
    </row>
    <row r="485" spans="1:19" s="34" customFormat="1" ht="12.75" customHeight="1" x14ac:dyDescent="0.2">
      <c r="A485" s="70" t="s">
        <v>111</v>
      </c>
      <c r="B485" s="61" t="s">
        <v>1559</v>
      </c>
      <c r="C485" s="26">
        <v>0</v>
      </c>
      <c r="D485" s="27">
        <v>0</v>
      </c>
      <c r="E485" s="28">
        <v>0</v>
      </c>
      <c r="F485" s="29">
        <v>0</v>
      </c>
      <c r="G485" s="6">
        <f t="shared" si="44"/>
        <v>0</v>
      </c>
      <c r="H485" s="7">
        <f t="shared" si="44"/>
        <v>0</v>
      </c>
      <c r="I485" s="6">
        <f t="shared" si="46"/>
        <v>0</v>
      </c>
      <c r="J485" s="7">
        <f t="shared" si="47"/>
        <v>0</v>
      </c>
      <c r="K485" s="28">
        <v>0</v>
      </c>
      <c r="L485" s="29">
        <v>0</v>
      </c>
      <c r="M485" s="6">
        <f t="shared" si="48"/>
        <v>0</v>
      </c>
      <c r="N485" s="7">
        <f t="shared" si="49"/>
        <v>0</v>
      </c>
      <c r="O485" s="35"/>
      <c r="P485" s="36"/>
      <c r="Q485" s="59"/>
      <c r="R485" s="2" t="str">
        <f t="shared" si="45"/>
        <v>3392|0|0|0|0|0|0|</v>
      </c>
      <c r="S485" s="25"/>
    </row>
    <row r="486" spans="1:19" s="34" customFormat="1" ht="12.75" customHeight="1" x14ac:dyDescent="0.2">
      <c r="A486" s="70" t="s">
        <v>112</v>
      </c>
      <c r="B486" s="61" t="s">
        <v>1560</v>
      </c>
      <c r="C486" s="26">
        <v>0</v>
      </c>
      <c r="D486" s="27">
        <v>0</v>
      </c>
      <c r="E486" s="28">
        <v>0</v>
      </c>
      <c r="F486" s="29">
        <v>0</v>
      </c>
      <c r="G486" s="6">
        <f t="shared" si="44"/>
        <v>0</v>
      </c>
      <c r="H486" s="7">
        <f t="shared" si="44"/>
        <v>0</v>
      </c>
      <c r="I486" s="6">
        <f t="shared" si="46"/>
        <v>0</v>
      </c>
      <c r="J486" s="7">
        <f t="shared" si="47"/>
        <v>0</v>
      </c>
      <c r="K486" s="28">
        <v>0</v>
      </c>
      <c r="L486" s="29">
        <v>0</v>
      </c>
      <c r="M486" s="6">
        <f t="shared" si="48"/>
        <v>0</v>
      </c>
      <c r="N486" s="7">
        <f t="shared" si="49"/>
        <v>0</v>
      </c>
      <c r="O486" s="35"/>
      <c r="P486" s="36"/>
      <c r="Q486" s="59"/>
      <c r="R486" s="2" t="str">
        <f t="shared" si="45"/>
        <v>3393|0|0|0|0|0|0|</v>
      </c>
      <c r="S486" s="25"/>
    </row>
    <row r="487" spans="1:19" s="34" customFormat="1" ht="12.75" customHeight="1" x14ac:dyDescent="0.2">
      <c r="A487" s="70" t="s">
        <v>113</v>
      </c>
      <c r="B487" s="61" t="s">
        <v>1561</v>
      </c>
      <c r="C487" s="26">
        <v>0</v>
      </c>
      <c r="D487" s="27">
        <v>0</v>
      </c>
      <c r="E487" s="28">
        <v>0</v>
      </c>
      <c r="F487" s="29">
        <v>0</v>
      </c>
      <c r="G487" s="6">
        <f t="shared" si="44"/>
        <v>0</v>
      </c>
      <c r="H487" s="7">
        <f t="shared" si="44"/>
        <v>0</v>
      </c>
      <c r="I487" s="6">
        <f t="shared" si="46"/>
        <v>0</v>
      </c>
      <c r="J487" s="7">
        <f t="shared" si="47"/>
        <v>0</v>
      </c>
      <c r="K487" s="28">
        <v>0</v>
      </c>
      <c r="L487" s="29">
        <v>0</v>
      </c>
      <c r="M487" s="6">
        <f t="shared" si="48"/>
        <v>0</v>
      </c>
      <c r="N487" s="7">
        <f t="shared" si="49"/>
        <v>0</v>
      </c>
      <c r="O487" s="35"/>
      <c r="P487" s="36"/>
      <c r="Q487" s="59"/>
      <c r="R487" s="2" t="str">
        <f t="shared" si="45"/>
        <v>3394|0|0|0|0|0|0|</v>
      </c>
      <c r="S487" s="25"/>
    </row>
    <row r="488" spans="1:19" s="34" customFormat="1" ht="12.75" customHeight="1" x14ac:dyDescent="0.2">
      <c r="A488" s="70" t="s">
        <v>114</v>
      </c>
      <c r="B488" s="61" t="s">
        <v>1562</v>
      </c>
      <c r="C488" s="26">
        <v>0</v>
      </c>
      <c r="D488" s="27">
        <v>0</v>
      </c>
      <c r="E488" s="28">
        <v>0</v>
      </c>
      <c r="F488" s="29">
        <v>0</v>
      </c>
      <c r="G488" s="6">
        <f t="shared" si="44"/>
        <v>0</v>
      </c>
      <c r="H488" s="7">
        <f t="shared" si="44"/>
        <v>0</v>
      </c>
      <c r="I488" s="6">
        <f t="shared" si="46"/>
        <v>0</v>
      </c>
      <c r="J488" s="7">
        <f t="shared" si="47"/>
        <v>0</v>
      </c>
      <c r="K488" s="28">
        <v>0</v>
      </c>
      <c r="L488" s="29">
        <v>0</v>
      </c>
      <c r="M488" s="6">
        <f t="shared" si="48"/>
        <v>0</v>
      </c>
      <c r="N488" s="7">
        <f t="shared" si="49"/>
        <v>0</v>
      </c>
      <c r="O488" s="35"/>
      <c r="P488" s="36"/>
      <c r="Q488" s="59"/>
      <c r="R488" s="2" t="str">
        <f t="shared" si="45"/>
        <v>33971|0|0|0|0|0|0|</v>
      </c>
      <c r="S488" s="25"/>
    </row>
    <row r="489" spans="1:19" s="34" customFormat="1" ht="12.75" customHeight="1" x14ac:dyDescent="0.2">
      <c r="A489" s="70" t="s">
        <v>115</v>
      </c>
      <c r="B489" s="61" t="s">
        <v>1563</v>
      </c>
      <c r="C489" s="26">
        <v>0</v>
      </c>
      <c r="D489" s="27">
        <v>0</v>
      </c>
      <c r="E489" s="28">
        <v>0</v>
      </c>
      <c r="F489" s="29">
        <v>0</v>
      </c>
      <c r="G489" s="6">
        <f t="shared" si="44"/>
        <v>0</v>
      </c>
      <c r="H489" s="7">
        <f t="shared" si="44"/>
        <v>0</v>
      </c>
      <c r="I489" s="6">
        <f t="shared" si="46"/>
        <v>0</v>
      </c>
      <c r="J489" s="7">
        <f t="shared" si="47"/>
        <v>0</v>
      </c>
      <c r="K489" s="28">
        <v>0</v>
      </c>
      <c r="L489" s="29">
        <v>0</v>
      </c>
      <c r="M489" s="6">
        <f t="shared" si="48"/>
        <v>0</v>
      </c>
      <c r="N489" s="7">
        <f t="shared" si="49"/>
        <v>0</v>
      </c>
      <c r="O489" s="35"/>
      <c r="P489" s="36"/>
      <c r="Q489" s="59"/>
      <c r="R489" s="2" t="str">
        <f t="shared" si="45"/>
        <v>33981|0|0|0|0|0|0|</v>
      </c>
      <c r="S489" s="25"/>
    </row>
    <row r="490" spans="1:19" s="34" customFormat="1" ht="12.75" customHeight="1" x14ac:dyDescent="0.2">
      <c r="A490" s="70" t="s">
        <v>116</v>
      </c>
      <c r="B490" s="61" t="s">
        <v>1564</v>
      </c>
      <c r="C490" s="26">
        <v>0</v>
      </c>
      <c r="D490" s="27">
        <v>0</v>
      </c>
      <c r="E490" s="28">
        <v>0</v>
      </c>
      <c r="F490" s="29">
        <v>0</v>
      </c>
      <c r="G490" s="6">
        <f t="shared" si="44"/>
        <v>0</v>
      </c>
      <c r="H490" s="7">
        <f t="shared" si="44"/>
        <v>0</v>
      </c>
      <c r="I490" s="6">
        <f t="shared" si="46"/>
        <v>0</v>
      </c>
      <c r="J490" s="7">
        <f t="shared" si="47"/>
        <v>0</v>
      </c>
      <c r="K490" s="28">
        <v>0</v>
      </c>
      <c r="L490" s="29">
        <v>0</v>
      </c>
      <c r="M490" s="6">
        <f t="shared" si="48"/>
        <v>0</v>
      </c>
      <c r="N490" s="7">
        <f t="shared" si="49"/>
        <v>0</v>
      </c>
      <c r="O490" s="35"/>
      <c r="P490" s="36"/>
      <c r="Q490" s="59"/>
      <c r="R490" s="2" t="str">
        <f t="shared" si="45"/>
        <v>33982|0|0|0|0|0|0|</v>
      </c>
      <c r="S490" s="25"/>
    </row>
    <row r="491" spans="1:19" s="34" customFormat="1" ht="12.75" customHeight="1" x14ac:dyDescent="0.2">
      <c r="A491" s="70" t="s">
        <v>719</v>
      </c>
      <c r="B491" s="61" t="s">
        <v>135</v>
      </c>
      <c r="C491" s="26">
        <v>0</v>
      </c>
      <c r="D491" s="27">
        <v>0</v>
      </c>
      <c r="E491" s="28">
        <v>0</v>
      </c>
      <c r="F491" s="29">
        <v>0</v>
      </c>
      <c r="G491" s="6">
        <f t="shared" si="44"/>
        <v>0</v>
      </c>
      <c r="H491" s="7">
        <f t="shared" si="44"/>
        <v>0</v>
      </c>
      <c r="I491" s="6">
        <f t="shared" si="46"/>
        <v>0</v>
      </c>
      <c r="J491" s="7">
        <f t="shared" si="47"/>
        <v>0</v>
      </c>
      <c r="K491" s="28">
        <v>0</v>
      </c>
      <c r="L491" s="29">
        <v>0</v>
      </c>
      <c r="M491" s="6">
        <f t="shared" si="48"/>
        <v>0</v>
      </c>
      <c r="N491" s="7">
        <f t="shared" si="49"/>
        <v>0</v>
      </c>
      <c r="O491" s="35"/>
      <c r="P491" s="36"/>
      <c r="Q491" s="59"/>
      <c r="R491" s="2" t="str">
        <f t="shared" si="45"/>
        <v>3399|0|0|0|0|0|0|</v>
      </c>
      <c r="S491" s="25"/>
    </row>
    <row r="492" spans="1:19" s="34" customFormat="1" ht="12.75" customHeight="1" x14ac:dyDescent="0.2">
      <c r="A492" s="70" t="s">
        <v>117</v>
      </c>
      <c r="B492" s="61" t="s">
        <v>1565</v>
      </c>
      <c r="C492" s="26">
        <v>0</v>
      </c>
      <c r="D492" s="27">
        <v>0</v>
      </c>
      <c r="E492" s="28">
        <v>0</v>
      </c>
      <c r="F492" s="29">
        <v>0</v>
      </c>
      <c r="G492" s="6">
        <f t="shared" ref="G492:H555" si="50">+C492+E492</f>
        <v>0</v>
      </c>
      <c r="H492" s="7">
        <f t="shared" si="50"/>
        <v>0</v>
      </c>
      <c r="I492" s="6">
        <f t="shared" si="46"/>
        <v>0</v>
      </c>
      <c r="J492" s="7">
        <f t="shared" si="47"/>
        <v>0</v>
      </c>
      <c r="K492" s="28">
        <v>0</v>
      </c>
      <c r="L492" s="29">
        <v>0</v>
      </c>
      <c r="M492" s="6">
        <f t="shared" si="48"/>
        <v>0</v>
      </c>
      <c r="N492" s="7">
        <f t="shared" si="49"/>
        <v>0</v>
      </c>
      <c r="O492" s="35"/>
      <c r="P492" s="36"/>
      <c r="Q492" s="59"/>
      <c r="R492" s="2" t="str">
        <f t="shared" si="45"/>
        <v>34111|0|0|0|0|0|0|</v>
      </c>
      <c r="S492" s="25"/>
    </row>
    <row r="493" spans="1:19" s="34" customFormat="1" ht="12.75" customHeight="1" x14ac:dyDescent="0.2">
      <c r="A493" s="70" t="s">
        <v>118</v>
      </c>
      <c r="B493" s="61" t="s">
        <v>1566</v>
      </c>
      <c r="C493" s="26">
        <v>0</v>
      </c>
      <c r="D493" s="27">
        <v>0</v>
      </c>
      <c r="E493" s="28">
        <v>0</v>
      </c>
      <c r="F493" s="29">
        <v>0</v>
      </c>
      <c r="G493" s="6">
        <f t="shared" si="50"/>
        <v>0</v>
      </c>
      <c r="H493" s="7">
        <f t="shared" si="50"/>
        <v>0</v>
      </c>
      <c r="I493" s="6">
        <f t="shared" si="46"/>
        <v>0</v>
      </c>
      <c r="J493" s="7">
        <f t="shared" si="47"/>
        <v>0</v>
      </c>
      <c r="K493" s="28">
        <v>0</v>
      </c>
      <c r="L493" s="29">
        <v>0</v>
      </c>
      <c r="M493" s="6">
        <f t="shared" si="48"/>
        <v>0</v>
      </c>
      <c r="N493" s="7">
        <f t="shared" si="49"/>
        <v>0</v>
      </c>
      <c r="O493" s="35"/>
      <c r="P493" s="36"/>
      <c r="Q493" s="59"/>
      <c r="R493" s="2" t="str">
        <f t="shared" si="45"/>
        <v>34112|0|0|0|0|0|0|</v>
      </c>
      <c r="S493" s="25"/>
    </row>
    <row r="494" spans="1:19" s="34" customFormat="1" ht="12.75" customHeight="1" x14ac:dyDescent="0.2">
      <c r="A494" s="70" t="s">
        <v>119</v>
      </c>
      <c r="B494" s="61" t="s">
        <v>1567</v>
      </c>
      <c r="C494" s="26">
        <v>0</v>
      </c>
      <c r="D494" s="27">
        <v>0</v>
      </c>
      <c r="E494" s="28">
        <v>0</v>
      </c>
      <c r="F494" s="29">
        <v>0</v>
      </c>
      <c r="G494" s="6">
        <f t="shared" si="50"/>
        <v>0</v>
      </c>
      <c r="H494" s="7">
        <f t="shared" si="50"/>
        <v>0</v>
      </c>
      <c r="I494" s="6">
        <f t="shared" si="46"/>
        <v>0</v>
      </c>
      <c r="J494" s="7">
        <f t="shared" si="47"/>
        <v>0</v>
      </c>
      <c r="K494" s="28">
        <v>0</v>
      </c>
      <c r="L494" s="29">
        <v>0</v>
      </c>
      <c r="M494" s="6">
        <f t="shared" si="48"/>
        <v>0</v>
      </c>
      <c r="N494" s="7">
        <f t="shared" si="49"/>
        <v>0</v>
      </c>
      <c r="O494" s="35"/>
      <c r="P494" s="36"/>
      <c r="Q494" s="59"/>
      <c r="R494" s="2" t="str">
        <f t="shared" si="45"/>
        <v>34121|0|0|0|0|0|0|</v>
      </c>
      <c r="S494" s="25"/>
    </row>
    <row r="495" spans="1:19" s="34" customFormat="1" ht="12.75" customHeight="1" x14ac:dyDescent="0.2">
      <c r="A495" s="70" t="s">
        <v>120</v>
      </c>
      <c r="B495" s="61" t="s">
        <v>1568</v>
      </c>
      <c r="C495" s="26">
        <v>0</v>
      </c>
      <c r="D495" s="27">
        <v>0</v>
      </c>
      <c r="E495" s="28">
        <v>0</v>
      </c>
      <c r="F495" s="29">
        <v>0</v>
      </c>
      <c r="G495" s="6">
        <f t="shared" si="50"/>
        <v>0</v>
      </c>
      <c r="H495" s="7">
        <f t="shared" si="50"/>
        <v>0</v>
      </c>
      <c r="I495" s="6">
        <f t="shared" si="46"/>
        <v>0</v>
      </c>
      <c r="J495" s="7">
        <f t="shared" si="47"/>
        <v>0</v>
      </c>
      <c r="K495" s="28">
        <v>0</v>
      </c>
      <c r="L495" s="29">
        <v>0</v>
      </c>
      <c r="M495" s="6">
        <f t="shared" si="48"/>
        <v>0</v>
      </c>
      <c r="N495" s="7">
        <f t="shared" si="49"/>
        <v>0</v>
      </c>
      <c r="O495" s="35"/>
      <c r="P495" s="36"/>
      <c r="Q495" s="59"/>
      <c r="R495" s="2" t="str">
        <f t="shared" si="45"/>
        <v>34122|0|0|0|0|0|0|</v>
      </c>
      <c r="S495" s="25"/>
    </row>
    <row r="496" spans="1:19" s="34" customFormat="1" ht="12.75" customHeight="1" x14ac:dyDescent="0.2">
      <c r="A496" s="70" t="s">
        <v>121</v>
      </c>
      <c r="B496" s="61" t="s">
        <v>1569</v>
      </c>
      <c r="C496" s="26">
        <v>0</v>
      </c>
      <c r="D496" s="27">
        <v>0</v>
      </c>
      <c r="E496" s="28">
        <v>0</v>
      </c>
      <c r="F496" s="29">
        <v>0</v>
      </c>
      <c r="G496" s="6">
        <f t="shared" si="50"/>
        <v>0</v>
      </c>
      <c r="H496" s="7">
        <f t="shared" si="50"/>
        <v>0</v>
      </c>
      <c r="I496" s="6">
        <f t="shared" si="46"/>
        <v>0</v>
      </c>
      <c r="J496" s="7">
        <f t="shared" si="47"/>
        <v>0</v>
      </c>
      <c r="K496" s="28">
        <v>0</v>
      </c>
      <c r="L496" s="29">
        <v>0</v>
      </c>
      <c r="M496" s="6">
        <f t="shared" si="48"/>
        <v>0</v>
      </c>
      <c r="N496" s="7">
        <f t="shared" si="49"/>
        <v>0</v>
      </c>
      <c r="O496" s="35"/>
      <c r="P496" s="36"/>
      <c r="Q496" s="59"/>
      <c r="R496" s="2" t="str">
        <f t="shared" si="45"/>
        <v>34191|0|0|0|0|0|0|</v>
      </c>
      <c r="S496" s="25"/>
    </row>
    <row r="497" spans="1:19" s="34" customFormat="1" ht="12.75" customHeight="1" x14ac:dyDescent="0.2">
      <c r="A497" s="70" t="s">
        <v>122</v>
      </c>
      <c r="B497" s="61" t="s">
        <v>1570</v>
      </c>
      <c r="C497" s="26">
        <v>0</v>
      </c>
      <c r="D497" s="27">
        <v>0</v>
      </c>
      <c r="E497" s="28">
        <v>0</v>
      </c>
      <c r="F497" s="29">
        <v>0</v>
      </c>
      <c r="G497" s="6">
        <f t="shared" si="50"/>
        <v>0</v>
      </c>
      <c r="H497" s="7">
        <f t="shared" si="50"/>
        <v>0</v>
      </c>
      <c r="I497" s="6">
        <f t="shared" si="46"/>
        <v>0</v>
      </c>
      <c r="J497" s="7">
        <f t="shared" si="47"/>
        <v>0</v>
      </c>
      <c r="K497" s="28">
        <v>0</v>
      </c>
      <c r="L497" s="29">
        <v>0</v>
      </c>
      <c r="M497" s="6">
        <f t="shared" si="48"/>
        <v>0</v>
      </c>
      <c r="N497" s="7">
        <f t="shared" si="49"/>
        <v>0</v>
      </c>
      <c r="O497" s="35"/>
      <c r="P497" s="36"/>
      <c r="Q497" s="59"/>
      <c r="R497" s="2" t="str">
        <f t="shared" si="45"/>
        <v>34192|0|0|0|0|0|0|</v>
      </c>
      <c r="S497" s="25"/>
    </row>
    <row r="498" spans="1:19" s="34" customFormat="1" ht="12.75" customHeight="1" x14ac:dyDescent="0.2">
      <c r="A498" s="70" t="s">
        <v>123</v>
      </c>
      <c r="B498" s="61" t="s">
        <v>1571</v>
      </c>
      <c r="C498" s="26">
        <v>0</v>
      </c>
      <c r="D498" s="27">
        <v>0</v>
      </c>
      <c r="E498" s="28">
        <v>0</v>
      </c>
      <c r="F498" s="29">
        <v>0</v>
      </c>
      <c r="G498" s="6">
        <f t="shared" si="50"/>
        <v>0</v>
      </c>
      <c r="H498" s="7">
        <f t="shared" si="50"/>
        <v>0</v>
      </c>
      <c r="I498" s="6">
        <f t="shared" si="46"/>
        <v>0</v>
      </c>
      <c r="J498" s="7">
        <f t="shared" si="47"/>
        <v>0</v>
      </c>
      <c r="K498" s="28">
        <v>0</v>
      </c>
      <c r="L498" s="29">
        <v>0</v>
      </c>
      <c r="M498" s="6">
        <f t="shared" si="48"/>
        <v>0</v>
      </c>
      <c r="N498" s="7">
        <f t="shared" si="49"/>
        <v>0</v>
      </c>
      <c r="O498" s="35"/>
      <c r="P498" s="36"/>
      <c r="Q498" s="59"/>
      <c r="R498" s="2" t="str">
        <f t="shared" si="45"/>
        <v>34211|0|0|0|0|0|0|</v>
      </c>
      <c r="S498" s="25"/>
    </row>
    <row r="499" spans="1:19" s="34" customFormat="1" ht="12.75" customHeight="1" x14ac:dyDescent="0.2">
      <c r="A499" s="70" t="s">
        <v>124</v>
      </c>
      <c r="B499" s="61" t="s">
        <v>1572</v>
      </c>
      <c r="C499" s="26">
        <v>0</v>
      </c>
      <c r="D499" s="27">
        <v>0</v>
      </c>
      <c r="E499" s="28">
        <v>0</v>
      </c>
      <c r="F499" s="29">
        <v>0</v>
      </c>
      <c r="G499" s="6">
        <f t="shared" si="50"/>
        <v>0</v>
      </c>
      <c r="H499" s="7">
        <f t="shared" si="50"/>
        <v>0</v>
      </c>
      <c r="I499" s="6">
        <f t="shared" si="46"/>
        <v>0</v>
      </c>
      <c r="J499" s="7">
        <f t="shared" si="47"/>
        <v>0</v>
      </c>
      <c r="K499" s="28">
        <v>0</v>
      </c>
      <c r="L499" s="29">
        <v>0</v>
      </c>
      <c r="M499" s="6">
        <f t="shared" si="48"/>
        <v>0</v>
      </c>
      <c r="N499" s="7">
        <f t="shared" si="49"/>
        <v>0</v>
      </c>
      <c r="O499" s="35"/>
      <c r="P499" s="36"/>
      <c r="Q499" s="59"/>
      <c r="R499" s="2" t="str">
        <f t="shared" si="45"/>
        <v>34212|0|0|0|0|0|0|</v>
      </c>
      <c r="S499" s="25"/>
    </row>
    <row r="500" spans="1:19" s="34" customFormat="1" ht="12.75" customHeight="1" x14ac:dyDescent="0.2">
      <c r="A500" s="70" t="s">
        <v>125</v>
      </c>
      <c r="B500" s="61" t="s">
        <v>1573</v>
      </c>
      <c r="C500" s="26">
        <v>0</v>
      </c>
      <c r="D500" s="27">
        <v>0</v>
      </c>
      <c r="E500" s="28">
        <v>0</v>
      </c>
      <c r="F500" s="29">
        <v>0</v>
      </c>
      <c r="G500" s="6">
        <f t="shared" si="50"/>
        <v>0</v>
      </c>
      <c r="H500" s="7">
        <f t="shared" si="50"/>
        <v>0</v>
      </c>
      <c r="I500" s="6">
        <f t="shared" si="46"/>
        <v>0</v>
      </c>
      <c r="J500" s="7">
        <f t="shared" si="47"/>
        <v>0</v>
      </c>
      <c r="K500" s="28">
        <v>0</v>
      </c>
      <c r="L500" s="29">
        <v>0</v>
      </c>
      <c r="M500" s="6">
        <f t="shared" si="48"/>
        <v>0</v>
      </c>
      <c r="N500" s="7">
        <f t="shared" si="49"/>
        <v>0</v>
      </c>
      <c r="O500" s="35"/>
      <c r="P500" s="36"/>
      <c r="Q500" s="59"/>
      <c r="R500" s="2" t="str">
        <f t="shared" si="45"/>
        <v>34221|0|0|0|0|0|0|</v>
      </c>
      <c r="S500" s="25"/>
    </row>
    <row r="501" spans="1:19" s="34" customFormat="1" ht="12.75" customHeight="1" x14ac:dyDescent="0.2">
      <c r="A501" s="70" t="s">
        <v>126</v>
      </c>
      <c r="B501" s="61" t="s">
        <v>1574</v>
      </c>
      <c r="C501" s="26">
        <v>0</v>
      </c>
      <c r="D501" s="27">
        <v>0</v>
      </c>
      <c r="E501" s="28">
        <v>0</v>
      </c>
      <c r="F501" s="29">
        <v>0</v>
      </c>
      <c r="G501" s="6">
        <f t="shared" si="50"/>
        <v>0</v>
      </c>
      <c r="H501" s="7">
        <f t="shared" si="50"/>
        <v>0</v>
      </c>
      <c r="I501" s="6">
        <f t="shared" si="46"/>
        <v>0</v>
      </c>
      <c r="J501" s="7">
        <f t="shared" si="47"/>
        <v>0</v>
      </c>
      <c r="K501" s="28">
        <v>0</v>
      </c>
      <c r="L501" s="29">
        <v>0</v>
      </c>
      <c r="M501" s="6">
        <f t="shared" si="48"/>
        <v>0</v>
      </c>
      <c r="N501" s="7">
        <f t="shared" si="49"/>
        <v>0</v>
      </c>
      <c r="O501" s="35"/>
      <c r="P501" s="36"/>
      <c r="Q501" s="59"/>
      <c r="R501" s="2" t="str">
        <f t="shared" si="45"/>
        <v>34222|0|0|0|0|0|0|</v>
      </c>
      <c r="S501" s="25"/>
    </row>
    <row r="502" spans="1:19" s="34" customFormat="1" ht="12.75" customHeight="1" x14ac:dyDescent="0.2">
      <c r="A502" s="70" t="s">
        <v>127</v>
      </c>
      <c r="B502" s="61" t="s">
        <v>1575</v>
      </c>
      <c r="C502" s="26">
        <v>0</v>
      </c>
      <c r="D502" s="27">
        <v>0</v>
      </c>
      <c r="E502" s="28">
        <v>0</v>
      </c>
      <c r="F502" s="29">
        <v>0</v>
      </c>
      <c r="G502" s="6">
        <f t="shared" si="50"/>
        <v>0</v>
      </c>
      <c r="H502" s="7">
        <f t="shared" si="50"/>
        <v>0</v>
      </c>
      <c r="I502" s="6">
        <f t="shared" si="46"/>
        <v>0</v>
      </c>
      <c r="J502" s="7">
        <f t="shared" si="47"/>
        <v>0</v>
      </c>
      <c r="K502" s="28">
        <v>0</v>
      </c>
      <c r="L502" s="29">
        <v>0</v>
      </c>
      <c r="M502" s="6">
        <f t="shared" si="48"/>
        <v>0</v>
      </c>
      <c r="N502" s="7">
        <f t="shared" si="49"/>
        <v>0</v>
      </c>
      <c r="O502" s="35"/>
      <c r="P502" s="36"/>
      <c r="Q502" s="59"/>
      <c r="R502" s="2" t="str">
        <f t="shared" si="45"/>
        <v>34311|0|0|0|0|0|0|</v>
      </c>
      <c r="S502" s="25"/>
    </row>
    <row r="503" spans="1:19" s="34" customFormat="1" ht="12.75" customHeight="1" x14ac:dyDescent="0.2">
      <c r="A503" s="70" t="s">
        <v>128</v>
      </c>
      <c r="B503" s="61" t="s">
        <v>1576</v>
      </c>
      <c r="C503" s="26">
        <v>0</v>
      </c>
      <c r="D503" s="27">
        <v>0</v>
      </c>
      <c r="E503" s="28">
        <v>0</v>
      </c>
      <c r="F503" s="29">
        <v>0</v>
      </c>
      <c r="G503" s="6">
        <f t="shared" si="50"/>
        <v>0</v>
      </c>
      <c r="H503" s="7">
        <f t="shared" si="50"/>
        <v>0</v>
      </c>
      <c r="I503" s="6">
        <f t="shared" si="46"/>
        <v>0</v>
      </c>
      <c r="J503" s="7">
        <f t="shared" si="47"/>
        <v>0</v>
      </c>
      <c r="K503" s="28">
        <v>0</v>
      </c>
      <c r="L503" s="29">
        <v>0</v>
      </c>
      <c r="M503" s="6">
        <f t="shared" si="48"/>
        <v>0</v>
      </c>
      <c r="N503" s="7">
        <f t="shared" si="49"/>
        <v>0</v>
      </c>
      <c r="O503" s="35"/>
      <c r="P503" s="36"/>
      <c r="Q503" s="59"/>
      <c r="R503" s="2" t="str">
        <f t="shared" si="45"/>
        <v>34312|0|0|0|0|0|0|</v>
      </c>
      <c r="S503" s="25"/>
    </row>
    <row r="504" spans="1:19" s="34" customFormat="1" ht="12.75" customHeight="1" x14ac:dyDescent="0.2">
      <c r="A504" s="70" t="s">
        <v>129</v>
      </c>
      <c r="B504" s="61" t="s">
        <v>1577</v>
      </c>
      <c r="C504" s="26">
        <v>0</v>
      </c>
      <c r="D504" s="27">
        <v>0</v>
      </c>
      <c r="E504" s="28">
        <v>0</v>
      </c>
      <c r="F504" s="29">
        <v>0</v>
      </c>
      <c r="G504" s="6">
        <f t="shared" si="50"/>
        <v>0</v>
      </c>
      <c r="H504" s="7">
        <f t="shared" si="50"/>
        <v>0</v>
      </c>
      <c r="I504" s="6">
        <f t="shared" si="46"/>
        <v>0</v>
      </c>
      <c r="J504" s="7">
        <f t="shared" si="47"/>
        <v>0</v>
      </c>
      <c r="K504" s="28">
        <v>0</v>
      </c>
      <c r="L504" s="29">
        <v>0</v>
      </c>
      <c r="M504" s="6">
        <f t="shared" si="48"/>
        <v>0</v>
      </c>
      <c r="N504" s="7">
        <f t="shared" si="49"/>
        <v>0</v>
      </c>
      <c r="O504" s="35"/>
      <c r="P504" s="36"/>
      <c r="Q504" s="59"/>
      <c r="R504" s="2" t="str">
        <f t="shared" si="45"/>
        <v>34411|0|0|0|0|0|0|</v>
      </c>
      <c r="S504" s="25"/>
    </row>
    <row r="505" spans="1:19" s="34" customFormat="1" ht="12.75" customHeight="1" x14ac:dyDescent="0.2">
      <c r="A505" s="70" t="s">
        <v>1578</v>
      </c>
      <c r="B505" s="61" t="s">
        <v>1579</v>
      </c>
      <c r="C505" s="26">
        <v>0</v>
      </c>
      <c r="D505" s="27">
        <v>0</v>
      </c>
      <c r="E505" s="28">
        <v>0</v>
      </c>
      <c r="F505" s="29">
        <v>0</v>
      </c>
      <c r="G505" s="6">
        <f t="shared" si="50"/>
        <v>0</v>
      </c>
      <c r="H505" s="7">
        <f t="shared" si="50"/>
        <v>0</v>
      </c>
      <c r="I505" s="6">
        <f t="shared" si="46"/>
        <v>0</v>
      </c>
      <c r="J505" s="7">
        <f t="shared" si="47"/>
        <v>0</v>
      </c>
      <c r="K505" s="28">
        <v>0</v>
      </c>
      <c r="L505" s="29">
        <v>0</v>
      </c>
      <c r="M505" s="6">
        <f t="shared" si="48"/>
        <v>0</v>
      </c>
      <c r="N505" s="7">
        <f t="shared" si="49"/>
        <v>0</v>
      </c>
      <c r="O505" s="35"/>
      <c r="P505" s="36"/>
      <c r="Q505" s="59"/>
      <c r="R505" s="2" t="str">
        <f t="shared" si="45"/>
        <v>34412|0|0|0|0|0|0|</v>
      </c>
      <c r="S505" s="25"/>
    </row>
    <row r="506" spans="1:19" s="34" customFormat="1" ht="12.75" customHeight="1" x14ac:dyDescent="0.2">
      <c r="A506" s="70" t="s">
        <v>1580</v>
      </c>
      <c r="B506" s="61" t="s">
        <v>1581</v>
      </c>
      <c r="C506" s="26">
        <v>0</v>
      </c>
      <c r="D506" s="27">
        <v>0</v>
      </c>
      <c r="E506" s="28">
        <v>0</v>
      </c>
      <c r="F506" s="29">
        <v>0</v>
      </c>
      <c r="G506" s="6">
        <f t="shared" si="50"/>
        <v>0</v>
      </c>
      <c r="H506" s="7">
        <f t="shared" si="50"/>
        <v>0</v>
      </c>
      <c r="I506" s="6">
        <f t="shared" si="46"/>
        <v>0</v>
      </c>
      <c r="J506" s="7">
        <f t="shared" si="47"/>
        <v>0</v>
      </c>
      <c r="K506" s="28">
        <v>0</v>
      </c>
      <c r="L506" s="29">
        <v>0</v>
      </c>
      <c r="M506" s="6">
        <f t="shared" si="48"/>
        <v>0</v>
      </c>
      <c r="N506" s="7">
        <f t="shared" si="49"/>
        <v>0</v>
      </c>
      <c r="O506" s="35"/>
      <c r="P506" s="36"/>
      <c r="Q506" s="59"/>
      <c r="R506" s="2" t="str">
        <f t="shared" si="45"/>
        <v>34413|0|0|0|0|0|0|</v>
      </c>
      <c r="S506" s="25"/>
    </row>
    <row r="507" spans="1:19" s="34" customFormat="1" ht="12.75" customHeight="1" x14ac:dyDescent="0.2">
      <c r="A507" s="70" t="s">
        <v>130</v>
      </c>
      <c r="B507" s="61" t="s">
        <v>1582</v>
      </c>
      <c r="C507" s="26">
        <v>0</v>
      </c>
      <c r="D507" s="27">
        <v>0</v>
      </c>
      <c r="E507" s="28">
        <v>0</v>
      </c>
      <c r="F507" s="29">
        <v>0</v>
      </c>
      <c r="G507" s="6">
        <f t="shared" si="50"/>
        <v>0</v>
      </c>
      <c r="H507" s="7">
        <f t="shared" si="50"/>
        <v>0</v>
      </c>
      <c r="I507" s="6">
        <f t="shared" si="46"/>
        <v>0</v>
      </c>
      <c r="J507" s="7">
        <f t="shared" si="47"/>
        <v>0</v>
      </c>
      <c r="K507" s="28">
        <v>0</v>
      </c>
      <c r="L507" s="29">
        <v>0</v>
      </c>
      <c r="M507" s="6">
        <f t="shared" si="48"/>
        <v>0</v>
      </c>
      <c r="N507" s="7">
        <f t="shared" si="49"/>
        <v>0</v>
      </c>
      <c r="O507" s="35"/>
      <c r="P507" s="36"/>
      <c r="Q507" s="59"/>
      <c r="R507" s="2" t="str">
        <f t="shared" si="45"/>
        <v>34421|0|0|0|0|0|0|</v>
      </c>
      <c r="S507" s="25"/>
    </row>
    <row r="508" spans="1:19" s="34" customFormat="1" ht="12.75" customHeight="1" x14ac:dyDescent="0.2">
      <c r="A508" s="70" t="s">
        <v>1583</v>
      </c>
      <c r="B508" s="61" t="s">
        <v>1584</v>
      </c>
      <c r="C508" s="26">
        <v>0</v>
      </c>
      <c r="D508" s="27">
        <v>0</v>
      </c>
      <c r="E508" s="28">
        <v>0</v>
      </c>
      <c r="F508" s="29">
        <v>0</v>
      </c>
      <c r="G508" s="6">
        <f t="shared" si="50"/>
        <v>0</v>
      </c>
      <c r="H508" s="7">
        <f t="shared" si="50"/>
        <v>0</v>
      </c>
      <c r="I508" s="6">
        <f t="shared" si="46"/>
        <v>0</v>
      </c>
      <c r="J508" s="7">
        <f t="shared" si="47"/>
        <v>0</v>
      </c>
      <c r="K508" s="28">
        <v>0</v>
      </c>
      <c r="L508" s="29">
        <v>0</v>
      </c>
      <c r="M508" s="6">
        <f t="shared" si="48"/>
        <v>0</v>
      </c>
      <c r="N508" s="7">
        <f t="shared" si="49"/>
        <v>0</v>
      </c>
      <c r="O508" s="35"/>
      <c r="P508" s="36"/>
      <c r="Q508" s="59"/>
      <c r="R508" s="2" t="str">
        <f t="shared" si="45"/>
        <v>34422|0|0|0|0|0|0|</v>
      </c>
      <c r="S508" s="25"/>
    </row>
    <row r="509" spans="1:19" s="34" customFormat="1" ht="12.75" customHeight="1" x14ac:dyDescent="0.2">
      <c r="A509" s="70" t="s">
        <v>1585</v>
      </c>
      <c r="B509" s="61" t="s">
        <v>1586</v>
      </c>
      <c r="C509" s="26">
        <v>0</v>
      </c>
      <c r="D509" s="27">
        <v>0</v>
      </c>
      <c r="E509" s="28">
        <v>0</v>
      </c>
      <c r="F509" s="29">
        <v>0</v>
      </c>
      <c r="G509" s="6">
        <f t="shared" si="50"/>
        <v>0</v>
      </c>
      <c r="H509" s="7">
        <f t="shared" si="50"/>
        <v>0</v>
      </c>
      <c r="I509" s="6">
        <f t="shared" si="46"/>
        <v>0</v>
      </c>
      <c r="J509" s="7">
        <f t="shared" si="47"/>
        <v>0</v>
      </c>
      <c r="K509" s="28">
        <v>0</v>
      </c>
      <c r="L509" s="29">
        <v>0</v>
      </c>
      <c r="M509" s="6">
        <f t="shared" si="48"/>
        <v>0</v>
      </c>
      <c r="N509" s="7">
        <f t="shared" si="49"/>
        <v>0</v>
      </c>
      <c r="O509" s="35"/>
      <c r="P509" s="36"/>
      <c r="Q509" s="59"/>
      <c r="R509" s="2" t="str">
        <f t="shared" si="45"/>
        <v>34423|0|0|0|0|0|0|</v>
      </c>
      <c r="S509" s="25"/>
    </row>
    <row r="510" spans="1:19" s="34" customFormat="1" ht="12.75" customHeight="1" x14ac:dyDescent="0.2">
      <c r="A510" s="70" t="s">
        <v>131</v>
      </c>
      <c r="B510" s="61" t="s">
        <v>1587</v>
      </c>
      <c r="C510" s="26">
        <v>0</v>
      </c>
      <c r="D510" s="27">
        <v>0</v>
      </c>
      <c r="E510" s="28">
        <v>0</v>
      </c>
      <c r="F510" s="29">
        <v>0</v>
      </c>
      <c r="G510" s="6">
        <f t="shared" si="50"/>
        <v>0</v>
      </c>
      <c r="H510" s="7">
        <f t="shared" si="50"/>
        <v>0</v>
      </c>
      <c r="I510" s="6">
        <f t="shared" si="46"/>
        <v>0</v>
      </c>
      <c r="J510" s="7">
        <f t="shared" si="47"/>
        <v>0</v>
      </c>
      <c r="K510" s="28">
        <v>0</v>
      </c>
      <c r="L510" s="29">
        <v>0</v>
      </c>
      <c r="M510" s="6">
        <f t="shared" si="48"/>
        <v>0</v>
      </c>
      <c r="N510" s="7">
        <f t="shared" si="49"/>
        <v>0</v>
      </c>
      <c r="O510" s="35"/>
      <c r="P510" s="36"/>
      <c r="Q510" s="59"/>
      <c r="R510" s="2" t="str">
        <f t="shared" si="45"/>
        <v>34511|0|0|0|0|0|0|</v>
      </c>
      <c r="S510" s="25"/>
    </row>
    <row r="511" spans="1:19" s="34" customFormat="1" ht="12.75" customHeight="1" x14ac:dyDescent="0.2">
      <c r="A511" s="70" t="s">
        <v>132</v>
      </c>
      <c r="B511" s="61" t="s">
        <v>1588</v>
      </c>
      <c r="C511" s="26">
        <v>0</v>
      </c>
      <c r="D511" s="27">
        <v>0</v>
      </c>
      <c r="E511" s="28">
        <v>0</v>
      </c>
      <c r="F511" s="29">
        <v>0</v>
      </c>
      <c r="G511" s="6">
        <f t="shared" si="50"/>
        <v>0</v>
      </c>
      <c r="H511" s="7">
        <f t="shared" si="50"/>
        <v>0</v>
      </c>
      <c r="I511" s="6">
        <f t="shared" si="46"/>
        <v>0</v>
      </c>
      <c r="J511" s="7">
        <f t="shared" si="47"/>
        <v>0</v>
      </c>
      <c r="K511" s="28">
        <v>0</v>
      </c>
      <c r="L511" s="29">
        <v>0</v>
      </c>
      <c r="M511" s="6">
        <f t="shared" si="48"/>
        <v>0</v>
      </c>
      <c r="N511" s="7">
        <f t="shared" si="49"/>
        <v>0</v>
      </c>
      <c r="O511" s="35"/>
      <c r="P511" s="36"/>
      <c r="Q511" s="59"/>
      <c r="R511" s="2" t="str">
        <f t="shared" si="45"/>
        <v>34512|0|0|0|0|0|0|</v>
      </c>
      <c r="S511" s="25"/>
    </row>
    <row r="512" spans="1:19" s="34" customFormat="1" ht="12.75" customHeight="1" x14ac:dyDescent="0.2">
      <c r="A512" s="70" t="s">
        <v>133</v>
      </c>
      <c r="B512" s="61" t="s">
        <v>1589</v>
      </c>
      <c r="C512" s="26">
        <v>0</v>
      </c>
      <c r="D512" s="27">
        <v>0</v>
      </c>
      <c r="E512" s="28">
        <v>0</v>
      </c>
      <c r="F512" s="29">
        <v>0</v>
      </c>
      <c r="G512" s="6">
        <f t="shared" si="50"/>
        <v>0</v>
      </c>
      <c r="H512" s="7">
        <f t="shared" si="50"/>
        <v>0</v>
      </c>
      <c r="I512" s="6">
        <f t="shared" si="46"/>
        <v>0</v>
      </c>
      <c r="J512" s="7">
        <f t="shared" si="47"/>
        <v>0</v>
      </c>
      <c r="K512" s="28">
        <v>0</v>
      </c>
      <c r="L512" s="29">
        <v>0</v>
      </c>
      <c r="M512" s="6">
        <f t="shared" si="48"/>
        <v>0</v>
      </c>
      <c r="N512" s="7">
        <f t="shared" si="49"/>
        <v>0</v>
      </c>
      <c r="O512" s="35"/>
      <c r="P512" s="36"/>
      <c r="Q512" s="59"/>
      <c r="R512" s="2" t="str">
        <f t="shared" si="45"/>
        <v>34521|0|0|0|0|0|0|</v>
      </c>
      <c r="S512" s="25"/>
    </row>
    <row r="513" spans="1:19" s="34" customFormat="1" ht="12.75" customHeight="1" x14ac:dyDescent="0.2">
      <c r="A513" s="70" t="s">
        <v>134</v>
      </c>
      <c r="B513" s="61" t="s">
        <v>1590</v>
      </c>
      <c r="C513" s="26">
        <v>0</v>
      </c>
      <c r="D513" s="27">
        <v>0</v>
      </c>
      <c r="E513" s="28">
        <v>0</v>
      </c>
      <c r="F513" s="29">
        <v>0</v>
      </c>
      <c r="G513" s="6">
        <f t="shared" si="50"/>
        <v>0</v>
      </c>
      <c r="H513" s="7">
        <f t="shared" si="50"/>
        <v>0</v>
      </c>
      <c r="I513" s="6">
        <f t="shared" si="46"/>
        <v>0</v>
      </c>
      <c r="J513" s="7">
        <f t="shared" si="47"/>
        <v>0</v>
      </c>
      <c r="K513" s="28">
        <v>0</v>
      </c>
      <c r="L513" s="29">
        <v>0</v>
      </c>
      <c r="M513" s="6">
        <f t="shared" si="48"/>
        <v>0</v>
      </c>
      <c r="N513" s="7">
        <f t="shared" si="49"/>
        <v>0</v>
      </c>
      <c r="O513" s="35"/>
      <c r="P513" s="36"/>
      <c r="Q513" s="59"/>
      <c r="R513" s="2" t="str">
        <f t="shared" si="45"/>
        <v>34522|0|0|0|0|0|0|</v>
      </c>
      <c r="S513" s="25"/>
    </row>
    <row r="514" spans="1:19" s="34" customFormat="1" ht="12.75" customHeight="1" x14ac:dyDescent="0.2">
      <c r="A514" s="70" t="s">
        <v>1591</v>
      </c>
      <c r="B514" s="61" t="s">
        <v>1592</v>
      </c>
      <c r="C514" s="26">
        <v>0</v>
      </c>
      <c r="D514" s="27">
        <v>0</v>
      </c>
      <c r="E514" s="28">
        <v>0</v>
      </c>
      <c r="F514" s="29">
        <v>0</v>
      </c>
      <c r="G514" s="6">
        <f t="shared" si="50"/>
        <v>0</v>
      </c>
      <c r="H514" s="7">
        <f t="shared" si="50"/>
        <v>0</v>
      </c>
      <c r="I514" s="6">
        <f t="shared" si="46"/>
        <v>0</v>
      </c>
      <c r="J514" s="7">
        <f t="shared" si="47"/>
        <v>0</v>
      </c>
      <c r="K514" s="28">
        <v>0</v>
      </c>
      <c r="L514" s="29">
        <v>0</v>
      </c>
      <c r="M514" s="6">
        <f t="shared" si="48"/>
        <v>0</v>
      </c>
      <c r="N514" s="7">
        <f t="shared" si="49"/>
        <v>0</v>
      </c>
      <c r="O514" s="35"/>
      <c r="P514" s="36"/>
      <c r="Q514" s="59"/>
      <c r="R514" s="2" t="str">
        <f t="shared" si="45"/>
        <v>34611|0|0|0|0|0|0|</v>
      </c>
      <c r="S514" s="25"/>
    </row>
    <row r="515" spans="1:19" s="34" customFormat="1" ht="12.75" customHeight="1" x14ac:dyDescent="0.2">
      <c r="A515" s="70" t="s">
        <v>1593</v>
      </c>
      <c r="B515" s="61" t="s">
        <v>1594</v>
      </c>
      <c r="C515" s="26">
        <v>0</v>
      </c>
      <c r="D515" s="27">
        <v>0</v>
      </c>
      <c r="E515" s="28">
        <v>0</v>
      </c>
      <c r="F515" s="29">
        <v>0</v>
      </c>
      <c r="G515" s="6">
        <f t="shared" si="50"/>
        <v>0</v>
      </c>
      <c r="H515" s="7">
        <f t="shared" si="50"/>
        <v>0</v>
      </c>
      <c r="I515" s="6">
        <f t="shared" si="46"/>
        <v>0</v>
      </c>
      <c r="J515" s="7">
        <f t="shared" si="47"/>
        <v>0</v>
      </c>
      <c r="K515" s="28">
        <v>0</v>
      </c>
      <c r="L515" s="29">
        <v>0</v>
      </c>
      <c r="M515" s="6">
        <f t="shared" si="48"/>
        <v>0</v>
      </c>
      <c r="N515" s="7">
        <f t="shared" si="49"/>
        <v>0</v>
      </c>
      <c r="O515" s="35"/>
      <c r="P515" s="36"/>
      <c r="Q515" s="59"/>
      <c r="R515" s="2" t="str">
        <f t="shared" si="45"/>
        <v>34612|0|0|0|0|0|0|</v>
      </c>
      <c r="S515" s="25"/>
    </row>
    <row r="516" spans="1:19" s="34" customFormat="1" ht="12.75" customHeight="1" x14ac:dyDescent="0.2">
      <c r="A516" s="70" t="s">
        <v>1595</v>
      </c>
      <c r="B516" s="61" t="s">
        <v>1596</v>
      </c>
      <c r="C516" s="26">
        <v>0</v>
      </c>
      <c r="D516" s="27">
        <v>0</v>
      </c>
      <c r="E516" s="28">
        <v>0</v>
      </c>
      <c r="F516" s="29">
        <v>0</v>
      </c>
      <c r="G516" s="6">
        <f t="shared" si="50"/>
        <v>0</v>
      </c>
      <c r="H516" s="7">
        <f t="shared" si="50"/>
        <v>0</v>
      </c>
      <c r="I516" s="6">
        <f t="shared" si="46"/>
        <v>0</v>
      </c>
      <c r="J516" s="7">
        <f t="shared" si="47"/>
        <v>0</v>
      </c>
      <c r="K516" s="28">
        <v>0</v>
      </c>
      <c r="L516" s="29">
        <v>0</v>
      </c>
      <c r="M516" s="6">
        <f t="shared" si="48"/>
        <v>0</v>
      </c>
      <c r="N516" s="7">
        <f t="shared" si="49"/>
        <v>0</v>
      </c>
      <c r="O516" s="35"/>
      <c r="P516" s="36"/>
      <c r="Q516" s="59"/>
      <c r="R516" s="2" t="str">
        <f t="shared" si="45"/>
        <v>34621|0|0|0|0|0|0|</v>
      </c>
      <c r="S516" s="25"/>
    </row>
    <row r="517" spans="1:19" s="34" customFormat="1" ht="12.75" customHeight="1" x14ac:dyDescent="0.2">
      <c r="A517" s="70" t="s">
        <v>1597</v>
      </c>
      <c r="B517" s="61" t="s">
        <v>1598</v>
      </c>
      <c r="C517" s="26">
        <v>0</v>
      </c>
      <c r="D517" s="27">
        <v>0</v>
      </c>
      <c r="E517" s="28">
        <v>0</v>
      </c>
      <c r="F517" s="29">
        <v>0</v>
      </c>
      <c r="G517" s="6">
        <f t="shared" si="50"/>
        <v>0</v>
      </c>
      <c r="H517" s="7">
        <f t="shared" si="50"/>
        <v>0</v>
      </c>
      <c r="I517" s="6">
        <f t="shared" si="46"/>
        <v>0</v>
      </c>
      <c r="J517" s="7">
        <f t="shared" si="47"/>
        <v>0</v>
      </c>
      <c r="K517" s="28">
        <v>0</v>
      </c>
      <c r="L517" s="29">
        <v>0</v>
      </c>
      <c r="M517" s="6">
        <f t="shared" si="48"/>
        <v>0</v>
      </c>
      <c r="N517" s="7">
        <f t="shared" si="49"/>
        <v>0</v>
      </c>
      <c r="O517" s="35"/>
      <c r="P517" s="36"/>
      <c r="Q517" s="59"/>
      <c r="R517" s="2" t="str">
        <f t="shared" ref="R517:R580" si="51">CONCATENATE(A517,"|",C517,"|",D517,"|",E517,"|",F517,"|",K517,"|",L517,"|")</f>
        <v>34622|0|0|0|0|0|0|</v>
      </c>
      <c r="S517" s="25"/>
    </row>
    <row r="518" spans="1:19" s="34" customFormat="1" ht="12.75" customHeight="1" x14ac:dyDescent="0.2">
      <c r="A518" s="70" t="s">
        <v>1599</v>
      </c>
      <c r="B518" s="61" t="s">
        <v>1600</v>
      </c>
      <c r="C518" s="26">
        <v>0</v>
      </c>
      <c r="D518" s="27">
        <v>0</v>
      </c>
      <c r="E518" s="28">
        <v>0</v>
      </c>
      <c r="F518" s="29">
        <v>0</v>
      </c>
      <c r="G518" s="6">
        <f t="shared" si="50"/>
        <v>0</v>
      </c>
      <c r="H518" s="7">
        <f t="shared" si="50"/>
        <v>0</v>
      </c>
      <c r="I518" s="6">
        <f t="shared" ref="I518:I582" si="52">IF($G518-$H518&gt;=0,$G518-$H518,0)</f>
        <v>0</v>
      </c>
      <c r="J518" s="7">
        <f t="shared" ref="J518:J582" si="53">IF($G518-$H518&lt;0,-$G518+$H518,0)</f>
        <v>0</v>
      </c>
      <c r="K518" s="28">
        <v>0</v>
      </c>
      <c r="L518" s="29">
        <v>0</v>
      </c>
      <c r="M518" s="6">
        <f t="shared" ref="M518:M582" si="54">IF($I518-$J518+$K518-$L518&gt;=0,$I518-$J518+$K518-$L518,0)</f>
        <v>0</v>
      </c>
      <c r="N518" s="7">
        <f t="shared" ref="N518:N582" si="55">IF($I518-$J518+$K518-$L518&lt;0,-($I518-$J518+$K518-$L518),0)</f>
        <v>0</v>
      </c>
      <c r="O518" s="35"/>
      <c r="P518" s="36"/>
      <c r="Q518" s="59"/>
      <c r="R518" s="2" t="str">
        <f t="shared" si="51"/>
        <v>34631|0|0|0|0|0|0|</v>
      </c>
      <c r="S518" s="25"/>
    </row>
    <row r="519" spans="1:19" s="34" customFormat="1" ht="12.75" customHeight="1" x14ac:dyDescent="0.2">
      <c r="A519" s="70" t="s">
        <v>1601</v>
      </c>
      <c r="B519" s="61" t="s">
        <v>1602</v>
      </c>
      <c r="C519" s="26">
        <v>0</v>
      </c>
      <c r="D519" s="27">
        <v>0</v>
      </c>
      <c r="E519" s="28">
        <v>0</v>
      </c>
      <c r="F519" s="29">
        <v>0</v>
      </c>
      <c r="G519" s="6">
        <f t="shared" si="50"/>
        <v>0</v>
      </c>
      <c r="H519" s="7">
        <f t="shared" si="50"/>
        <v>0</v>
      </c>
      <c r="I519" s="6">
        <f t="shared" si="52"/>
        <v>0</v>
      </c>
      <c r="J519" s="7">
        <f t="shared" si="53"/>
        <v>0</v>
      </c>
      <c r="K519" s="28">
        <v>0</v>
      </c>
      <c r="L519" s="29">
        <v>0</v>
      </c>
      <c r="M519" s="6">
        <f t="shared" si="54"/>
        <v>0</v>
      </c>
      <c r="N519" s="7">
        <f t="shared" si="55"/>
        <v>0</v>
      </c>
      <c r="O519" s="35"/>
      <c r="P519" s="36"/>
      <c r="Q519" s="59"/>
      <c r="R519" s="2" t="str">
        <f t="shared" si="51"/>
        <v>34632|0|0|0|0|0|0|</v>
      </c>
      <c r="S519" s="25"/>
    </row>
    <row r="520" spans="1:19" s="34" customFormat="1" ht="12.75" customHeight="1" x14ac:dyDescent="0.2">
      <c r="A520" s="70" t="s">
        <v>1603</v>
      </c>
      <c r="B520" s="61" t="s">
        <v>1604</v>
      </c>
      <c r="C520" s="26">
        <v>0</v>
      </c>
      <c r="D520" s="27">
        <v>0</v>
      </c>
      <c r="E520" s="28">
        <v>0</v>
      </c>
      <c r="F520" s="29">
        <v>0</v>
      </c>
      <c r="G520" s="6">
        <f t="shared" si="50"/>
        <v>0</v>
      </c>
      <c r="H520" s="7">
        <f t="shared" si="50"/>
        <v>0</v>
      </c>
      <c r="I520" s="6">
        <f t="shared" si="52"/>
        <v>0</v>
      </c>
      <c r="J520" s="7">
        <f t="shared" si="53"/>
        <v>0</v>
      </c>
      <c r="K520" s="28">
        <v>0</v>
      </c>
      <c r="L520" s="29">
        <v>0</v>
      </c>
      <c r="M520" s="6">
        <f t="shared" si="54"/>
        <v>0</v>
      </c>
      <c r="N520" s="7">
        <f t="shared" si="55"/>
        <v>0</v>
      </c>
      <c r="O520" s="35"/>
      <c r="P520" s="36"/>
      <c r="Q520" s="59"/>
      <c r="R520" s="2" t="str">
        <f t="shared" si="51"/>
        <v>34691|0|0|0|0|0|0|</v>
      </c>
      <c r="S520" s="25"/>
    </row>
    <row r="521" spans="1:19" s="34" customFormat="1" ht="12.75" customHeight="1" x14ac:dyDescent="0.2">
      <c r="A521" s="70" t="s">
        <v>1605</v>
      </c>
      <c r="B521" s="61" t="s">
        <v>1606</v>
      </c>
      <c r="C521" s="26">
        <v>0</v>
      </c>
      <c r="D521" s="27">
        <v>0</v>
      </c>
      <c r="E521" s="28">
        <v>0</v>
      </c>
      <c r="F521" s="29">
        <v>0</v>
      </c>
      <c r="G521" s="6">
        <f t="shared" si="50"/>
        <v>0</v>
      </c>
      <c r="H521" s="7">
        <f t="shared" si="50"/>
        <v>0</v>
      </c>
      <c r="I521" s="6">
        <f t="shared" si="52"/>
        <v>0</v>
      </c>
      <c r="J521" s="7">
        <f t="shared" si="53"/>
        <v>0</v>
      </c>
      <c r="K521" s="28">
        <v>0</v>
      </c>
      <c r="L521" s="29">
        <v>0</v>
      </c>
      <c r="M521" s="6">
        <f t="shared" si="54"/>
        <v>0</v>
      </c>
      <c r="N521" s="7">
        <f t="shared" si="55"/>
        <v>0</v>
      </c>
      <c r="O521" s="35"/>
      <c r="P521" s="36"/>
      <c r="Q521" s="59"/>
      <c r="R521" s="2" t="str">
        <f t="shared" si="51"/>
        <v>34692|0|0|0|0|0|0|</v>
      </c>
      <c r="S521" s="25"/>
    </row>
    <row r="522" spans="1:19" s="34" customFormat="1" ht="12.75" customHeight="1" x14ac:dyDescent="0.2">
      <c r="A522" s="70" t="s">
        <v>655</v>
      </c>
      <c r="B522" s="61" t="s">
        <v>1607</v>
      </c>
      <c r="C522" s="26">
        <v>0</v>
      </c>
      <c r="D522" s="27">
        <v>0</v>
      </c>
      <c r="E522" s="28">
        <v>0</v>
      </c>
      <c r="F522" s="29">
        <v>0</v>
      </c>
      <c r="G522" s="6">
        <f t="shared" si="50"/>
        <v>0</v>
      </c>
      <c r="H522" s="7">
        <f t="shared" si="50"/>
        <v>0</v>
      </c>
      <c r="I522" s="6">
        <f t="shared" si="52"/>
        <v>0</v>
      </c>
      <c r="J522" s="7">
        <f t="shared" si="53"/>
        <v>0</v>
      </c>
      <c r="K522" s="28">
        <v>0</v>
      </c>
      <c r="L522" s="29">
        <v>0</v>
      </c>
      <c r="M522" s="6">
        <f t="shared" si="54"/>
        <v>0</v>
      </c>
      <c r="N522" s="7">
        <f t="shared" si="55"/>
        <v>0</v>
      </c>
      <c r="O522" s="35"/>
      <c r="P522" s="36"/>
      <c r="Q522" s="59"/>
      <c r="R522" s="2" t="str">
        <f t="shared" si="51"/>
        <v>3471|0|0|0|0|0|0|</v>
      </c>
      <c r="S522" s="25"/>
    </row>
    <row r="523" spans="1:19" s="34" customFormat="1" ht="12.75" customHeight="1" x14ac:dyDescent="0.2">
      <c r="A523" s="70" t="s">
        <v>1608</v>
      </c>
      <c r="B523" s="61" t="s">
        <v>1609</v>
      </c>
      <c r="C523" s="26">
        <v>0</v>
      </c>
      <c r="D523" s="27">
        <v>0</v>
      </c>
      <c r="E523" s="28">
        <v>0</v>
      </c>
      <c r="F523" s="29">
        <v>0</v>
      </c>
      <c r="G523" s="6">
        <f t="shared" si="50"/>
        <v>0</v>
      </c>
      <c r="H523" s="7">
        <f t="shared" si="50"/>
        <v>0</v>
      </c>
      <c r="I523" s="6">
        <f t="shared" si="52"/>
        <v>0</v>
      </c>
      <c r="J523" s="7">
        <f t="shared" si="53"/>
        <v>0</v>
      </c>
      <c r="K523" s="28">
        <v>0</v>
      </c>
      <c r="L523" s="29">
        <v>0</v>
      </c>
      <c r="M523" s="6">
        <f t="shared" si="54"/>
        <v>0</v>
      </c>
      <c r="N523" s="7">
        <f t="shared" si="55"/>
        <v>0</v>
      </c>
      <c r="O523" s="35"/>
      <c r="P523" s="36"/>
      <c r="Q523" s="59"/>
      <c r="R523" s="2" t="str">
        <f t="shared" si="51"/>
        <v>34911|0|0|0|0|0|0|</v>
      </c>
      <c r="S523" s="25"/>
    </row>
    <row r="524" spans="1:19" s="34" customFormat="1" ht="12.75" customHeight="1" x14ac:dyDescent="0.2">
      <c r="A524" s="70" t="s">
        <v>1610</v>
      </c>
      <c r="B524" s="61" t="s">
        <v>1611</v>
      </c>
      <c r="C524" s="26">
        <v>0</v>
      </c>
      <c r="D524" s="27">
        <v>0</v>
      </c>
      <c r="E524" s="28">
        <v>0</v>
      </c>
      <c r="F524" s="29">
        <v>0</v>
      </c>
      <c r="G524" s="6">
        <f t="shared" si="50"/>
        <v>0</v>
      </c>
      <c r="H524" s="7">
        <f t="shared" si="50"/>
        <v>0</v>
      </c>
      <c r="I524" s="6">
        <f t="shared" si="52"/>
        <v>0</v>
      </c>
      <c r="J524" s="7">
        <f t="shared" si="53"/>
        <v>0</v>
      </c>
      <c r="K524" s="28">
        <v>0</v>
      </c>
      <c r="L524" s="29">
        <v>0</v>
      </c>
      <c r="M524" s="6">
        <f t="shared" si="54"/>
        <v>0</v>
      </c>
      <c r="N524" s="7">
        <f t="shared" si="55"/>
        <v>0</v>
      </c>
      <c r="O524" s="35"/>
      <c r="P524" s="36"/>
      <c r="Q524" s="59"/>
      <c r="R524" s="2" t="str">
        <f t="shared" si="51"/>
        <v>34912|0|0|0|0|0|0|</v>
      </c>
      <c r="S524" s="25"/>
    </row>
    <row r="525" spans="1:19" s="34" customFormat="1" ht="12.75" customHeight="1" x14ac:dyDescent="0.2">
      <c r="A525" s="70" t="s">
        <v>656</v>
      </c>
      <c r="B525" s="61" t="s">
        <v>1612</v>
      </c>
      <c r="C525" s="26">
        <v>0</v>
      </c>
      <c r="D525" s="27">
        <v>0</v>
      </c>
      <c r="E525" s="28">
        <v>0</v>
      </c>
      <c r="F525" s="29">
        <v>0</v>
      </c>
      <c r="G525" s="6">
        <f t="shared" si="50"/>
        <v>0</v>
      </c>
      <c r="H525" s="7">
        <f t="shared" si="50"/>
        <v>0</v>
      </c>
      <c r="I525" s="6">
        <f t="shared" si="52"/>
        <v>0</v>
      </c>
      <c r="J525" s="7">
        <f t="shared" si="53"/>
        <v>0</v>
      </c>
      <c r="K525" s="28">
        <v>0</v>
      </c>
      <c r="L525" s="29">
        <v>0</v>
      </c>
      <c r="M525" s="6">
        <f t="shared" si="54"/>
        <v>0</v>
      </c>
      <c r="N525" s="7">
        <f t="shared" si="55"/>
        <v>0</v>
      </c>
      <c r="O525" s="35"/>
      <c r="P525" s="36"/>
      <c r="Q525" s="59"/>
      <c r="R525" s="2" t="str">
        <f t="shared" si="51"/>
        <v>35111|0|0|0|0|0|0|</v>
      </c>
      <c r="S525" s="25"/>
    </row>
    <row r="526" spans="1:19" s="34" customFormat="1" ht="12.75" customHeight="1" x14ac:dyDescent="0.2">
      <c r="A526" s="70" t="s">
        <v>657</v>
      </c>
      <c r="B526" s="61" t="s">
        <v>1613</v>
      </c>
      <c r="C526" s="26">
        <v>0</v>
      </c>
      <c r="D526" s="27">
        <v>0</v>
      </c>
      <c r="E526" s="28">
        <v>0</v>
      </c>
      <c r="F526" s="29">
        <v>0</v>
      </c>
      <c r="G526" s="6">
        <f t="shared" si="50"/>
        <v>0</v>
      </c>
      <c r="H526" s="7">
        <f t="shared" si="50"/>
        <v>0</v>
      </c>
      <c r="I526" s="6">
        <f t="shared" si="52"/>
        <v>0</v>
      </c>
      <c r="J526" s="7">
        <f t="shared" si="53"/>
        <v>0</v>
      </c>
      <c r="K526" s="28">
        <v>0</v>
      </c>
      <c r="L526" s="29">
        <v>0</v>
      </c>
      <c r="M526" s="6">
        <f t="shared" si="54"/>
        <v>0</v>
      </c>
      <c r="N526" s="7">
        <f t="shared" si="55"/>
        <v>0</v>
      </c>
      <c r="O526" s="35"/>
      <c r="P526" s="36"/>
      <c r="Q526" s="59"/>
      <c r="R526" s="2" t="str">
        <f t="shared" si="51"/>
        <v>35112|0|0|0|0|0|0|</v>
      </c>
      <c r="S526" s="25"/>
    </row>
    <row r="527" spans="1:19" s="34" customFormat="1" ht="12.75" customHeight="1" x14ac:dyDescent="0.2">
      <c r="A527" s="70" t="s">
        <v>1614</v>
      </c>
      <c r="B527" s="61" t="s">
        <v>1615</v>
      </c>
      <c r="C527" s="26">
        <v>0</v>
      </c>
      <c r="D527" s="27">
        <v>0</v>
      </c>
      <c r="E527" s="28">
        <v>0</v>
      </c>
      <c r="F527" s="29">
        <v>0</v>
      </c>
      <c r="G527" s="6">
        <f t="shared" si="50"/>
        <v>0</v>
      </c>
      <c r="H527" s="7">
        <f t="shared" si="50"/>
        <v>0</v>
      </c>
      <c r="I527" s="6">
        <f t="shared" si="52"/>
        <v>0</v>
      </c>
      <c r="J527" s="7">
        <f t="shared" si="53"/>
        <v>0</v>
      </c>
      <c r="K527" s="28">
        <v>0</v>
      </c>
      <c r="L527" s="29">
        <v>0</v>
      </c>
      <c r="M527" s="6">
        <f t="shared" si="54"/>
        <v>0</v>
      </c>
      <c r="N527" s="7">
        <f t="shared" si="55"/>
        <v>0</v>
      </c>
      <c r="O527" s="35"/>
      <c r="P527" s="36"/>
      <c r="Q527" s="59"/>
      <c r="R527" s="2" t="str">
        <f t="shared" si="51"/>
        <v>35113|0|0|0|0|0|0|</v>
      </c>
      <c r="S527" s="25"/>
    </row>
    <row r="528" spans="1:19" s="34" customFormat="1" ht="12.75" customHeight="1" x14ac:dyDescent="0.2">
      <c r="A528" s="70" t="s">
        <v>658</v>
      </c>
      <c r="B528" s="61" t="s">
        <v>1616</v>
      </c>
      <c r="C528" s="26">
        <v>0</v>
      </c>
      <c r="D528" s="27">
        <v>0</v>
      </c>
      <c r="E528" s="28">
        <v>0</v>
      </c>
      <c r="F528" s="29">
        <v>0</v>
      </c>
      <c r="G528" s="6">
        <f t="shared" si="50"/>
        <v>0</v>
      </c>
      <c r="H528" s="7">
        <f t="shared" si="50"/>
        <v>0</v>
      </c>
      <c r="I528" s="6">
        <f t="shared" si="52"/>
        <v>0</v>
      </c>
      <c r="J528" s="7">
        <f t="shared" si="53"/>
        <v>0</v>
      </c>
      <c r="K528" s="28">
        <v>0</v>
      </c>
      <c r="L528" s="29">
        <v>0</v>
      </c>
      <c r="M528" s="6">
        <f t="shared" si="54"/>
        <v>0</v>
      </c>
      <c r="N528" s="7">
        <f t="shared" si="55"/>
        <v>0</v>
      </c>
      <c r="O528" s="35"/>
      <c r="P528" s="36"/>
      <c r="Q528" s="59"/>
      <c r="R528" s="2" t="str">
        <f t="shared" si="51"/>
        <v>35121|0|0|0|0|0|0|</v>
      </c>
      <c r="S528" s="25"/>
    </row>
    <row r="529" spans="1:19" s="34" customFormat="1" ht="12.75" customHeight="1" x14ac:dyDescent="0.2">
      <c r="A529" s="70" t="s">
        <v>659</v>
      </c>
      <c r="B529" s="61" t="s">
        <v>1617</v>
      </c>
      <c r="C529" s="26">
        <v>0</v>
      </c>
      <c r="D529" s="27">
        <v>0</v>
      </c>
      <c r="E529" s="28">
        <v>0</v>
      </c>
      <c r="F529" s="29">
        <v>0</v>
      </c>
      <c r="G529" s="6">
        <f t="shared" si="50"/>
        <v>0</v>
      </c>
      <c r="H529" s="7">
        <f t="shared" si="50"/>
        <v>0</v>
      </c>
      <c r="I529" s="6">
        <f t="shared" si="52"/>
        <v>0</v>
      </c>
      <c r="J529" s="7">
        <f t="shared" si="53"/>
        <v>0</v>
      </c>
      <c r="K529" s="28">
        <v>0</v>
      </c>
      <c r="L529" s="29">
        <v>0</v>
      </c>
      <c r="M529" s="6">
        <f t="shared" si="54"/>
        <v>0</v>
      </c>
      <c r="N529" s="7">
        <f t="shared" si="55"/>
        <v>0</v>
      </c>
      <c r="O529" s="35"/>
      <c r="P529" s="36"/>
      <c r="Q529" s="59"/>
      <c r="R529" s="2" t="str">
        <f t="shared" si="51"/>
        <v>35122|0|0|0|0|0|0|</v>
      </c>
      <c r="S529" s="25"/>
    </row>
    <row r="530" spans="1:19" s="34" customFormat="1" ht="12.75" customHeight="1" x14ac:dyDescent="0.2">
      <c r="A530" s="70" t="s">
        <v>1618</v>
      </c>
      <c r="B530" s="61" t="s">
        <v>1619</v>
      </c>
      <c r="C530" s="26">
        <v>0</v>
      </c>
      <c r="D530" s="27">
        <v>0</v>
      </c>
      <c r="E530" s="28">
        <v>0</v>
      </c>
      <c r="F530" s="29">
        <v>0</v>
      </c>
      <c r="G530" s="6">
        <f t="shared" si="50"/>
        <v>0</v>
      </c>
      <c r="H530" s="7">
        <f t="shared" si="50"/>
        <v>0</v>
      </c>
      <c r="I530" s="6">
        <f t="shared" si="52"/>
        <v>0</v>
      </c>
      <c r="J530" s="7">
        <f t="shared" si="53"/>
        <v>0</v>
      </c>
      <c r="K530" s="28">
        <v>0</v>
      </c>
      <c r="L530" s="29">
        <v>0</v>
      </c>
      <c r="M530" s="6">
        <f t="shared" si="54"/>
        <v>0</v>
      </c>
      <c r="N530" s="7">
        <f t="shared" si="55"/>
        <v>0</v>
      </c>
      <c r="O530" s="35"/>
      <c r="P530" s="36"/>
      <c r="Q530" s="59"/>
      <c r="R530" s="2" t="str">
        <f t="shared" si="51"/>
        <v>35123|0|0|0|0|0|0|</v>
      </c>
      <c r="S530" s="25"/>
    </row>
    <row r="531" spans="1:19" s="34" customFormat="1" ht="12.75" customHeight="1" x14ac:dyDescent="0.2">
      <c r="A531" s="70" t="s">
        <v>660</v>
      </c>
      <c r="B531" s="61" t="s">
        <v>1620</v>
      </c>
      <c r="C531" s="26">
        <v>0</v>
      </c>
      <c r="D531" s="27">
        <v>0</v>
      </c>
      <c r="E531" s="28">
        <v>0</v>
      </c>
      <c r="F531" s="29">
        <v>0</v>
      </c>
      <c r="G531" s="6">
        <f t="shared" si="50"/>
        <v>0</v>
      </c>
      <c r="H531" s="7">
        <f t="shared" si="50"/>
        <v>0</v>
      </c>
      <c r="I531" s="6">
        <f t="shared" si="52"/>
        <v>0</v>
      </c>
      <c r="J531" s="7">
        <f t="shared" si="53"/>
        <v>0</v>
      </c>
      <c r="K531" s="28">
        <v>0</v>
      </c>
      <c r="L531" s="29">
        <v>0</v>
      </c>
      <c r="M531" s="6">
        <f t="shared" si="54"/>
        <v>0</v>
      </c>
      <c r="N531" s="7">
        <f t="shared" si="55"/>
        <v>0</v>
      </c>
      <c r="O531" s="35"/>
      <c r="P531" s="36"/>
      <c r="Q531" s="59"/>
      <c r="R531" s="2" t="str">
        <f t="shared" si="51"/>
        <v>35211|0|0|0|0|0|0|</v>
      </c>
      <c r="S531" s="25"/>
    </row>
    <row r="532" spans="1:19" s="34" customFormat="1" ht="12.75" customHeight="1" x14ac:dyDescent="0.2">
      <c r="A532" s="70" t="s">
        <v>661</v>
      </c>
      <c r="B532" s="61" t="s">
        <v>1621</v>
      </c>
      <c r="C532" s="26">
        <v>0</v>
      </c>
      <c r="D532" s="27">
        <v>0</v>
      </c>
      <c r="E532" s="28">
        <v>0</v>
      </c>
      <c r="F532" s="29">
        <v>0</v>
      </c>
      <c r="G532" s="6">
        <f t="shared" si="50"/>
        <v>0</v>
      </c>
      <c r="H532" s="7">
        <f t="shared" si="50"/>
        <v>0</v>
      </c>
      <c r="I532" s="6">
        <f t="shared" si="52"/>
        <v>0</v>
      </c>
      <c r="J532" s="7">
        <f t="shared" si="53"/>
        <v>0</v>
      </c>
      <c r="K532" s="28">
        <v>0</v>
      </c>
      <c r="L532" s="29">
        <v>0</v>
      </c>
      <c r="M532" s="6">
        <f t="shared" si="54"/>
        <v>0</v>
      </c>
      <c r="N532" s="7">
        <f t="shared" si="55"/>
        <v>0</v>
      </c>
      <c r="O532" s="35"/>
      <c r="P532" s="36"/>
      <c r="Q532" s="59"/>
      <c r="R532" s="2" t="str">
        <f t="shared" si="51"/>
        <v>35212|0|0|0|0|0|0|</v>
      </c>
      <c r="S532" s="25"/>
    </row>
    <row r="533" spans="1:19" s="34" customFormat="1" ht="12.75" customHeight="1" x14ac:dyDescent="0.2">
      <c r="A533" s="70" t="s">
        <v>662</v>
      </c>
      <c r="B533" s="61" t="s">
        <v>1622</v>
      </c>
      <c r="C533" s="26">
        <v>0</v>
      </c>
      <c r="D533" s="27">
        <v>0</v>
      </c>
      <c r="E533" s="28">
        <v>0</v>
      </c>
      <c r="F533" s="29">
        <v>0</v>
      </c>
      <c r="G533" s="6">
        <f t="shared" si="50"/>
        <v>0</v>
      </c>
      <c r="H533" s="7">
        <f t="shared" si="50"/>
        <v>0</v>
      </c>
      <c r="I533" s="6">
        <f t="shared" si="52"/>
        <v>0</v>
      </c>
      <c r="J533" s="7">
        <f t="shared" si="53"/>
        <v>0</v>
      </c>
      <c r="K533" s="28">
        <v>0</v>
      </c>
      <c r="L533" s="29">
        <v>0</v>
      </c>
      <c r="M533" s="6">
        <f t="shared" si="54"/>
        <v>0</v>
      </c>
      <c r="N533" s="7">
        <f t="shared" si="55"/>
        <v>0</v>
      </c>
      <c r="O533" s="35"/>
      <c r="P533" s="36"/>
      <c r="Q533" s="59"/>
      <c r="R533" s="2" t="str">
        <f t="shared" si="51"/>
        <v>35213|0|0|0|0|0|0|</v>
      </c>
      <c r="S533" s="25"/>
    </row>
    <row r="534" spans="1:19" s="34" customFormat="1" ht="12.75" customHeight="1" x14ac:dyDescent="0.2">
      <c r="A534" s="70" t="s">
        <v>663</v>
      </c>
      <c r="B534" s="61" t="s">
        <v>1623</v>
      </c>
      <c r="C534" s="26">
        <v>0</v>
      </c>
      <c r="D534" s="27">
        <v>0</v>
      </c>
      <c r="E534" s="28">
        <v>0</v>
      </c>
      <c r="F534" s="29">
        <v>0</v>
      </c>
      <c r="G534" s="6">
        <f t="shared" si="50"/>
        <v>0</v>
      </c>
      <c r="H534" s="7">
        <f t="shared" si="50"/>
        <v>0</v>
      </c>
      <c r="I534" s="6">
        <f t="shared" si="52"/>
        <v>0</v>
      </c>
      <c r="J534" s="7">
        <f t="shared" si="53"/>
        <v>0</v>
      </c>
      <c r="K534" s="28">
        <v>0</v>
      </c>
      <c r="L534" s="29">
        <v>0</v>
      </c>
      <c r="M534" s="6">
        <f t="shared" si="54"/>
        <v>0</v>
      </c>
      <c r="N534" s="7">
        <f t="shared" si="55"/>
        <v>0</v>
      </c>
      <c r="O534" s="35"/>
      <c r="P534" s="36"/>
      <c r="Q534" s="59"/>
      <c r="R534" s="2" t="str">
        <f t="shared" si="51"/>
        <v>35221|0|0|0|0|0|0|</v>
      </c>
      <c r="S534" s="25"/>
    </row>
    <row r="535" spans="1:19" s="34" customFormat="1" ht="12.75" customHeight="1" x14ac:dyDescent="0.2">
      <c r="A535" s="70" t="s">
        <v>664</v>
      </c>
      <c r="B535" s="61" t="s">
        <v>1624</v>
      </c>
      <c r="C535" s="26">
        <v>0</v>
      </c>
      <c r="D535" s="27">
        <v>0</v>
      </c>
      <c r="E535" s="28">
        <v>0</v>
      </c>
      <c r="F535" s="29">
        <v>0</v>
      </c>
      <c r="G535" s="6">
        <f t="shared" si="50"/>
        <v>0</v>
      </c>
      <c r="H535" s="7">
        <f t="shared" si="50"/>
        <v>0</v>
      </c>
      <c r="I535" s="6">
        <f t="shared" si="52"/>
        <v>0</v>
      </c>
      <c r="J535" s="7">
        <f t="shared" si="53"/>
        <v>0</v>
      </c>
      <c r="K535" s="28">
        <v>0</v>
      </c>
      <c r="L535" s="29">
        <v>0</v>
      </c>
      <c r="M535" s="6">
        <f t="shared" si="54"/>
        <v>0</v>
      </c>
      <c r="N535" s="7">
        <f t="shared" si="55"/>
        <v>0</v>
      </c>
      <c r="O535" s="35"/>
      <c r="P535" s="36"/>
      <c r="Q535" s="59"/>
      <c r="R535" s="2" t="str">
        <f t="shared" si="51"/>
        <v>35222|0|0|0|0|0|0|</v>
      </c>
      <c r="S535" s="25"/>
    </row>
    <row r="536" spans="1:19" s="34" customFormat="1" ht="12.75" customHeight="1" x14ac:dyDescent="0.2">
      <c r="A536" s="70" t="s">
        <v>665</v>
      </c>
      <c r="B536" s="61" t="s">
        <v>1625</v>
      </c>
      <c r="C536" s="26">
        <v>0</v>
      </c>
      <c r="D536" s="27">
        <v>0</v>
      </c>
      <c r="E536" s="28">
        <v>0</v>
      </c>
      <c r="F536" s="29">
        <v>0</v>
      </c>
      <c r="G536" s="6">
        <f t="shared" si="50"/>
        <v>0</v>
      </c>
      <c r="H536" s="7">
        <f t="shared" si="50"/>
        <v>0</v>
      </c>
      <c r="I536" s="6">
        <f t="shared" si="52"/>
        <v>0</v>
      </c>
      <c r="J536" s="7">
        <f t="shared" si="53"/>
        <v>0</v>
      </c>
      <c r="K536" s="28">
        <v>0</v>
      </c>
      <c r="L536" s="29">
        <v>0</v>
      </c>
      <c r="M536" s="6">
        <f t="shared" si="54"/>
        <v>0</v>
      </c>
      <c r="N536" s="7">
        <f t="shared" si="55"/>
        <v>0</v>
      </c>
      <c r="O536" s="35"/>
      <c r="P536" s="36"/>
      <c r="Q536" s="59"/>
      <c r="R536" s="2" t="str">
        <f t="shared" si="51"/>
        <v>35223|0|0|0|0|0|0|</v>
      </c>
      <c r="S536" s="25"/>
    </row>
    <row r="537" spans="1:19" s="34" customFormat="1" ht="12.75" customHeight="1" x14ac:dyDescent="0.2">
      <c r="A537" s="70" t="s">
        <v>666</v>
      </c>
      <c r="B537" s="61" t="s">
        <v>1626</v>
      </c>
      <c r="C537" s="26">
        <v>0</v>
      </c>
      <c r="D537" s="27">
        <v>0</v>
      </c>
      <c r="E537" s="28">
        <v>0</v>
      </c>
      <c r="F537" s="29">
        <v>0</v>
      </c>
      <c r="G537" s="6">
        <f t="shared" si="50"/>
        <v>0</v>
      </c>
      <c r="H537" s="7">
        <f t="shared" si="50"/>
        <v>0</v>
      </c>
      <c r="I537" s="6">
        <f t="shared" si="52"/>
        <v>0</v>
      </c>
      <c r="J537" s="7">
        <f t="shared" si="53"/>
        <v>0</v>
      </c>
      <c r="K537" s="28">
        <v>0</v>
      </c>
      <c r="L537" s="29">
        <v>0</v>
      </c>
      <c r="M537" s="6">
        <f t="shared" si="54"/>
        <v>0</v>
      </c>
      <c r="N537" s="7">
        <f t="shared" si="55"/>
        <v>0</v>
      </c>
      <c r="O537" s="35"/>
      <c r="P537" s="36"/>
      <c r="Q537" s="59"/>
      <c r="R537" s="2" t="str">
        <f t="shared" si="51"/>
        <v>3611|0|0|0|0|0|0|</v>
      </c>
      <c r="S537" s="25"/>
    </row>
    <row r="538" spans="1:19" s="34" customFormat="1" ht="12.75" customHeight="1" x14ac:dyDescent="0.2">
      <c r="A538" s="70" t="s">
        <v>667</v>
      </c>
      <c r="B538" s="61" t="s">
        <v>1627</v>
      </c>
      <c r="C538" s="26">
        <v>0</v>
      </c>
      <c r="D538" s="27">
        <v>0</v>
      </c>
      <c r="E538" s="28">
        <v>0</v>
      </c>
      <c r="F538" s="29">
        <v>0</v>
      </c>
      <c r="G538" s="6">
        <f t="shared" si="50"/>
        <v>0</v>
      </c>
      <c r="H538" s="7">
        <f t="shared" si="50"/>
        <v>0</v>
      </c>
      <c r="I538" s="6">
        <f t="shared" si="52"/>
        <v>0</v>
      </c>
      <c r="J538" s="7">
        <f t="shared" si="53"/>
        <v>0</v>
      </c>
      <c r="K538" s="28">
        <v>0</v>
      </c>
      <c r="L538" s="29">
        <v>0</v>
      </c>
      <c r="M538" s="6">
        <f t="shared" si="54"/>
        <v>0</v>
      </c>
      <c r="N538" s="7">
        <f t="shared" si="55"/>
        <v>0</v>
      </c>
      <c r="O538" s="35"/>
      <c r="P538" s="36"/>
      <c r="Q538" s="59"/>
      <c r="R538" s="2" t="str">
        <f t="shared" si="51"/>
        <v>36121|0|0|0|0|0|0|</v>
      </c>
      <c r="S538" s="25"/>
    </row>
    <row r="539" spans="1:19" s="34" customFormat="1" ht="12.75" customHeight="1" x14ac:dyDescent="0.2">
      <c r="A539" s="70" t="s">
        <v>668</v>
      </c>
      <c r="B539" s="61" t="s">
        <v>1628</v>
      </c>
      <c r="C539" s="26">
        <v>0</v>
      </c>
      <c r="D539" s="27">
        <v>0</v>
      </c>
      <c r="E539" s="28">
        <v>0</v>
      </c>
      <c r="F539" s="29">
        <v>0</v>
      </c>
      <c r="G539" s="6">
        <f t="shared" si="50"/>
        <v>0</v>
      </c>
      <c r="H539" s="7">
        <f t="shared" si="50"/>
        <v>0</v>
      </c>
      <c r="I539" s="6">
        <f t="shared" si="52"/>
        <v>0</v>
      </c>
      <c r="J539" s="7">
        <f t="shared" si="53"/>
        <v>0</v>
      </c>
      <c r="K539" s="28">
        <v>0</v>
      </c>
      <c r="L539" s="29">
        <v>0</v>
      </c>
      <c r="M539" s="6">
        <f t="shared" si="54"/>
        <v>0</v>
      </c>
      <c r="N539" s="7">
        <f t="shared" si="55"/>
        <v>0</v>
      </c>
      <c r="O539" s="35"/>
      <c r="P539" s="36"/>
      <c r="Q539" s="59"/>
      <c r="R539" s="2" t="str">
        <f t="shared" si="51"/>
        <v>36122|0|0|0|0|0|0|</v>
      </c>
      <c r="S539" s="25"/>
    </row>
    <row r="540" spans="1:19" s="34" customFormat="1" ht="12.75" customHeight="1" x14ac:dyDescent="0.2">
      <c r="A540" s="70" t="s">
        <v>669</v>
      </c>
      <c r="B540" s="61" t="s">
        <v>1629</v>
      </c>
      <c r="C540" s="26">
        <v>0</v>
      </c>
      <c r="D540" s="27">
        <v>0</v>
      </c>
      <c r="E540" s="28">
        <v>0</v>
      </c>
      <c r="F540" s="29">
        <v>0</v>
      </c>
      <c r="G540" s="6">
        <f t="shared" si="50"/>
        <v>0</v>
      </c>
      <c r="H540" s="7">
        <f t="shared" si="50"/>
        <v>0</v>
      </c>
      <c r="I540" s="6">
        <f t="shared" si="52"/>
        <v>0</v>
      </c>
      <c r="J540" s="7">
        <f t="shared" si="53"/>
        <v>0</v>
      </c>
      <c r="K540" s="28">
        <v>0</v>
      </c>
      <c r="L540" s="29">
        <v>0</v>
      </c>
      <c r="M540" s="6">
        <f t="shared" si="54"/>
        <v>0</v>
      </c>
      <c r="N540" s="7">
        <f t="shared" si="55"/>
        <v>0</v>
      </c>
      <c r="O540" s="35"/>
      <c r="P540" s="36"/>
      <c r="Q540" s="59"/>
      <c r="R540" s="2" t="str">
        <f t="shared" si="51"/>
        <v>3631|0|0|0|0|0|0|</v>
      </c>
      <c r="S540" s="25"/>
    </row>
    <row r="541" spans="1:19" s="34" customFormat="1" ht="12.75" customHeight="1" x14ac:dyDescent="0.2">
      <c r="A541" s="70" t="s">
        <v>670</v>
      </c>
      <c r="B541" s="61" t="s">
        <v>1630</v>
      </c>
      <c r="C541" s="26">
        <v>0</v>
      </c>
      <c r="D541" s="27">
        <v>0</v>
      </c>
      <c r="E541" s="28">
        <v>0</v>
      </c>
      <c r="F541" s="29">
        <v>0</v>
      </c>
      <c r="G541" s="6">
        <f t="shared" si="50"/>
        <v>0</v>
      </c>
      <c r="H541" s="7">
        <f t="shared" si="50"/>
        <v>0</v>
      </c>
      <c r="I541" s="6">
        <f t="shared" si="52"/>
        <v>0</v>
      </c>
      <c r="J541" s="7">
        <f t="shared" si="53"/>
        <v>0</v>
      </c>
      <c r="K541" s="28">
        <v>0</v>
      </c>
      <c r="L541" s="29">
        <v>0</v>
      </c>
      <c r="M541" s="6">
        <f t="shared" si="54"/>
        <v>0</v>
      </c>
      <c r="N541" s="7">
        <f t="shared" si="55"/>
        <v>0</v>
      </c>
      <c r="O541" s="35"/>
      <c r="P541" s="36"/>
      <c r="Q541" s="59"/>
      <c r="R541" s="2" t="str">
        <f t="shared" si="51"/>
        <v>36321|0|0|0|0|0|0|</v>
      </c>
      <c r="S541" s="25"/>
    </row>
    <row r="542" spans="1:19" s="34" customFormat="1" ht="12.75" customHeight="1" x14ac:dyDescent="0.2">
      <c r="A542" s="70" t="s">
        <v>671</v>
      </c>
      <c r="B542" s="61" t="s">
        <v>1631</v>
      </c>
      <c r="C542" s="26">
        <v>0</v>
      </c>
      <c r="D542" s="27">
        <v>0</v>
      </c>
      <c r="E542" s="28">
        <v>0</v>
      </c>
      <c r="F542" s="29">
        <v>0</v>
      </c>
      <c r="G542" s="6">
        <f t="shared" si="50"/>
        <v>0</v>
      </c>
      <c r="H542" s="7">
        <f t="shared" si="50"/>
        <v>0</v>
      </c>
      <c r="I542" s="6">
        <f t="shared" si="52"/>
        <v>0</v>
      </c>
      <c r="J542" s="7">
        <f t="shared" si="53"/>
        <v>0</v>
      </c>
      <c r="K542" s="28">
        <v>0</v>
      </c>
      <c r="L542" s="29">
        <v>0</v>
      </c>
      <c r="M542" s="6">
        <f t="shared" si="54"/>
        <v>0</v>
      </c>
      <c r="N542" s="7">
        <f t="shared" si="55"/>
        <v>0</v>
      </c>
      <c r="O542" s="35"/>
      <c r="P542" s="36"/>
      <c r="Q542" s="59"/>
      <c r="R542" s="2" t="str">
        <f t="shared" si="51"/>
        <v>36322|0|0|0|0|0|0|</v>
      </c>
      <c r="S542" s="25"/>
    </row>
    <row r="543" spans="1:19" s="34" customFormat="1" ht="12.75" customHeight="1" x14ac:dyDescent="0.2">
      <c r="A543" s="70" t="s">
        <v>672</v>
      </c>
      <c r="B543" s="61" t="s">
        <v>1632</v>
      </c>
      <c r="C543" s="26">
        <v>0</v>
      </c>
      <c r="D543" s="27">
        <v>0</v>
      </c>
      <c r="E543" s="28">
        <v>0</v>
      </c>
      <c r="F543" s="29">
        <v>0</v>
      </c>
      <c r="G543" s="6">
        <f t="shared" si="50"/>
        <v>0</v>
      </c>
      <c r="H543" s="7">
        <f t="shared" si="50"/>
        <v>0</v>
      </c>
      <c r="I543" s="6">
        <f t="shared" si="52"/>
        <v>0</v>
      </c>
      <c r="J543" s="7">
        <f t="shared" si="53"/>
        <v>0</v>
      </c>
      <c r="K543" s="28">
        <v>0</v>
      </c>
      <c r="L543" s="29">
        <v>0</v>
      </c>
      <c r="M543" s="6">
        <f t="shared" si="54"/>
        <v>0</v>
      </c>
      <c r="N543" s="7">
        <f t="shared" si="55"/>
        <v>0</v>
      </c>
      <c r="O543" s="35"/>
      <c r="P543" s="36"/>
      <c r="Q543" s="59"/>
      <c r="R543" s="2" t="str">
        <f t="shared" si="51"/>
        <v>36331|0|0|0|0|0|0|</v>
      </c>
      <c r="S543" s="25"/>
    </row>
    <row r="544" spans="1:19" s="34" customFormat="1" ht="12.75" customHeight="1" x14ac:dyDescent="0.2">
      <c r="A544" s="70" t="s">
        <v>673</v>
      </c>
      <c r="B544" s="61" t="s">
        <v>1633</v>
      </c>
      <c r="C544" s="26">
        <v>0</v>
      </c>
      <c r="D544" s="27">
        <v>0</v>
      </c>
      <c r="E544" s="28">
        <v>0</v>
      </c>
      <c r="F544" s="29">
        <v>0</v>
      </c>
      <c r="G544" s="6">
        <f t="shared" si="50"/>
        <v>0</v>
      </c>
      <c r="H544" s="7">
        <f t="shared" si="50"/>
        <v>0</v>
      </c>
      <c r="I544" s="6">
        <f t="shared" si="52"/>
        <v>0</v>
      </c>
      <c r="J544" s="7">
        <f t="shared" si="53"/>
        <v>0</v>
      </c>
      <c r="K544" s="28">
        <v>0</v>
      </c>
      <c r="L544" s="29">
        <v>0</v>
      </c>
      <c r="M544" s="6">
        <f t="shared" si="54"/>
        <v>0</v>
      </c>
      <c r="N544" s="7">
        <f t="shared" si="55"/>
        <v>0</v>
      </c>
      <c r="O544" s="35"/>
      <c r="P544" s="36"/>
      <c r="Q544" s="59"/>
      <c r="R544" s="2" t="str">
        <f t="shared" si="51"/>
        <v>36332|0|0|0|0|0|0|</v>
      </c>
      <c r="S544" s="25"/>
    </row>
    <row r="545" spans="1:19" s="34" customFormat="1" ht="12.75" customHeight="1" x14ac:dyDescent="0.2">
      <c r="A545" s="70" t="s">
        <v>674</v>
      </c>
      <c r="B545" s="61" t="s">
        <v>1634</v>
      </c>
      <c r="C545" s="26">
        <v>0</v>
      </c>
      <c r="D545" s="27">
        <v>0</v>
      </c>
      <c r="E545" s="28">
        <v>0</v>
      </c>
      <c r="F545" s="29">
        <v>0</v>
      </c>
      <c r="G545" s="6">
        <f t="shared" si="50"/>
        <v>0</v>
      </c>
      <c r="H545" s="7">
        <f t="shared" si="50"/>
        <v>0</v>
      </c>
      <c r="I545" s="6">
        <f t="shared" si="52"/>
        <v>0</v>
      </c>
      <c r="J545" s="7">
        <f t="shared" si="53"/>
        <v>0</v>
      </c>
      <c r="K545" s="28">
        <v>0</v>
      </c>
      <c r="L545" s="29">
        <v>0</v>
      </c>
      <c r="M545" s="6">
        <f t="shared" si="54"/>
        <v>0</v>
      </c>
      <c r="N545" s="7">
        <f t="shared" si="55"/>
        <v>0</v>
      </c>
      <c r="O545" s="35"/>
      <c r="P545" s="36"/>
      <c r="Q545" s="59"/>
      <c r="R545" s="2" t="str">
        <f t="shared" si="51"/>
        <v>3634|0|0|0|0|0|0|</v>
      </c>
      <c r="S545" s="25"/>
    </row>
    <row r="546" spans="1:19" s="34" customFormat="1" ht="12.75" customHeight="1" x14ac:dyDescent="0.2">
      <c r="A546" s="70" t="s">
        <v>675</v>
      </c>
      <c r="B546" s="61" t="s">
        <v>1635</v>
      </c>
      <c r="C546" s="26">
        <v>0</v>
      </c>
      <c r="D546" s="27">
        <v>0</v>
      </c>
      <c r="E546" s="28">
        <v>0</v>
      </c>
      <c r="F546" s="29">
        <v>0</v>
      </c>
      <c r="G546" s="6">
        <f t="shared" si="50"/>
        <v>0</v>
      </c>
      <c r="H546" s="7">
        <f t="shared" si="50"/>
        <v>0</v>
      </c>
      <c r="I546" s="6">
        <f t="shared" si="52"/>
        <v>0</v>
      </c>
      <c r="J546" s="7">
        <f t="shared" si="53"/>
        <v>0</v>
      </c>
      <c r="K546" s="28">
        <v>0</v>
      </c>
      <c r="L546" s="29">
        <v>0</v>
      </c>
      <c r="M546" s="6">
        <f t="shared" si="54"/>
        <v>0</v>
      </c>
      <c r="N546" s="7">
        <f t="shared" si="55"/>
        <v>0</v>
      </c>
      <c r="O546" s="35"/>
      <c r="P546" s="36"/>
      <c r="Q546" s="59"/>
      <c r="R546" s="2" t="str">
        <f t="shared" si="51"/>
        <v>3635|0|0|0|0|0|0|</v>
      </c>
      <c r="S546" s="25"/>
    </row>
    <row r="547" spans="1:19" s="34" customFormat="1" ht="12.75" customHeight="1" x14ac:dyDescent="0.2">
      <c r="A547" s="70" t="s">
        <v>676</v>
      </c>
      <c r="B547" s="61" t="s">
        <v>1636</v>
      </c>
      <c r="C547" s="26">
        <v>0</v>
      </c>
      <c r="D547" s="27">
        <v>0</v>
      </c>
      <c r="E547" s="28">
        <v>0</v>
      </c>
      <c r="F547" s="29">
        <v>0</v>
      </c>
      <c r="G547" s="6">
        <f t="shared" si="50"/>
        <v>0</v>
      </c>
      <c r="H547" s="7">
        <f t="shared" si="50"/>
        <v>0</v>
      </c>
      <c r="I547" s="6">
        <f t="shared" si="52"/>
        <v>0</v>
      </c>
      <c r="J547" s="7">
        <f t="shared" si="53"/>
        <v>0</v>
      </c>
      <c r="K547" s="28">
        <v>0</v>
      </c>
      <c r="L547" s="29">
        <v>0</v>
      </c>
      <c r="M547" s="6">
        <f t="shared" si="54"/>
        <v>0</v>
      </c>
      <c r="N547" s="7">
        <f t="shared" si="55"/>
        <v>0</v>
      </c>
      <c r="O547" s="35"/>
      <c r="P547" s="36"/>
      <c r="Q547" s="59"/>
      <c r="R547" s="2" t="str">
        <f t="shared" si="51"/>
        <v>3636|0|0|0|0|0|0|</v>
      </c>
      <c r="S547" s="25"/>
    </row>
    <row r="548" spans="1:19" s="34" customFormat="1" ht="12.75" customHeight="1" x14ac:dyDescent="0.2">
      <c r="A548" s="70" t="s">
        <v>677</v>
      </c>
      <c r="B548" s="61" t="s">
        <v>1637</v>
      </c>
      <c r="C548" s="26">
        <v>0</v>
      </c>
      <c r="D548" s="27">
        <v>0</v>
      </c>
      <c r="E548" s="28">
        <v>0</v>
      </c>
      <c r="F548" s="29">
        <v>0</v>
      </c>
      <c r="G548" s="6">
        <f t="shared" si="50"/>
        <v>0</v>
      </c>
      <c r="H548" s="7">
        <f t="shared" si="50"/>
        <v>0</v>
      </c>
      <c r="I548" s="6">
        <f t="shared" si="52"/>
        <v>0</v>
      </c>
      <c r="J548" s="7">
        <f t="shared" si="53"/>
        <v>0</v>
      </c>
      <c r="K548" s="28">
        <v>0</v>
      </c>
      <c r="L548" s="29">
        <v>0</v>
      </c>
      <c r="M548" s="6">
        <f t="shared" si="54"/>
        <v>0</v>
      </c>
      <c r="N548" s="7">
        <f t="shared" si="55"/>
        <v>0</v>
      </c>
      <c r="O548" s="35"/>
      <c r="P548" s="36"/>
      <c r="Q548" s="59"/>
      <c r="R548" s="2" t="str">
        <f t="shared" si="51"/>
        <v>3637|0|0|0|0|0|0|</v>
      </c>
      <c r="S548" s="25"/>
    </row>
    <row r="549" spans="1:19" s="34" customFormat="1" ht="12.75" customHeight="1" x14ac:dyDescent="0.2">
      <c r="A549" s="70" t="s">
        <v>678</v>
      </c>
      <c r="B549" s="61" t="s">
        <v>1638</v>
      </c>
      <c r="C549" s="26">
        <v>0</v>
      </c>
      <c r="D549" s="27">
        <v>0</v>
      </c>
      <c r="E549" s="28">
        <v>0</v>
      </c>
      <c r="F549" s="29">
        <v>0</v>
      </c>
      <c r="G549" s="6">
        <f t="shared" si="50"/>
        <v>0</v>
      </c>
      <c r="H549" s="7">
        <f t="shared" si="50"/>
        <v>0</v>
      </c>
      <c r="I549" s="6">
        <f t="shared" si="52"/>
        <v>0</v>
      </c>
      <c r="J549" s="7">
        <f t="shared" si="53"/>
        <v>0</v>
      </c>
      <c r="K549" s="28">
        <v>0</v>
      </c>
      <c r="L549" s="29">
        <v>0</v>
      </c>
      <c r="M549" s="6">
        <f t="shared" si="54"/>
        <v>0</v>
      </c>
      <c r="N549" s="7">
        <f t="shared" si="55"/>
        <v>0</v>
      </c>
      <c r="O549" s="35"/>
      <c r="P549" s="36"/>
      <c r="Q549" s="59"/>
      <c r="R549" s="2" t="str">
        <f t="shared" si="51"/>
        <v>3641|0|0|0|0|0|0|</v>
      </c>
      <c r="S549" s="25"/>
    </row>
    <row r="550" spans="1:19" s="34" customFormat="1" ht="12.75" customHeight="1" x14ac:dyDescent="0.2">
      <c r="A550" s="70" t="s">
        <v>679</v>
      </c>
      <c r="B550" s="61" t="s">
        <v>1639</v>
      </c>
      <c r="C550" s="26">
        <v>0</v>
      </c>
      <c r="D550" s="27">
        <v>0</v>
      </c>
      <c r="E550" s="28">
        <v>0</v>
      </c>
      <c r="F550" s="29">
        <v>0</v>
      </c>
      <c r="G550" s="6">
        <f t="shared" si="50"/>
        <v>0</v>
      </c>
      <c r="H550" s="7">
        <f t="shared" si="50"/>
        <v>0</v>
      </c>
      <c r="I550" s="6">
        <f t="shared" si="52"/>
        <v>0</v>
      </c>
      <c r="J550" s="7">
        <f t="shared" si="53"/>
        <v>0</v>
      </c>
      <c r="K550" s="28">
        <v>0</v>
      </c>
      <c r="L550" s="29">
        <v>0</v>
      </c>
      <c r="M550" s="6">
        <f t="shared" si="54"/>
        <v>0</v>
      </c>
      <c r="N550" s="7">
        <f t="shared" si="55"/>
        <v>0</v>
      </c>
      <c r="O550" s="35"/>
      <c r="P550" s="36"/>
      <c r="Q550" s="59"/>
      <c r="R550" s="2" t="str">
        <f t="shared" si="51"/>
        <v>3642|0|0|0|0|0|0|</v>
      </c>
      <c r="S550" s="25"/>
    </row>
    <row r="551" spans="1:19" s="34" customFormat="1" ht="12.75" customHeight="1" x14ac:dyDescent="0.2">
      <c r="A551" s="70" t="s">
        <v>680</v>
      </c>
      <c r="B551" s="61" t="s">
        <v>1640</v>
      </c>
      <c r="C551" s="26">
        <v>0</v>
      </c>
      <c r="D551" s="27">
        <v>0</v>
      </c>
      <c r="E551" s="28">
        <v>0</v>
      </c>
      <c r="F551" s="29">
        <v>0</v>
      </c>
      <c r="G551" s="6">
        <f t="shared" si="50"/>
        <v>0</v>
      </c>
      <c r="H551" s="7">
        <f t="shared" si="50"/>
        <v>0</v>
      </c>
      <c r="I551" s="6">
        <f t="shared" si="52"/>
        <v>0</v>
      </c>
      <c r="J551" s="7">
        <f t="shared" si="53"/>
        <v>0</v>
      </c>
      <c r="K551" s="28">
        <v>0</v>
      </c>
      <c r="L551" s="29">
        <v>0</v>
      </c>
      <c r="M551" s="6">
        <f t="shared" si="54"/>
        <v>0</v>
      </c>
      <c r="N551" s="7">
        <f t="shared" si="55"/>
        <v>0</v>
      </c>
      <c r="O551" s="35"/>
      <c r="P551" s="36"/>
      <c r="Q551" s="59"/>
      <c r="R551" s="2" t="str">
        <f t="shared" si="51"/>
        <v>3643|0|0|0|0|0|0|</v>
      </c>
      <c r="S551" s="25"/>
    </row>
    <row r="552" spans="1:19" s="34" customFormat="1" ht="12.75" customHeight="1" x14ac:dyDescent="0.2">
      <c r="A552" s="70" t="s">
        <v>1641</v>
      </c>
      <c r="B552" s="61" t="s">
        <v>1642</v>
      </c>
      <c r="C552" s="26">
        <v>0</v>
      </c>
      <c r="D552" s="27">
        <v>0</v>
      </c>
      <c r="E552" s="28">
        <v>0</v>
      </c>
      <c r="F552" s="29">
        <v>0</v>
      </c>
      <c r="G552" s="6">
        <f t="shared" si="50"/>
        <v>0</v>
      </c>
      <c r="H552" s="7">
        <f t="shared" si="50"/>
        <v>0</v>
      </c>
      <c r="I552" s="6">
        <f t="shared" si="52"/>
        <v>0</v>
      </c>
      <c r="J552" s="7">
        <f t="shared" si="53"/>
        <v>0</v>
      </c>
      <c r="K552" s="28">
        <v>0</v>
      </c>
      <c r="L552" s="29">
        <v>0</v>
      </c>
      <c r="M552" s="6">
        <f t="shared" si="54"/>
        <v>0</v>
      </c>
      <c r="N552" s="7">
        <f t="shared" si="55"/>
        <v>0</v>
      </c>
      <c r="O552" s="35"/>
      <c r="P552" s="36"/>
      <c r="Q552" s="59"/>
      <c r="R552" s="2" t="str">
        <f t="shared" si="51"/>
        <v>36441|0|0|0|0|0|0|</v>
      </c>
      <c r="S552" s="25"/>
    </row>
    <row r="553" spans="1:19" s="34" customFormat="1" ht="12.75" customHeight="1" x14ac:dyDescent="0.2">
      <c r="A553" s="70" t="s">
        <v>1643</v>
      </c>
      <c r="B553" s="61" t="s">
        <v>1644</v>
      </c>
      <c r="C553" s="26">
        <v>0</v>
      </c>
      <c r="D553" s="27">
        <v>0</v>
      </c>
      <c r="E553" s="28">
        <v>0</v>
      </c>
      <c r="F553" s="29">
        <v>0</v>
      </c>
      <c r="G553" s="6">
        <f t="shared" si="50"/>
        <v>0</v>
      </c>
      <c r="H553" s="7">
        <f t="shared" si="50"/>
        <v>0</v>
      </c>
      <c r="I553" s="6">
        <f t="shared" si="52"/>
        <v>0</v>
      </c>
      <c r="J553" s="7">
        <f t="shared" si="53"/>
        <v>0</v>
      </c>
      <c r="K553" s="28">
        <v>0</v>
      </c>
      <c r="L553" s="29">
        <v>0</v>
      </c>
      <c r="M553" s="6">
        <f t="shared" si="54"/>
        <v>0</v>
      </c>
      <c r="N553" s="7">
        <f t="shared" si="55"/>
        <v>0</v>
      </c>
      <c r="O553" s="35"/>
      <c r="P553" s="36"/>
      <c r="Q553" s="59"/>
      <c r="R553" s="2" t="str">
        <f t="shared" si="51"/>
        <v>36442|0|0|0|0|0|0|</v>
      </c>
      <c r="S553" s="25"/>
    </row>
    <row r="554" spans="1:19" s="34" customFormat="1" ht="12.75" customHeight="1" x14ac:dyDescent="0.2">
      <c r="A554" s="70" t="s">
        <v>681</v>
      </c>
      <c r="B554" s="61" t="s">
        <v>1645</v>
      </c>
      <c r="C554" s="26">
        <v>0</v>
      </c>
      <c r="D554" s="27">
        <v>0</v>
      </c>
      <c r="E554" s="28">
        <v>0</v>
      </c>
      <c r="F554" s="29">
        <v>0</v>
      </c>
      <c r="G554" s="6">
        <f t="shared" si="50"/>
        <v>0</v>
      </c>
      <c r="H554" s="7">
        <f t="shared" si="50"/>
        <v>0</v>
      </c>
      <c r="I554" s="6">
        <f t="shared" si="52"/>
        <v>0</v>
      </c>
      <c r="J554" s="7">
        <f t="shared" si="53"/>
        <v>0</v>
      </c>
      <c r="K554" s="28">
        <v>0</v>
      </c>
      <c r="L554" s="29">
        <v>0</v>
      </c>
      <c r="M554" s="6">
        <f t="shared" si="54"/>
        <v>0</v>
      </c>
      <c r="N554" s="7">
        <f t="shared" si="55"/>
        <v>0</v>
      </c>
      <c r="O554" s="35"/>
      <c r="P554" s="36"/>
      <c r="Q554" s="59"/>
      <c r="R554" s="2" t="str">
        <f t="shared" si="51"/>
        <v>3645|0|0|0|0|0|0|</v>
      </c>
      <c r="S554" s="25"/>
    </row>
    <row r="555" spans="1:19" s="34" customFormat="1" ht="12.75" customHeight="1" x14ac:dyDescent="0.2">
      <c r="A555" s="70" t="s">
        <v>1646</v>
      </c>
      <c r="B555" s="61" t="s">
        <v>1647</v>
      </c>
      <c r="C555" s="26">
        <v>0</v>
      </c>
      <c r="D555" s="27">
        <v>0</v>
      </c>
      <c r="E555" s="28">
        <v>0</v>
      </c>
      <c r="F555" s="29">
        <v>0</v>
      </c>
      <c r="G555" s="6">
        <f t="shared" si="50"/>
        <v>0</v>
      </c>
      <c r="H555" s="7">
        <f t="shared" si="50"/>
        <v>0</v>
      </c>
      <c r="I555" s="6">
        <f t="shared" si="52"/>
        <v>0</v>
      </c>
      <c r="J555" s="7">
        <f t="shared" si="53"/>
        <v>0</v>
      </c>
      <c r="K555" s="28">
        <v>0</v>
      </c>
      <c r="L555" s="29">
        <v>0</v>
      </c>
      <c r="M555" s="6">
        <f t="shared" si="54"/>
        <v>0</v>
      </c>
      <c r="N555" s="7">
        <f t="shared" si="55"/>
        <v>0</v>
      </c>
      <c r="O555" s="35"/>
      <c r="P555" s="36"/>
      <c r="Q555" s="59"/>
      <c r="R555" s="2" t="str">
        <f t="shared" si="51"/>
        <v>3647|0|0|0|0|0|0|</v>
      </c>
      <c r="S555" s="25"/>
    </row>
    <row r="556" spans="1:19" s="34" customFormat="1" ht="12.75" customHeight="1" x14ac:dyDescent="0.2">
      <c r="A556" s="70" t="s">
        <v>682</v>
      </c>
      <c r="B556" s="61" t="s">
        <v>1648</v>
      </c>
      <c r="C556" s="26">
        <v>0</v>
      </c>
      <c r="D556" s="27">
        <v>0</v>
      </c>
      <c r="E556" s="28">
        <v>0</v>
      </c>
      <c r="F556" s="29">
        <v>0</v>
      </c>
      <c r="G556" s="6">
        <f t="shared" ref="G556:H620" si="56">+C556+E556</f>
        <v>0</v>
      </c>
      <c r="H556" s="7">
        <f t="shared" si="56"/>
        <v>0</v>
      </c>
      <c r="I556" s="6">
        <f t="shared" si="52"/>
        <v>0</v>
      </c>
      <c r="J556" s="7">
        <f t="shared" si="53"/>
        <v>0</v>
      </c>
      <c r="K556" s="28">
        <v>0</v>
      </c>
      <c r="L556" s="29">
        <v>0</v>
      </c>
      <c r="M556" s="6">
        <f t="shared" si="54"/>
        <v>0</v>
      </c>
      <c r="N556" s="7">
        <f t="shared" si="55"/>
        <v>0</v>
      </c>
      <c r="O556" s="35"/>
      <c r="P556" s="36"/>
      <c r="Q556" s="59"/>
      <c r="R556" s="2" t="str">
        <f t="shared" si="51"/>
        <v>3649|0|0|0|0|0|0|</v>
      </c>
      <c r="S556" s="25"/>
    </row>
    <row r="557" spans="1:19" s="34" customFormat="1" ht="12.75" customHeight="1" x14ac:dyDescent="0.2">
      <c r="A557" s="70" t="s">
        <v>1649</v>
      </c>
      <c r="B557" s="61" t="s">
        <v>1650</v>
      </c>
      <c r="C557" s="26">
        <v>0</v>
      </c>
      <c r="D557" s="27">
        <v>0</v>
      </c>
      <c r="E557" s="28">
        <v>0</v>
      </c>
      <c r="F557" s="29">
        <v>0</v>
      </c>
      <c r="G557" s="6">
        <f>+C557+E557</f>
        <v>0</v>
      </c>
      <c r="H557" s="7">
        <f>+D557+F557</f>
        <v>0</v>
      </c>
      <c r="I557" s="6">
        <f t="shared" si="52"/>
        <v>0</v>
      </c>
      <c r="J557" s="7">
        <f t="shared" si="53"/>
        <v>0</v>
      </c>
      <c r="K557" s="28">
        <v>0</v>
      </c>
      <c r="L557" s="29">
        <v>0</v>
      </c>
      <c r="M557" s="6">
        <f t="shared" si="54"/>
        <v>0</v>
      </c>
      <c r="N557" s="7">
        <f t="shared" si="55"/>
        <v>0</v>
      </c>
      <c r="O557" s="35"/>
      <c r="P557" s="36"/>
      <c r="Q557" s="59"/>
      <c r="R557" s="2" t="str">
        <f t="shared" si="51"/>
        <v>36511|0|0|0|0|0|0|</v>
      </c>
      <c r="S557" s="25"/>
    </row>
    <row r="558" spans="1:19" s="34" customFormat="1" ht="12.75" customHeight="1" x14ac:dyDescent="0.2">
      <c r="A558" s="70" t="s">
        <v>1651</v>
      </c>
      <c r="B558" s="61" t="s">
        <v>1652</v>
      </c>
      <c r="C558" s="26">
        <v>0</v>
      </c>
      <c r="D558" s="27">
        <v>0</v>
      </c>
      <c r="E558" s="28">
        <v>0</v>
      </c>
      <c r="F558" s="29">
        <v>0</v>
      </c>
      <c r="G558" s="6">
        <f t="shared" si="56"/>
        <v>0</v>
      </c>
      <c r="H558" s="7">
        <f t="shared" si="56"/>
        <v>0</v>
      </c>
      <c r="I558" s="6">
        <f t="shared" si="52"/>
        <v>0</v>
      </c>
      <c r="J558" s="7">
        <f t="shared" si="53"/>
        <v>0</v>
      </c>
      <c r="K558" s="28">
        <v>0</v>
      </c>
      <c r="L558" s="29">
        <v>0</v>
      </c>
      <c r="M558" s="6">
        <f t="shared" si="54"/>
        <v>0</v>
      </c>
      <c r="N558" s="7">
        <f t="shared" si="55"/>
        <v>0</v>
      </c>
      <c r="O558" s="35"/>
      <c r="P558" s="36"/>
      <c r="Q558" s="59"/>
      <c r="R558" s="2" t="str">
        <f t="shared" si="51"/>
        <v>36512|0|0|0|0|0|0|</v>
      </c>
      <c r="S558" s="25"/>
    </row>
    <row r="559" spans="1:19" s="34" customFormat="1" ht="12.75" customHeight="1" x14ac:dyDescent="0.2">
      <c r="A559" s="70" t="s">
        <v>683</v>
      </c>
      <c r="B559" s="61" t="s">
        <v>1653</v>
      </c>
      <c r="C559" s="26">
        <v>0</v>
      </c>
      <c r="D559" s="27">
        <v>0</v>
      </c>
      <c r="E559" s="28">
        <v>0</v>
      </c>
      <c r="F559" s="29">
        <v>0</v>
      </c>
      <c r="G559" s="6">
        <f t="shared" si="56"/>
        <v>0</v>
      </c>
      <c r="H559" s="7">
        <f t="shared" si="56"/>
        <v>0</v>
      </c>
      <c r="I559" s="6">
        <f t="shared" si="52"/>
        <v>0</v>
      </c>
      <c r="J559" s="7">
        <f t="shared" si="53"/>
        <v>0</v>
      </c>
      <c r="K559" s="28">
        <v>0</v>
      </c>
      <c r="L559" s="29">
        <v>0</v>
      </c>
      <c r="M559" s="6">
        <f t="shared" si="54"/>
        <v>0</v>
      </c>
      <c r="N559" s="7">
        <f t="shared" si="55"/>
        <v>0</v>
      </c>
      <c r="O559" s="35"/>
      <c r="P559" s="36"/>
      <c r="Q559" s="59"/>
      <c r="R559" s="2" t="str">
        <f t="shared" si="51"/>
        <v>36521|0|0|0|0|0|0|</v>
      </c>
      <c r="S559" s="25"/>
    </row>
    <row r="560" spans="1:19" s="34" customFormat="1" ht="12.75" customHeight="1" x14ac:dyDescent="0.2">
      <c r="A560" s="70" t="s">
        <v>684</v>
      </c>
      <c r="B560" s="61" t="s">
        <v>1654</v>
      </c>
      <c r="C560" s="26">
        <v>0</v>
      </c>
      <c r="D560" s="27">
        <v>0</v>
      </c>
      <c r="E560" s="28">
        <v>0</v>
      </c>
      <c r="F560" s="29">
        <v>0</v>
      </c>
      <c r="G560" s="6">
        <f t="shared" si="56"/>
        <v>0</v>
      </c>
      <c r="H560" s="7">
        <f t="shared" si="56"/>
        <v>0</v>
      </c>
      <c r="I560" s="6">
        <f t="shared" si="52"/>
        <v>0</v>
      </c>
      <c r="J560" s="7">
        <f t="shared" si="53"/>
        <v>0</v>
      </c>
      <c r="K560" s="28">
        <v>0</v>
      </c>
      <c r="L560" s="29">
        <v>0</v>
      </c>
      <c r="M560" s="6">
        <f t="shared" si="54"/>
        <v>0</v>
      </c>
      <c r="N560" s="7">
        <f t="shared" si="55"/>
        <v>0</v>
      </c>
      <c r="O560" s="35"/>
      <c r="P560" s="36"/>
      <c r="Q560" s="59"/>
      <c r="R560" s="2" t="str">
        <f t="shared" si="51"/>
        <v>36522|0|0|0|0|0|0|</v>
      </c>
      <c r="S560" s="25"/>
    </row>
    <row r="561" spans="1:19" s="34" customFormat="1" ht="12.75" customHeight="1" x14ac:dyDescent="0.2">
      <c r="A561" s="70" t="s">
        <v>1655</v>
      </c>
      <c r="B561" s="61" t="s">
        <v>1656</v>
      </c>
      <c r="C561" s="26">
        <v>0</v>
      </c>
      <c r="D561" s="27">
        <v>0</v>
      </c>
      <c r="E561" s="28">
        <v>0</v>
      </c>
      <c r="F561" s="29">
        <v>0</v>
      </c>
      <c r="G561" s="6">
        <f t="shared" si="56"/>
        <v>0</v>
      </c>
      <c r="H561" s="7">
        <f t="shared" si="56"/>
        <v>0</v>
      </c>
      <c r="I561" s="6">
        <f t="shared" si="52"/>
        <v>0</v>
      </c>
      <c r="J561" s="7">
        <f t="shared" si="53"/>
        <v>0</v>
      </c>
      <c r="K561" s="28">
        <v>0</v>
      </c>
      <c r="L561" s="29">
        <v>0</v>
      </c>
      <c r="M561" s="6">
        <f t="shared" si="54"/>
        <v>0</v>
      </c>
      <c r="N561" s="7">
        <f t="shared" si="55"/>
        <v>0</v>
      </c>
      <c r="O561" s="35"/>
      <c r="P561" s="36"/>
      <c r="Q561" s="59"/>
      <c r="R561" s="2" t="str">
        <f t="shared" si="51"/>
        <v>3661|0|0|0|0|0|0|</v>
      </c>
      <c r="S561" s="25"/>
    </row>
    <row r="562" spans="1:19" s="34" customFormat="1" ht="12.75" customHeight="1" x14ac:dyDescent="0.2">
      <c r="A562" s="70" t="s">
        <v>1657</v>
      </c>
      <c r="B562" s="61" t="s">
        <v>1658</v>
      </c>
      <c r="C562" s="26">
        <v>0</v>
      </c>
      <c r="D562" s="27">
        <v>0</v>
      </c>
      <c r="E562" s="28">
        <v>0</v>
      </c>
      <c r="F562" s="29">
        <v>0</v>
      </c>
      <c r="G562" s="6">
        <f t="shared" si="56"/>
        <v>0</v>
      </c>
      <c r="H562" s="7">
        <f t="shared" si="56"/>
        <v>0</v>
      </c>
      <c r="I562" s="6">
        <f t="shared" si="52"/>
        <v>0</v>
      </c>
      <c r="J562" s="7">
        <f t="shared" si="53"/>
        <v>0</v>
      </c>
      <c r="K562" s="28">
        <v>0</v>
      </c>
      <c r="L562" s="29">
        <v>0</v>
      </c>
      <c r="M562" s="6">
        <f t="shared" si="54"/>
        <v>0</v>
      </c>
      <c r="N562" s="7">
        <f t="shared" si="55"/>
        <v>0</v>
      </c>
      <c r="O562" s="35"/>
      <c r="P562" s="36"/>
      <c r="Q562" s="59"/>
      <c r="R562" s="2" t="str">
        <f t="shared" si="51"/>
        <v>3662|0|0|0|0|0|0|</v>
      </c>
      <c r="S562" s="25"/>
    </row>
    <row r="563" spans="1:19" s="34" customFormat="1" ht="12.75" customHeight="1" x14ac:dyDescent="0.2">
      <c r="A563" s="70" t="s">
        <v>1659</v>
      </c>
      <c r="B563" s="61" t="s">
        <v>1660</v>
      </c>
      <c r="C563" s="26">
        <v>0</v>
      </c>
      <c r="D563" s="27">
        <v>0</v>
      </c>
      <c r="E563" s="28">
        <v>0</v>
      </c>
      <c r="F563" s="29">
        <v>0</v>
      </c>
      <c r="G563" s="6">
        <f t="shared" si="56"/>
        <v>0</v>
      </c>
      <c r="H563" s="7">
        <f t="shared" si="56"/>
        <v>0</v>
      </c>
      <c r="I563" s="6">
        <f t="shared" si="52"/>
        <v>0</v>
      </c>
      <c r="J563" s="7">
        <f t="shared" si="53"/>
        <v>0</v>
      </c>
      <c r="K563" s="28">
        <v>0</v>
      </c>
      <c r="L563" s="29">
        <v>0</v>
      </c>
      <c r="M563" s="6">
        <f t="shared" si="54"/>
        <v>0</v>
      </c>
      <c r="N563" s="7">
        <f t="shared" si="55"/>
        <v>0</v>
      </c>
      <c r="O563" s="35"/>
      <c r="P563" s="36"/>
      <c r="Q563" s="59"/>
      <c r="R563" s="2" t="str">
        <f t="shared" si="51"/>
        <v>3711|0|0|0|0|0|0|</v>
      </c>
      <c r="S563" s="25"/>
    </row>
    <row r="564" spans="1:19" s="34" customFormat="1" ht="12.75" customHeight="1" x14ac:dyDescent="0.2">
      <c r="A564" s="70" t="s">
        <v>1661</v>
      </c>
      <c r="B564" s="61" t="s">
        <v>1662</v>
      </c>
      <c r="C564" s="26">
        <v>0</v>
      </c>
      <c r="D564" s="27">
        <v>0</v>
      </c>
      <c r="E564" s="28">
        <v>0</v>
      </c>
      <c r="F564" s="29">
        <v>0</v>
      </c>
      <c r="G564" s="6">
        <f t="shared" si="56"/>
        <v>0</v>
      </c>
      <c r="H564" s="7">
        <f t="shared" si="56"/>
        <v>0</v>
      </c>
      <c r="I564" s="6">
        <f t="shared" si="52"/>
        <v>0</v>
      </c>
      <c r="J564" s="7">
        <f t="shared" si="53"/>
        <v>0</v>
      </c>
      <c r="K564" s="28">
        <v>0</v>
      </c>
      <c r="L564" s="29">
        <v>0</v>
      </c>
      <c r="M564" s="6">
        <f t="shared" si="54"/>
        <v>0</v>
      </c>
      <c r="N564" s="7">
        <f t="shared" si="55"/>
        <v>0</v>
      </c>
      <c r="O564" s="35"/>
      <c r="P564" s="36"/>
      <c r="Q564" s="59"/>
      <c r="R564" s="2" t="str">
        <f t="shared" si="51"/>
        <v>3712|0|0|0|0|0|0|</v>
      </c>
      <c r="S564" s="25"/>
    </row>
    <row r="565" spans="1:19" s="34" customFormat="1" ht="12.75" customHeight="1" x14ac:dyDescent="0.2">
      <c r="A565" s="70" t="s">
        <v>1663</v>
      </c>
      <c r="B565" s="61" t="s">
        <v>1664</v>
      </c>
      <c r="C565" s="26">
        <v>0</v>
      </c>
      <c r="D565" s="27">
        <v>0</v>
      </c>
      <c r="E565" s="28">
        <v>0</v>
      </c>
      <c r="F565" s="29">
        <v>0</v>
      </c>
      <c r="G565" s="6">
        <f t="shared" si="56"/>
        <v>0</v>
      </c>
      <c r="H565" s="7">
        <f t="shared" si="56"/>
        <v>0</v>
      </c>
      <c r="I565" s="6">
        <f t="shared" si="52"/>
        <v>0</v>
      </c>
      <c r="J565" s="7">
        <f t="shared" si="53"/>
        <v>0</v>
      </c>
      <c r="K565" s="28">
        <v>0</v>
      </c>
      <c r="L565" s="29">
        <v>0</v>
      </c>
      <c r="M565" s="6">
        <f t="shared" si="54"/>
        <v>0</v>
      </c>
      <c r="N565" s="7">
        <f t="shared" si="55"/>
        <v>0</v>
      </c>
      <c r="O565" s="35"/>
      <c r="P565" s="36"/>
      <c r="Q565" s="59"/>
      <c r="R565" s="2" t="str">
        <f t="shared" si="51"/>
        <v>3721|0|0|0|0|0|0|</v>
      </c>
      <c r="S565" s="25"/>
    </row>
    <row r="566" spans="1:19" s="34" customFormat="1" ht="12.75" customHeight="1" x14ac:dyDescent="0.2">
      <c r="A566" s="70" t="s">
        <v>1665</v>
      </c>
      <c r="B566" s="61" t="s">
        <v>1666</v>
      </c>
      <c r="C566" s="26">
        <v>0</v>
      </c>
      <c r="D566" s="27">
        <v>0</v>
      </c>
      <c r="E566" s="28">
        <v>0</v>
      </c>
      <c r="F566" s="29">
        <v>0</v>
      </c>
      <c r="G566" s="6">
        <f t="shared" si="56"/>
        <v>0</v>
      </c>
      <c r="H566" s="7">
        <f t="shared" si="56"/>
        <v>0</v>
      </c>
      <c r="I566" s="6">
        <f t="shared" si="52"/>
        <v>0</v>
      </c>
      <c r="J566" s="7">
        <f t="shared" si="53"/>
        <v>0</v>
      </c>
      <c r="K566" s="28">
        <v>0</v>
      </c>
      <c r="L566" s="29">
        <v>0</v>
      </c>
      <c r="M566" s="6">
        <f t="shared" si="54"/>
        <v>0</v>
      </c>
      <c r="N566" s="7">
        <f t="shared" si="55"/>
        <v>0</v>
      </c>
      <c r="O566" s="35"/>
      <c r="P566" s="36"/>
      <c r="Q566" s="59"/>
      <c r="R566" s="2" t="str">
        <f t="shared" si="51"/>
        <v>3722|0|0|0|0|0|0|</v>
      </c>
      <c r="S566" s="25"/>
    </row>
    <row r="567" spans="1:19" s="34" customFormat="1" ht="12.75" customHeight="1" x14ac:dyDescent="0.2">
      <c r="A567" s="70" t="s">
        <v>685</v>
      </c>
      <c r="B567" s="61" t="s">
        <v>1667</v>
      </c>
      <c r="C567" s="26">
        <v>0</v>
      </c>
      <c r="D567" s="27">
        <v>0</v>
      </c>
      <c r="E567" s="28">
        <v>0</v>
      </c>
      <c r="F567" s="29">
        <v>0</v>
      </c>
      <c r="G567" s="6">
        <f t="shared" si="56"/>
        <v>0</v>
      </c>
      <c r="H567" s="7">
        <f t="shared" si="56"/>
        <v>0</v>
      </c>
      <c r="I567" s="6">
        <f t="shared" si="52"/>
        <v>0</v>
      </c>
      <c r="J567" s="7">
        <f t="shared" si="53"/>
        <v>0</v>
      </c>
      <c r="K567" s="28">
        <v>0</v>
      </c>
      <c r="L567" s="29">
        <v>0</v>
      </c>
      <c r="M567" s="6">
        <f t="shared" si="54"/>
        <v>0</v>
      </c>
      <c r="N567" s="7">
        <f t="shared" si="55"/>
        <v>0</v>
      </c>
      <c r="O567" s="35"/>
      <c r="P567" s="36"/>
      <c r="Q567" s="59"/>
      <c r="R567" s="2" t="str">
        <f t="shared" si="51"/>
        <v>3731|0|0|0|0|0|0|</v>
      </c>
      <c r="S567" s="25"/>
    </row>
    <row r="568" spans="1:19" s="34" customFormat="1" ht="12.75" customHeight="1" x14ac:dyDescent="0.2">
      <c r="A568" s="70" t="s">
        <v>686</v>
      </c>
      <c r="B568" s="61" t="s">
        <v>1668</v>
      </c>
      <c r="C568" s="26">
        <v>0</v>
      </c>
      <c r="D568" s="27">
        <v>0</v>
      </c>
      <c r="E568" s="28">
        <v>0</v>
      </c>
      <c r="F568" s="29">
        <v>0</v>
      </c>
      <c r="G568" s="6">
        <f t="shared" si="56"/>
        <v>0</v>
      </c>
      <c r="H568" s="7">
        <f t="shared" si="56"/>
        <v>0</v>
      </c>
      <c r="I568" s="6">
        <f t="shared" si="52"/>
        <v>0</v>
      </c>
      <c r="J568" s="7">
        <f t="shared" si="53"/>
        <v>0</v>
      </c>
      <c r="K568" s="28">
        <v>0</v>
      </c>
      <c r="L568" s="29">
        <v>0</v>
      </c>
      <c r="M568" s="6">
        <f t="shared" si="54"/>
        <v>0</v>
      </c>
      <c r="N568" s="7">
        <f t="shared" si="55"/>
        <v>0</v>
      </c>
      <c r="O568" s="35"/>
      <c r="P568" s="36"/>
      <c r="Q568" s="59"/>
      <c r="R568" s="2" t="str">
        <f t="shared" si="51"/>
        <v>3732|0|0|0|0|0|0|</v>
      </c>
      <c r="S568" s="25"/>
    </row>
    <row r="569" spans="1:19" s="34" customFormat="1" ht="12.75" customHeight="1" x14ac:dyDescent="0.2">
      <c r="A569" s="70" t="s">
        <v>687</v>
      </c>
      <c r="B569" s="61" t="s">
        <v>1669</v>
      </c>
      <c r="C569" s="26">
        <v>0</v>
      </c>
      <c r="D569" s="27">
        <v>0</v>
      </c>
      <c r="E569" s="28">
        <v>0</v>
      </c>
      <c r="F569" s="29">
        <v>0</v>
      </c>
      <c r="G569" s="6">
        <f t="shared" si="56"/>
        <v>0</v>
      </c>
      <c r="H569" s="7">
        <f t="shared" si="56"/>
        <v>0</v>
      </c>
      <c r="I569" s="6">
        <f t="shared" si="52"/>
        <v>0</v>
      </c>
      <c r="J569" s="7">
        <f t="shared" si="53"/>
        <v>0</v>
      </c>
      <c r="K569" s="28">
        <v>0</v>
      </c>
      <c r="L569" s="29">
        <v>0</v>
      </c>
      <c r="M569" s="6">
        <f t="shared" si="54"/>
        <v>0</v>
      </c>
      <c r="N569" s="7">
        <f t="shared" si="55"/>
        <v>0</v>
      </c>
      <c r="O569" s="35"/>
      <c r="P569" s="36"/>
      <c r="Q569" s="59"/>
      <c r="R569" s="2" t="str">
        <f t="shared" si="51"/>
        <v>3811|0|0|0|0|0|0|</v>
      </c>
      <c r="S569" s="25"/>
    </row>
    <row r="570" spans="1:19" s="34" customFormat="1" ht="12.75" customHeight="1" x14ac:dyDescent="0.2">
      <c r="A570" s="70" t="s">
        <v>688</v>
      </c>
      <c r="B570" s="61" t="s">
        <v>1670</v>
      </c>
      <c r="C570" s="26">
        <v>0</v>
      </c>
      <c r="D570" s="27">
        <v>0</v>
      </c>
      <c r="E570" s="28">
        <v>0</v>
      </c>
      <c r="F570" s="29">
        <v>0</v>
      </c>
      <c r="G570" s="6">
        <f t="shared" si="56"/>
        <v>0</v>
      </c>
      <c r="H570" s="7">
        <f t="shared" si="56"/>
        <v>0</v>
      </c>
      <c r="I570" s="6">
        <f t="shared" si="52"/>
        <v>0</v>
      </c>
      <c r="J570" s="7">
        <f t="shared" si="53"/>
        <v>0</v>
      </c>
      <c r="K570" s="28">
        <v>0</v>
      </c>
      <c r="L570" s="29">
        <v>0</v>
      </c>
      <c r="M570" s="6">
        <f t="shared" si="54"/>
        <v>0</v>
      </c>
      <c r="N570" s="7">
        <f t="shared" si="55"/>
        <v>0</v>
      </c>
      <c r="O570" s="35"/>
      <c r="P570" s="36"/>
      <c r="Q570" s="59"/>
      <c r="R570" s="2" t="str">
        <f t="shared" si="51"/>
        <v>3812|0|0|0|0|0|0|</v>
      </c>
      <c r="S570" s="25"/>
    </row>
    <row r="571" spans="1:19" s="34" customFormat="1" ht="12.75" customHeight="1" x14ac:dyDescent="0.2">
      <c r="A571" s="70" t="s">
        <v>689</v>
      </c>
      <c r="B571" s="61" t="s">
        <v>1671</v>
      </c>
      <c r="C571" s="26">
        <v>0</v>
      </c>
      <c r="D571" s="27">
        <v>0</v>
      </c>
      <c r="E571" s="28">
        <v>0</v>
      </c>
      <c r="F571" s="29">
        <v>0</v>
      </c>
      <c r="G571" s="6">
        <f t="shared" si="56"/>
        <v>0</v>
      </c>
      <c r="H571" s="7">
        <f t="shared" si="56"/>
        <v>0</v>
      </c>
      <c r="I571" s="6">
        <f t="shared" si="52"/>
        <v>0</v>
      </c>
      <c r="J571" s="7">
        <f t="shared" si="53"/>
        <v>0</v>
      </c>
      <c r="K571" s="28">
        <v>0</v>
      </c>
      <c r="L571" s="29">
        <v>0</v>
      </c>
      <c r="M571" s="6">
        <f t="shared" si="54"/>
        <v>0</v>
      </c>
      <c r="N571" s="7">
        <f t="shared" si="55"/>
        <v>0</v>
      </c>
      <c r="O571" s="35"/>
      <c r="P571" s="36"/>
      <c r="Q571" s="59"/>
      <c r="R571" s="2" t="str">
        <f t="shared" si="51"/>
        <v>3813|0|0|0|0|0|0|</v>
      </c>
      <c r="S571" s="25"/>
    </row>
    <row r="572" spans="1:19" s="34" customFormat="1" ht="12.75" customHeight="1" x14ac:dyDescent="0.2">
      <c r="A572" s="70" t="s">
        <v>690</v>
      </c>
      <c r="B572" s="61" t="s">
        <v>1672</v>
      </c>
      <c r="C572" s="26">
        <v>0</v>
      </c>
      <c r="D572" s="27">
        <v>0</v>
      </c>
      <c r="E572" s="28">
        <v>0</v>
      </c>
      <c r="F572" s="29">
        <v>0</v>
      </c>
      <c r="G572" s="6">
        <f t="shared" si="56"/>
        <v>0</v>
      </c>
      <c r="H572" s="7">
        <f t="shared" si="56"/>
        <v>0</v>
      </c>
      <c r="I572" s="6">
        <f t="shared" si="52"/>
        <v>0</v>
      </c>
      <c r="J572" s="7">
        <f t="shared" si="53"/>
        <v>0</v>
      </c>
      <c r="K572" s="28">
        <v>0</v>
      </c>
      <c r="L572" s="29">
        <v>0</v>
      </c>
      <c r="M572" s="6">
        <f t="shared" si="54"/>
        <v>0</v>
      </c>
      <c r="N572" s="7">
        <f t="shared" si="55"/>
        <v>0</v>
      </c>
      <c r="O572" s="35"/>
      <c r="P572" s="36"/>
      <c r="Q572" s="59"/>
      <c r="R572" s="2" t="str">
        <f t="shared" si="51"/>
        <v>3821|0|0|0|0|0|0|</v>
      </c>
      <c r="S572" s="25"/>
    </row>
    <row r="573" spans="1:19" s="34" customFormat="1" ht="12.75" customHeight="1" x14ac:dyDescent="0.2">
      <c r="A573" s="70" t="s">
        <v>691</v>
      </c>
      <c r="B573" s="61" t="s">
        <v>1673</v>
      </c>
      <c r="C573" s="26">
        <v>0</v>
      </c>
      <c r="D573" s="27">
        <v>0</v>
      </c>
      <c r="E573" s="28">
        <v>0</v>
      </c>
      <c r="F573" s="29">
        <v>0</v>
      </c>
      <c r="G573" s="6">
        <f t="shared" si="56"/>
        <v>0</v>
      </c>
      <c r="H573" s="7">
        <f t="shared" si="56"/>
        <v>0</v>
      </c>
      <c r="I573" s="6">
        <f t="shared" si="52"/>
        <v>0</v>
      </c>
      <c r="J573" s="7">
        <f t="shared" si="53"/>
        <v>0</v>
      </c>
      <c r="K573" s="28">
        <v>0</v>
      </c>
      <c r="L573" s="29">
        <v>0</v>
      </c>
      <c r="M573" s="6">
        <f t="shared" si="54"/>
        <v>0</v>
      </c>
      <c r="N573" s="7">
        <f t="shared" si="55"/>
        <v>0</v>
      </c>
      <c r="O573" s="35"/>
      <c r="P573" s="36"/>
      <c r="Q573" s="59"/>
      <c r="R573" s="2" t="str">
        <f t="shared" si="51"/>
        <v>3822|0|0|0|0|0|0|</v>
      </c>
      <c r="S573" s="25"/>
    </row>
    <row r="574" spans="1:19" s="34" customFormat="1" ht="12.75" customHeight="1" x14ac:dyDescent="0.2">
      <c r="A574" s="70" t="s">
        <v>692</v>
      </c>
      <c r="B574" s="61" t="s">
        <v>1674</v>
      </c>
      <c r="C574" s="26">
        <v>0</v>
      </c>
      <c r="D574" s="27">
        <v>0</v>
      </c>
      <c r="E574" s="28">
        <v>0</v>
      </c>
      <c r="F574" s="29">
        <v>0</v>
      </c>
      <c r="G574" s="6">
        <f t="shared" si="56"/>
        <v>0</v>
      </c>
      <c r="H574" s="7">
        <f t="shared" si="56"/>
        <v>0</v>
      </c>
      <c r="I574" s="6">
        <f t="shared" si="52"/>
        <v>0</v>
      </c>
      <c r="J574" s="7">
        <f t="shared" si="53"/>
        <v>0</v>
      </c>
      <c r="K574" s="28">
        <v>0</v>
      </c>
      <c r="L574" s="29">
        <v>0</v>
      </c>
      <c r="M574" s="6">
        <f t="shared" si="54"/>
        <v>0</v>
      </c>
      <c r="N574" s="7">
        <f t="shared" si="55"/>
        <v>0</v>
      </c>
      <c r="O574" s="35"/>
      <c r="P574" s="36"/>
      <c r="Q574" s="59"/>
      <c r="R574" s="2" t="str">
        <f t="shared" si="51"/>
        <v>3823|0|0|0|0|0|0|</v>
      </c>
      <c r="S574" s="25"/>
    </row>
    <row r="575" spans="1:19" s="34" customFormat="1" ht="12.75" customHeight="1" x14ac:dyDescent="0.2">
      <c r="A575" s="70" t="s">
        <v>1675</v>
      </c>
      <c r="B575" s="61" t="s">
        <v>1676</v>
      </c>
      <c r="C575" s="26">
        <v>0</v>
      </c>
      <c r="D575" s="27">
        <v>0</v>
      </c>
      <c r="E575" s="28">
        <v>0</v>
      </c>
      <c r="F575" s="29">
        <v>0</v>
      </c>
      <c r="G575" s="6">
        <f t="shared" si="56"/>
        <v>0</v>
      </c>
      <c r="H575" s="7">
        <f t="shared" si="56"/>
        <v>0</v>
      </c>
      <c r="I575" s="6">
        <f t="shared" si="52"/>
        <v>0</v>
      </c>
      <c r="J575" s="7">
        <f t="shared" si="53"/>
        <v>0</v>
      </c>
      <c r="K575" s="28">
        <v>0</v>
      </c>
      <c r="L575" s="29">
        <v>0</v>
      </c>
      <c r="M575" s="6">
        <f t="shared" si="54"/>
        <v>0</v>
      </c>
      <c r="N575" s="7">
        <f t="shared" si="55"/>
        <v>0</v>
      </c>
      <c r="O575" s="35"/>
      <c r="P575" s="36"/>
      <c r="Q575" s="59"/>
      <c r="R575" s="2" t="str">
        <f t="shared" si="51"/>
        <v>3829|0|0|0|0|0|0|</v>
      </c>
      <c r="S575" s="25"/>
    </row>
    <row r="576" spans="1:19" s="34" customFormat="1" ht="12.75" customHeight="1" x14ac:dyDescent="0.2">
      <c r="A576" s="70" t="s">
        <v>693</v>
      </c>
      <c r="B576" s="61" t="s">
        <v>1677</v>
      </c>
      <c r="C576" s="26">
        <v>0</v>
      </c>
      <c r="D576" s="27">
        <v>0</v>
      </c>
      <c r="E576" s="28">
        <v>0</v>
      </c>
      <c r="F576" s="29">
        <v>0</v>
      </c>
      <c r="G576" s="6">
        <f t="shared" si="56"/>
        <v>0</v>
      </c>
      <c r="H576" s="7">
        <f t="shared" si="56"/>
        <v>0</v>
      </c>
      <c r="I576" s="6">
        <f t="shared" si="52"/>
        <v>0</v>
      </c>
      <c r="J576" s="7">
        <f t="shared" si="53"/>
        <v>0</v>
      </c>
      <c r="K576" s="28">
        <v>0</v>
      </c>
      <c r="L576" s="29">
        <v>0</v>
      </c>
      <c r="M576" s="6">
        <f t="shared" si="54"/>
        <v>0</v>
      </c>
      <c r="N576" s="7">
        <f t="shared" si="55"/>
        <v>0</v>
      </c>
      <c r="O576" s="35"/>
      <c r="P576" s="36"/>
      <c r="Q576" s="59"/>
      <c r="R576" s="2" t="str">
        <f t="shared" si="51"/>
        <v>39111|0|0|0|0|0|0|</v>
      </c>
      <c r="S576" s="25"/>
    </row>
    <row r="577" spans="1:19" s="34" customFormat="1" ht="12.75" customHeight="1" x14ac:dyDescent="0.2">
      <c r="A577" s="70" t="s">
        <v>694</v>
      </c>
      <c r="B577" s="61" t="s">
        <v>1678</v>
      </c>
      <c r="C577" s="26">
        <v>0</v>
      </c>
      <c r="D577" s="27">
        <v>0</v>
      </c>
      <c r="E577" s="28">
        <v>0</v>
      </c>
      <c r="F577" s="29">
        <v>0</v>
      </c>
      <c r="G577" s="6">
        <f t="shared" si="56"/>
        <v>0</v>
      </c>
      <c r="H577" s="7">
        <f t="shared" si="56"/>
        <v>0</v>
      </c>
      <c r="I577" s="6">
        <f t="shared" si="52"/>
        <v>0</v>
      </c>
      <c r="J577" s="7">
        <f t="shared" si="53"/>
        <v>0</v>
      </c>
      <c r="K577" s="28">
        <v>0</v>
      </c>
      <c r="L577" s="29">
        <v>0</v>
      </c>
      <c r="M577" s="6">
        <f t="shared" si="54"/>
        <v>0</v>
      </c>
      <c r="N577" s="7">
        <f t="shared" si="55"/>
        <v>0</v>
      </c>
      <c r="O577" s="35"/>
      <c r="P577" s="36"/>
      <c r="Q577" s="59"/>
      <c r="R577" s="2" t="str">
        <f t="shared" si="51"/>
        <v>39112|0|0|0|0|0|0|</v>
      </c>
      <c r="S577" s="25"/>
    </row>
    <row r="578" spans="1:19" s="34" customFormat="1" ht="12.75" customHeight="1" x14ac:dyDescent="0.2">
      <c r="A578" s="70" t="s">
        <v>1679</v>
      </c>
      <c r="B578" s="61" t="s">
        <v>1680</v>
      </c>
      <c r="C578" s="26">
        <v>0</v>
      </c>
      <c r="D578" s="27">
        <v>0</v>
      </c>
      <c r="E578" s="28">
        <v>0</v>
      </c>
      <c r="F578" s="29">
        <v>0</v>
      </c>
      <c r="G578" s="6">
        <f t="shared" si="56"/>
        <v>0</v>
      </c>
      <c r="H578" s="7">
        <f t="shared" si="56"/>
        <v>0</v>
      </c>
      <c r="I578" s="6">
        <f t="shared" si="52"/>
        <v>0</v>
      </c>
      <c r="J578" s="7">
        <f t="shared" si="53"/>
        <v>0</v>
      </c>
      <c r="K578" s="28">
        <v>0</v>
      </c>
      <c r="L578" s="29">
        <v>0</v>
      </c>
      <c r="M578" s="6">
        <f t="shared" si="54"/>
        <v>0</v>
      </c>
      <c r="N578" s="7">
        <f t="shared" si="55"/>
        <v>0</v>
      </c>
      <c r="O578" s="35"/>
      <c r="P578" s="36"/>
      <c r="Q578" s="59"/>
      <c r="R578" s="2" t="str">
        <f t="shared" si="51"/>
        <v>39113|0|0|0|0|0|0|</v>
      </c>
      <c r="S578" s="25"/>
    </row>
    <row r="579" spans="1:19" s="34" customFormat="1" ht="12.75" customHeight="1" x14ac:dyDescent="0.2">
      <c r="A579" s="70" t="s">
        <v>695</v>
      </c>
      <c r="B579" s="61" t="s">
        <v>1681</v>
      </c>
      <c r="C579" s="26">
        <v>0</v>
      </c>
      <c r="D579" s="27">
        <v>0</v>
      </c>
      <c r="E579" s="28">
        <v>0</v>
      </c>
      <c r="F579" s="29">
        <v>0</v>
      </c>
      <c r="G579" s="6">
        <f t="shared" si="56"/>
        <v>0</v>
      </c>
      <c r="H579" s="7">
        <f t="shared" si="56"/>
        <v>0</v>
      </c>
      <c r="I579" s="6">
        <f t="shared" si="52"/>
        <v>0</v>
      </c>
      <c r="J579" s="7">
        <f t="shared" si="53"/>
        <v>0</v>
      </c>
      <c r="K579" s="28">
        <v>0</v>
      </c>
      <c r="L579" s="29">
        <v>0</v>
      </c>
      <c r="M579" s="6">
        <f t="shared" si="54"/>
        <v>0</v>
      </c>
      <c r="N579" s="7">
        <f t="shared" si="55"/>
        <v>0</v>
      </c>
      <c r="O579" s="35"/>
      <c r="P579" s="36"/>
      <c r="Q579" s="59"/>
      <c r="R579" s="2" t="str">
        <f t="shared" si="51"/>
        <v>39121|0|0|0|0|0|0|</v>
      </c>
      <c r="S579" s="25"/>
    </row>
    <row r="580" spans="1:19" s="34" customFormat="1" ht="12.75" customHeight="1" x14ac:dyDescent="0.2">
      <c r="A580" s="70" t="s">
        <v>696</v>
      </c>
      <c r="B580" s="61" t="s">
        <v>1682</v>
      </c>
      <c r="C580" s="26">
        <v>0</v>
      </c>
      <c r="D580" s="27">
        <v>0</v>
      </c>
      <c r="E580" s="28">
        <v>0</v>
      </c>
      <c r="F580" s="29">
        <v>0</v>
      </c>
      <c r="G580" s="6">
        <f t="shared" si="56"/>
        <v>0</v>
      </c>
      <c r="H580" s="7">
        <f t="shared" si="56"/>
        <v>0</v>
      </c>
      <c r="I580" s="6">
        <f t="shared" si="52"/>
        <v>0</v>
      </c>
      <c r="J580" s="7">
        <f t="shared" si="53"/>
        <v>0</v>
      </c>
      <c r="K580" s="28">
        <v>0</v>
      </c>
      <c r="L580" s="29">
        <v>0</v>
      </c>
      <c r="M580" s="6">
        <f t="shared" si="54"/>
        <v>0</v>
      </c>
      <c r="N580" s="7">
        <f t="shared" si="55"/>
        <v>0</v>
      </c>
      <c r="O580" s="35"/>
      <c r="P580" s="36"/>
      <c r="Q580" s="59"/>
      <c r="R580" s="2" t="str">
        <f t="shared" si="51"/>
        <v>39122|0|0|0|0|0|0|</v>
      </c>
      <c r="S580" s="25"/>
    </row>
    <row r="581" spans="1:19" s="34" customFormat="1" ht="12.75" customHeight="1" x14ac:dyDescent="0.2">
      <c r="A581" s="70" t="s">
        <v>697</v>
      </c>
      <c r="B581" s="61" t="s">
        <v>1683</v>
      </c>
      <c r="C581" s="26">
        <v>0</v>
      </c>
      <c r="D581" s="27">
        <v>0</v>
      </c>
      <c r="E581" s="28">
        <v>0</v>
      </c>
      <c r="F581" s="29">
        <v>0</v>
      </c>
      <c r="G581" s="6">
        <f t="shared" si="56"/>
        <v>0</v>
      </c>
      <c r="H581" s="7">
        <f t="shared" si="56"/>
        <v>0</v>
      </c>
      <c r="I581" s="6">
        <f t="shared" si="52"/>
        <v>0</v>
      </c>
      <c r="J581" s="7">
        <f t="shared" si="53"/>
        <v>0</v>
      </c>
      <c r="K581" s="28">
        <v>0</v>
      </c>
      <c r="L581" s="29">
        <v>0</v>
      </c>
      <c r="M581" s="6">
        <f t="shared" si="54"/>
        <v>0</v>
      </c>
      <c r="N581" s="7">
        <f t="shared" si="55"/>
        <v>0</v>
      </c>
      <c r="O581" s="35"/>
      <c r="P581" s="36"/>
      <c r="Q581" s="59"/>
      <c r="R581" s="2" t="str">
        <f t="shared" ref="R581:R644" si="57">CONCATENATE(A581,"|",C581,"|",D581,"|",E581,"|",F581,"|",K581,"|",L581,"|")</f>
        <v>39123|0|0|0|0|0|0|</v>
      </c>
      <c r="S581" s="25"/>
    </row>
    <row r="582" spans="1:19" s="34" customFormat="1" ht="12.75" customHeight="1" x14ac:dyDescent="0.2">
      <c r="A582" s="70" t="s">
        <v>698</v>
      </c>
      <c r="B582" s="61" t="s">
        <v>1684</v>
      </c>
      <c r="C582" s="26">
        <v>0</v>
      </c>
      <c r="D582" s="27">
        <v>0</v>
      </c>
      <c r="E582" s="28">
        <v>0</v>
      </c>
      <c r="F582" s="29">
        <v>0</v>
      </c>
      <c r="G582" s="6">
        <f t="shared" si="56"/>
        <v>0</v>
      </c>
      <c r="H582" s="7">
        <f t="shared" si="56"/>
        <v>0</v>
      </c>
      <c r="I582" s="6">
        <f t="shared" si="52"/>
        <v>0</v>
      </c>
      <c r="J582" s="7">
        <f t="shared" si="53"/>
        <v>0</v>
      </c>
      <c r="K582" s="28">
        <v>0</v>
      </c>
      <c r="L582" s="29">
        <v>0</v>
      </c>
      <c r="M582" s="6">
        <f t="shared" si="54"/>
        <v>0</v>
      </c>
      <c r="N582" s="7">
        <f t="shared" si="55"/>
        <v>0</v>
      </c>
      <c r="O582" s="35"/>
      <c r="P582" s="36"/>
      <c r="Q582" s="59"/>
      <c r="R582" s="2" t="str">
        <f t="shared" si="57"/>
        <v>39124|0|0|0|0|0|0|</v>
      </c>
      <c r="S582" s="25"/>
    </row>
    <row r="583" spans="1:19" s="34" customFormat="1" ht="12.75" customHeight="1" x14ac:dyDescent="0.2">
      <c r="A583" s="70" t="s">
        <v>699</v>
      </c>
      <c r="B583" s="61" t="s">
        <v>1685</v>
      </c>
      <c r="C583" s="26">
        <v>0</v>
      </c>
      <c r="D583" s="27">
        <v>0</v>
      </c>
      <c r="E583" s="28">
        <v>0</v>
      </c>
      <c r="F583" s="29">
        <v>0</v>
      </c>
      <c r="G583" s="6">
        <f t="shared" si="56"/>
        <v>0</v>
      </c>
      <c r="H583" s="7">
        <f t="shared" si="56"/>
        <v>0</v>
      </c>
      <c r="I583" s="6">
        <f t="shared" ref="I583:I646" si="58">IF($G583-$H583&gt;=0,$G583-$H583,0)</f>
        <v>0</v>
      </c>
      <c r="J583" s="7">
        <f t="shared" ref="J583:J646" si="59">IF($G583-$H583&lt;0,-$G583+$H583,0)</f>
        <v>0</v>
      </c>
      <c r="K583" s="28">
        <v>0</v>
      </c>
      <c r="L583" s="29">
        <v>0</v>
      </c>
      <c r="M583" s="6">
        <f t="shared" ref="M583:M646" si="60">IF($I583-$J583+$K583-$L583&gt;=0,$I583-$J583+$K583-$L583,0)</f>
        <v>0</v>
      </c>
      <c r="N583" s="7">
        <f t="shared" ref="N583:N646" si="61">IF($I583-$J583+$K583-$L583&lt;0,-($I583-$J583+$K583-$L583),0)</f>
        <v>0</v>
      </c>
      <c r="O583" s="35"/>
      <c r="P583" s="36"/>
      <c r="Q583" s="59"/>
      <c r="R583" s="2" t="str">
        <f t="shared" si="57"/>
        <v>39126|0|0|0|0|0|0|</v>
      </c>
      <c r="S583" s="25"/>
    </row>
    <row r="584" spans="1:19" s="34" customFormat="1" ht="12.75" customHeight="1" x14ac:dyDescent="0.2">
      <c r="A584" s="70" t="s">
        <v>700</v>
      </c>
      <c r="B584" s="61" t="s">
        <v>1686</v>
      </c>
      <c r="C584" s="26">
        <v>0</v>
      </c>
      <c r="D584" s="27">
        <v>0</v>
      </c>
      <c r="E584" s="28">
        <v>0</v>
      </c>
      <c r="F584" s="29">
        <v>0</v>
      </c>
      <c r="G584" s="6">
        <f t="shared" si="56"/>
        <v>0</v>
      </c>
      <c r="H584" s="7">
        <f t="shared" si="56"/>
        <v>0</v>
      </c>
      <c r="I584" s="6">
        <f t="shared" si="58"/>
        <v>0</v>
      </c>
      <c r="J584" s="7">
        <f t="shared" si="59"/>
        <v>0</v>
      </c>
      <c r="K584" s="28">
        <v>0</v>
      </c>
      <c r="L584" s="29">
        <v>0</v>
      </c>
      <c r="M584" s="6">
        <f t="shared" si="60"/>
        <v>0</v>
      </c>
      <c r="N584" s="7">
        <f t="shared" si="61"/>
        <v>0</v>
      </c>
      <c r="O584" s="35"/>
      <c r="P584" s="36"/>
      <c r="Q584" s="59"/>
      <c r="R584" s="2" t="str">
        <f t="shared" si="57"/>
        <v>39131|0|0|0|0|0|0|</v>
      </c>
      <c r="S584" s="25"/>
    </row>
    <row r="585" spans="1:19" s="34" customFormat="1" ht="12.75" customHeight="1" x14ac:dyDescent="0.2">
      <c r="A585" s="70" t="s">
        <v>701</v>
      </c>
      <c r="B585" s="61" t="s">
        <v>1687</v>
      </c>
      <c r="C585" s="26">
        <v>0</v>
      </c>
      <c r="D585" s="27">
        <v>0</v>
      </c>
      <c r="E585" s="28">
        <v>0</v>
      </c>
      <c r="F585" s="29">
        <v>0</v>
      </c>
      <c r="G585" s="6">
        <f t="shared" si="56"/>
        <v>0</v>
      </c>
      <c r="H585" s="7">
        <f t="shared" si="56"/>
        <v>0</v>
      </c>
      <c r="I585" s="6">
        <f t="shared" si="58"/>
        <v>0</v>
      </c>
      <c r="J585" s="7">
        <f t="shared" si="59"/>
        <v>0</v>
      </c>
      <c r="K585" s="28">
        <v>0</v>
      </c>
      <c r="L585" s="29">
        <v>0</v>
      </c>
      <c r="M585" s="6">
        <f t="shared" si="60"/>
        <v>0</v>
      </c>
      <c r="N585" s="7">
        <f t="shared" si="61"/>
        <v>0</v>
      </c>
      <c r="O585" s="35"/>
      <c r="P585" s="36"/>
      <c r="Q585" s="59"/>
      <c r="R585" s="2" t="str">
        <f t="shared" si="57"/>
        <v>39132|0|0|0|0|0|0|</v>
      </c>
      <c r="S585" s="25"/>
    </row>
    <row r="586" spans="1:19" s="34" customFormat="1" ht="12.75" customHeight="1" x14ac:dyDescent="0.2">
      <c r="A586" s="70" t="s">
        <v>702</v>
      </c>
      <c r="B586" s="61" t="s">
        <v>1688</v>
      </c>
      <c r="C586" s="26">
        <v>0</v>
      </c>
      <c r="D586" s="27">
        <v>0</v>
      </c>
      <c r="E586" s="28">
        <v>0</v>
      </c>
      <c r="F586" s="29">
        <v>0</v>
      </c>
      <c r="G586" s="6">
        <f t="shared" si="56"/>
        <v>0</v>
      </c>
      <c r="H586" s="7">
        <f t="shared" si="56"/>
        <v>0</v>
      </c>
      <c r="I586" s="6">
        <f t="shared" si="58"/>
        <v>0</v>
      </c>
      <c r="J586" s="7">
        <f t="shared" si="59"/>
        <v>0</v>
      </c>
      <c r="K586" s="28">
        <v>0</v>
      </c>
      <c r="L586" s="29">
        <v>0</v>
      </c>
      <c r="M586" s="6">
        <f t="shared" si="60"/>
        <v>0</v>
      </c>
      <c r="N586" s="7">
        <f t="shared" si="61"/>
        <v>0</v>
      </c>
      <c r="O586" s="35"/>
      <c r="P586" s="36"/>
      <c r="Q586" s="59"/>
      <c r="R586" s="2" t="str">
        <f t="shared" si="57"/>
        <v>39133|0|0|0|0|0|0|</v>
      </c>
      <c r="S586" s="25"/>
    </row>
    <row r="587" spans="1:19" s="34" customFormat="1" ht="12.75" customHeight="1" x14ac:dyDescent="0.2">
      <c r="A587" s="70" t="s">
        <v>703</v>
      </c>
      <c r="B587" s="61" t="s">
        <v>1689</v>
      </c>
      <c r="C587" s="26">
        <v>0</v>
      </c>
      <c r="D587" s="27">
        <v>0</v>
      </c>
      <c r="E587" s="28">
        <v>0</v>
      </c>
      <c r="F587" s="29">
        <v>0</v>
      </c>
      <c r="G587" s="6">
        <f t="shared" si="56"/>
        <v>0</v>
      </c>
      <c r="H587" s="7">
        <f t="shared" si="56"/>
        <v>0</v>
      </c>
      <c r="I587" s="6">
        <f t="shared" si="58"/>
        <v>0</v>
      </c>
      <c r="J587" s="7">
        <f t="shared" si="59"/>
        <v>0</v>
      </c>
      <c r="K587" s="28">
        <v>0</v>
      </c>
      <c r="L587" s="29">
        <v>0</v>
      </c>
      <c r="M587" s="6">
        <f t="shared" si="60"/>
        <v>0</v>
      </c>
      <c r="N587" s="7">
        <f t="shared" si="61"/>
        <v>0</v>
      </c>
      <c r="O587" s="35"/>
      <c r="P587" s="36"/>
      <c r="Q587" s="59"/>
      <c r="R587" s="2" t="str">
        <f t="shared" si="57"/>
        <v>39134|0|0|0|0|0|0|</v>
      </c>
      <c r="S587" s="25"/>
    </row>
    <row r="588" spans="1:19" s="34" customFormat="1" ht="12.75" customHeight="1" x14ac:dyDescent="0.2">
      <c r="A588" s="70" t="s">
        <v>704</v>
      </c>
      <c r="B588" s="61" t="s">
        <v>1690</v>
      </c>
      <c r="C588" s="26">
        <v>0</v>
      </c>
      <c r="D588" s="27">
        <v>0</v>
      </c>
      <c r="E588" s="28">
        <v>0</v>
      </c>
      <c r="F588" s="29">
        <v>0</v>
      </c>
      <c r="G588" s="6">
        <f t="shared" si="56"/>
        <v>0</v>
      </c>
      <c r="H588" s="7">
        <f t="shared" si="56"/>
        <v>0</v>
      </c>
      <c r="I588" s="6">
        <f t="shared" si="58"/>
        <v>0</v>
      </c>
      <c r="J588" s="7">
        <f t="shared" si="59"/>
        <v>0</v>
      </c>
      <c r="K588" s="28">
        <v>0</v>
      </c>
      <c r="L588" s="29">
        <v>0</v>
      </c>
      <c r="M588" s="6">
        <f t="shared" si="60"/>
        <v>0</v>
      </c>
      <c r="N588" s="7">
        <f t="shared" si="61"/>
        <v>0</v>
      </c>
      <c r="O588" s="35"/>
      <c r="P588" s="36"/>
      <c r="Q588" s="59"/>
      <c r="R588" s="2" t="str">
        <f t="shared" si="57"/>
        <v>39135|0|0|0|0|0|0|</v>
      </c>
      <c r="S588" s="25"/>
    </row>
    <row r="589" spans="1:19" s="34" customFormat="1" ht="12.75" customHeight="1" x14ac:dyDescent="0.2">
      <c r="A589" s="70" t="s">
        <v>705</v>
      </c>
      <c r="B589" s="61" t="s">
        <v>1691</v>
      </c>
      <c r="C589" s="26">
        <v>0</v>
      </c>
      <c r="D589" s="27">
        <v>0</v>
      </c>
      <c r="E589" s="28">
        <v>0</v>
      </c>
      <c r="F589" s="29">
        <v>0</v>
      </c>
      <c r="G589" s="6">
        <f t="shared" si="56"/>
        <v>0</v>
      </c>
      <c r="H589" s="7">
        <f t="shared" si="56"/>
        <v>0</v>
      </c>
      <c r="I589" s="6">
        <f t="shared" si="58"/>
        <v>0</v>
      </c>
      <c r="J589" s="7">
        <f t="shared" si="59"/>
        <v>0</v>
      </c>
      <c r="K589" s="28">
        <v>0</v>
      </c>
      <c r="L589" s="29">
        <v>0</v>
      </c>
      <c r="M589" s="6">
        <f t="shared" si="60"/>
        <v>0</v>
      </c>
      <c r="N589" s="7">
        <f t="shared" si="61"/>
        <v>0</v>
      </c>
      <c r="O589" s="35"/>
      <c r="P589" s="36"/>
      <c r="Q589" s="59"/>
      <c r="R589" s="2" t="str">
        <f t="shared" si="57"/>
        <v>39136|0|0|0|0|0|0|</v>
      </c>
      <c r="S589" s="25"/>
    </row>
    <row r="590" spans="1:19" s="34" customFormat="1" ht="12.75" customHeight="1" x14ac:dyDescent="0.2">
      <c r="A590" s="70" t="s">
        <v>706</v>
      </c>
      <c r="B590" s="61" t="s">
        <v>1692</v>
      </c>
      <c r="C590" s="26">
        <v>0</v>
      </c>
      <c r="D590" s="27">
        <v>0</v>
      </c>
      <c r="E590" s="28">
        <v>0</v>
      </c>
      <c r="F590" s="29">
        <v>0</v>
      </c>
      <c r="G590" s="6">
        <f t="shared" si="56"/>
        <v>0</v>
      </c>
      <c r="H590" s="7">
        <f t="shared" si="56"/>
        <v>0</v>
      </c>
      <c r="I590" s="6">
        <f t="shared" si="58"/>
        <v>0</v>
      </c>
      <c r="J590" s="7">
        <f t="shared" si="59"/>
        <v>0</v>
      </c>
      <c r="K590" s="28">
        <v>0</v>
      </c>
      <c r="L590" s="29">
        <v>0</v>
      </c>
      <c r="M590" s="6">
        <f t="shared" si="60"/>
        <v>0</v>
      </c>
      <c r="N590" s="7">
        <f t="shared" si="61"/>
        <v>0</v>
      </c>
      <c r="O590" s="35"/>
      <c r="P590" s="36"/>
      <c r="Q590" s="59"/>
      <c r="R590" s="2" t="str">
        <f t="shared" si="57"/>
        <v>39141|0|0|0|0|0|0|</v>
      </c>
      <c r="S590" s="25"/>
    </row>
    <row r="591" spans="1:19" s="34" customFormat="1" ht="12.75" customHeight="1" x14ac:dyDescent="0.2">
      <c r="A591" s="70" t="s">
        <v>707</v>
      </c>
      <c r="B591" s="61" t="s">
        <v>1693</v>
      </c>
      <c r="C591" s="26">
        <v>0</v>
      </c>
      <c r="D591" s="27">
        <v>0</v>
      </c>
      <c r="E591" s="28">
        <v>0</v>
      </c>
      <c r="F591" s="29">
        <v>0</v>
      </c>
      <c r="G591" s="6">
        <f t="shared" si="56"/>
        <v>0</v>
      </c>
      <c r="H591" s="7">
        <f t="shared" si="56"/>
        <v>0</v>
      </c>
      <c r="I591" s="6">
        <f t="shared" si="58"/>
        <v>0</v>
      </c>
      <c r="J591" s="7">
        <f t="shared" si="59"/>
        <v>0</v>
      </c>
      <c r="K591" s="28">
        <v>0</v>
      </c>
      <c r="L591" s="29">
        <v>0</v>
      </c>
      <c r="M591" s="6">
        <f t="shared" si="60"/>
        <v>0</v>
      </c>
      <c r="N591" s="7">
        <f t="shared" si="61"/>
        <v>0</v>
      </c>
      <c r="O591" s="35"/>
      <c r="P591" s="36"/>
      <c r="Q591" s="59"/>
      <c r="R591" s="2" t="str">
        <f t="shared" si="57"/>
        <v>39142|0|0|0|0|0|0|</v>
      </c>
      <c r="S591" s="25"/>
    </row>
    <row r="592" spans="1:19" s="34" customFormat="1" ht="12.75" customHeight="1" x14ac:dyDescent="0.2">
      <c r="A592" s="70" t="s">
        <v>708</v>
      </c>
      <c r="B592" s="61" t="s">
        <v>1694</v>
      </c>
      <c r="C592" s="26">
        <v>0</v>
      </c>
      <c r="D592" s="27">
        <v>0</v>
      </c>
      <c r="E592" s="28">
        <v>0</v>
      </c>
      <c r="F592" s="29">
        <v>0</v>
      </c>
      <c r="G592" s="6">
        <f t="shared" si="56"/>
        <v>0</v>
      </c>
      <c r="H592" s="7">
        <f t="shared" si="56"/>
        <v>0</v>
      </c>
      <c r="I592" s="6">
        <f t="shared" si="58"/>
        <v>0</v>
      </c>
      <c r="J592" s="7">
        <f t="shared" si="59"/>
        <v>0</v>
      </c>
      <c r="K592" s="28">
        <v>0</v>
      </c>
      <c r="L592" s="29">
        <v>0</v>
      </c>
      <c r="M592" s="6">
        <f t="shared" si="60"/>
        <v>0</v>
      </c>
      <c r="N592" s="7">
        <f t="shared" si="61"/>
        <v>0</v>
      </c>
      <c r="O592" s="35"/>
      <c r="P592" s="36"/>
      <c r="Q592" s="59"/>
      <c r="R592" s="2" t="str">
        <f t="shared" si="57"/>
        <v>39143|0|0|0|0|0|0|</v>
      </c>
      <c r="S592" s="25"/>
    </row>
    <row r="593" spans="1:19" s="34" customFormat="1" ht="12.75" customHeight="1" x14ac:dyDescent="0.2">
      <c r="A593" s="70" t="s">
        <v>709</v>
      </c>
      <c r="B593" s="61" t="s">
        <v>1695</v>
      </c>
      <c r="C593" s="26">
        <v>0</v>
      </c>
      <c r="D593" s="27">
        <v>0</v>
      </c>
      <c r="E593" s="28">
        <v>0</v>
      </c>
      <c r="F593" s="29">
        <v>0</v>
      </c>
      <c r="G593" s="6">
        <f t="shared" si="56"/>
        <v>0</v>
      </c>
      <c r="H593" s="7">
        <f t="shared" si="56"/>
        <v>0</v>
      </c>
      <c r="I593" s="6">
        <f t="shared" si="58"/>
        <v>0</v>
      </c>
      <c r="J593" s="7">
        <f t="shared" si="59"/>
        <v>0</v>
      </c>
      <c r="K593" s="28">
        <v>0</v>
      </c>
      <c r="L593" s="29">
        <v>0</v>
      </c>
      <c r="M593" s="6">
        <f t="shared" si="60"/>
        <v>0</v>
      </c>
      <c r="N593" s="7">
        <f t="shared" si="61"/>
        <v>0</v>
      </c>
      <c r="O593" s="35"/>
      <c r="P593" s="36"/>
      <c r="Q593" s="59"/>
      <c r="R593" s="2" t="str">
        <f t="shared" si="57"/>
        <v>39144|0|0|0|0|0|0|</v>
      </c>
      <c r="S593" s="25"/>
    </row>
    <row r="594" spans="1:19" s="34" customFormat="1" ht="12.75" customHeight="1" x14ac:dyDescent="0.2">
      <c r="A594" s="70" t="s">
        <v>710</v>
      </c>
      <c r="B594" s="61" t="s">
        <v>1696</v>
      </c>
      <c r="C594" s="26">
        <v>0</v>
      </c>
      <c r="D594" s="27">
        <v>0</v>
      </c>
      <c r="E594" s="28">
        <v>0</v>
      </c>
      <c r="F594" s="29">
        <v>0</v>
      </c>
      <c r="G594" s="6">
        <f t="shared" si="56"/>
        <v>0</v>
      </c>
      <c r="H594" s="7">
        <f t="shared" si="56"/>
        <v>0</v>
      </c>
      <c r="I594" s="6">
        <f t="shared" si="58"/>
        <v>0</v>
      </c>
      <c r="J594" s="7">
        <f t="shared" si="59"/>
        <v>0</v>
      </c>
      <c r="K594" s="28">
        <v>0</v>
      </c>
      <c r="L594" s="29">
        <v>0</v>
      </c>
      <c r="M594" s="6">
        <f t="shared" si="60"/>
        <v>0</v>
      </c>
      <c r="N594" s="7">
        <f t="shared" si="61"/>
        <v>0</v>
      </c>
      <c r="O594" s="35"/>
      <c r="P594" s="36"/>
      <c r="Q594" s="59"/>
      <c r="R594" s="2" t="str">
        <f t="shared" si="57"/>
        <v>39145|0|0|0|0|0|0|</v>
      </c>
      <c r="S594" s="25"/>
    </row>
    <row r="595" spans="1:19" s="34" customFormat="1" ht="12.75" customHeight="1" x14ac:dyDescent="0.2">
      <c r="A595" s="70" t="s">
        <v>711</v>
      </c>
      <c r="B595" s="61" t="s">
        <v>1697</v>
      </c>
      <c r="C595" s="26">
        <v>0</v>
      </c>
      <c r="D595" s="27">
        <v>0</v>
      </c>
      <c r="E595" s="28">
        <v>0</v>
      </c>
      <c r="F595" s="29">
        <v>0</v>
      </c>
      <c r="G595" s="6">
        <f t="shared" si="56"/>
        <v>0</v>
      </c>
      <c r="H595" s="7">
        <f t="shared" si="56"/>
        <v>0</v>
      </c>
      <c r="I595" s="6">
        <f t="shared" si="58"/>
        <v>0</v>
      </c>
      <c r="J595" s="7">
        <f t="shared" si="59"/>
        <v>0</v>
      </c>
      <c r="K595" s="28">
        <v>0</v>
      </c>
      <c r="L595" s="29">
        <v>0</v>
      </c>
      <c r="M595" s="6">
        <f t="shared" si="60"/>
        <v>0</v>
      </c>
      <c r="N595" s="7">
        <f t="shared" si="61"/>
        <v>0</v>
      </c>
      <c r="O595" s="35"/>
      <c r="P595" s="36"/>
      <c r="Q595" s="59"/>
      <c r="R595" s="2" t="str">
        <f t="shared" si="57"/>
        <v>39146|0|0|0|0|0|0|</v>
      </c>
      <c r="S595" s="25"/>
    </row>
    <row r="596" spans="1:19" s="34" customFormat="1" ht="12.75" customHeight="1" x14ac:dyDescent="0.2">
      <c r="A596" s="70" t="s">
        <v>712</v>
      </c>
      <c r="B596" s="61" t="s">
        <v>1698</v>
      </c>
      <c r="C596" s="26">
        <v>0</v>
      </c>
      <c r="D596" s="27">
        <v>0</v>
      </c>
      <c r="E596" s="28">
        <v>0</v>
      </c>
      <c r="F596" s="29">
        <v>0</v>
      </c>
      <c r="G596" s="6">
        <f t="shared" si="56"/>
        <v>0</v>
      </c>
      <c r="H596" s="7">
        <f t="shared" si="56"/>
        <v>0</v>
      </c>
      <c r="I596" s="6">
        <f t="shared" si="58"/>
        <v>0</v>
      </c>
      <c r="J596" s="7">
        <f t="shared" si="59"/>
        <v>0</v>
      </c>
      <c r="K596" s="28">
        <v>0</v>
      </c>
      <c r="L596" s="29">
        <v>0</v>
      </c>
      <c r="M596" s="6">
        <f t="shared" si="60"/>
        <v>0</v>
      </c>
      <c r="N596" s="7">
        <f t="shared" si="61"/>
        <v>0</v>
      </c>
      <c r="O596" s="35"/>
      <c r="P596" s="36"/>
      <c r="Q596" s="59"/>
      <c r="R596" s="2" t="str">
        <f t="shared" si="57"/>
        <v>39151|0|0|0|0|0|0|</v>
      </c>
      <c r="S596" s="25"/>
    </row>
    <row r="597" spans="1:19" s="34" customFormat="1" ht="12.75" customHeight="1" x14ac:dyDescent="0.2">
      <c r="A597" s="70" t="s">
        <v>713</v>
      </c>
      <c r="B597" s="61" t="s">
        <v>1699</v>
      </c>
      <c r="C597" s="26">
        <v>0</v>
      </c>
      <c r="D597" s="27">
        <v>0</v>
      </c>
      <c r="E597" s="28">
        <v>0</v>
      </c>
      <c r="F597" s="29">
        <v>0</v>
      </c>
      <c r="G597" s="6">
        <f t="shared" si="56"/>
        <v>0</v>
      </c>
      <c r="H597" s="7">
        <f t="shared" si="56"/>
        <v>0</v>
      </c>
      <c r="I597" s="6">
        <f t="shared" si="58"/>
        <v>0</v>
      </c>
      <c r="J597" s="7">
        <f t="shared" si="59"/>
        <v>0</v>
      </c>
      <c r="K597" s="28">
        <v>0</v>
      </c>
      <c r="L597" s="29">
        <v>0</v>
      </c>
      <c r="M597" s="6">
        <f t="shared" si="60"/>
        <v>0</v>
      </c>
      <c r="N597" s="7">
        <f t="shared" si="61"/>
        <v>0</v>
      </c>
      <c r="O597" s="35"/>
      <c r="P597" s="36"/>
      <c r="Q597" s="59"/>
      <c r="R597" s="2" t="str">
        <f t="shared" si="57"/>
        <v>39152|0|0|0|0|0|0|</v>
      </c>
      <c r="S597" s="25"/>
    </row>
    <row r="598" spans="1:19" s="34" customFormat="1" ht="12.75" customHeight="1" x14ac:dyDescent="0.2">
      <c r="A598" s="70" t="s">
        <v>714</v>
      </c>
      <c r="B598" s="61" t="s">
        <v>1700</v>
      </c>
      <c r="C598" s="26">
        <v>0</v>
      </c>
      <c r="D598" s="27">
        <v>0</v>
      </c>
      <c r="E598" s="28">
        <v>0</v>
      </c>
      <c r="F598" s="29">
        <v>0</v>
      </c>
      <c r="G598" s="6">
        <f t="shared" si="56"/>
        <v>0</v>
      </c>
      <c r="H598" s="7">
        <f t="shared" si="56"/>
        <v>0</v>
      </c>
      <c r="I598" s="6">
        <f t="shared" si="58"/>
        <v>0</v>
      </c>
      <c r="J598" s="7">
        <f t="shared" si="59"/>
        <v>0</v>
      </c>
      <c r="K598" s="28">
        <v>0</v>
      </c>
      <c r="L598" s="29">
        <v>0</v>
      </c>
      <c r="M598" s="6">
        <f t="shared" si="60"/>
        <v>0</v>
      </c>
      <c r="N598" s="7">
        <f t="shared" si="61"/>
        <v>0</v>
      </c>
      <c r="O598" s="35"/>
      <c r="P598" s="36"/>
      <c r="Q598" s="59"/>
      <c r="R598" s="2" t="str">
        <f t="shared" si="57"/>
        <v>39161|0|0|0|0|0|0|</v>
      </c>
      <c r="S598" s="25"/>
    </row>
    <row r="599" spans="1:19" s="34" customFormat="1" ht="12.75" customHeight="1" x14ac:dyDescent="0.2">
      <c r="A599" s="70" t="s">
        <v>715</v>
      </c>
      <c r="B599" s="61" t="s">
        <v>1701</v>
      </c>
      <c r="C599" s="26">
        <v>0</v>
      </c>
      <c r="D599" s="27">
        <v>0</v>
      </c>
      <c r="E599" s="28">
        <v>0</v>
      </c>
      <c r="F599" s="29">
        <v>0</v>
      </c>
      <c r="G599" s="6">
        <f t="shared" si="56"/>
        <v>0</v>
      </c>
      <c r="H599" s="7">
        <f t="shared" si="56"/>
        <v>0</v>
      </c>
      <c r="I599" s="6">
        <f t="shared" si="58"/>
        <v>0</v>
      </c>
      <c r="J599" s="7">
        <f t="shared" si="59"/>
        <v>0</v>
      </c>
      <c r="K599" s="28">
        <v>0</v>
      </c>
      <c r="L599" s="29">
        <v>0</v>
      </c>
      <c r="M599" s="6">
        <f t="shared" si="60"/>
        <v>0</v>
      </c>
      <c r="N599" s="7">
        <f t="shared" si="61"/>
        <v>0</v>
      </c>
      <c r="O599" s="35"/>
      <c r="P599" s="36"/>
      <c r="Q599" s="59"/>
      <c r="R599" s="2" t="str">
        <f t="shared" si="57"/>
        <v>39162|0|0|0|0|0|0|</v>
      </c>
      <c r="S599" s="25"/>
    </row>
    <row r="600" spans="1:19" s="34" customFormat="1" ht="12.75" customHeight="1" x14ac:dyDescent="0.2">
      <c r="A600" s="70" t="s">
        <v>716</v>
      </c>
      <c r="B600" s="61" t="s">
        <v>1702</v>
      </c>
      <c r="C600" s="26">
        <v>0</v>
      </c>
      <c r="D600" s="27">
        <v>0</v>
      </c>
      <c r="E600" s="28">
        <v>0</v>
      </c>
      <c r="F600" s="29">
        <v>0</v>
      </c>
      <c r="G600" s="6">
        <f t="shared" si="56"/>
        <v>0</v>
      </c>
      <c r="H600" s="7">
        <f t="shared" si="56"/>
        <v>0</v>
      </c>
      <c r="I600" s="6">
        <f t="shared" si="58"/>
        <v>0</v>
      </c>
      <c r="J600" s="7">
        <f t="shared" si="59"/>
        <v>0</v>
      </c>
      <c r="K600" s="28">
        <v>0</v>
      </c>
      <c r="L600" s="29">
        <v>0</v>
      </c>
      <c r="M600" s="6">
        <f t="shared" si="60"/>
        <v>0</v>
      </c>
      <c r="N600" s="7">
        <f t="shared" si="61"/>
        <v>0</v>
      </c>
      <c r="O600" s="35"/>
      <c r="P600" s="36"/>
      <c r="Q600" s="59"/>
      <c r="R600" s="2" t="str">
        <f t="shared" si="57"/>
        <v>39171|0|0|0|0|0|0|</v>
      </c>
      <c r="S600" s="25"/>
    </row>
    <row r="601" spans="1:19" s="34" customFormat="1" ht="12.75" customHeight="1" x14ac:dyDescent="0.2">
      <c r="A601" s="70" t="s">
        <v>717</v>
      </c>
      <c r="B601" s="61" t="s">
        <v>1703</v>
      </c>
      <c r="C601" s="26">
        <v>0</v>
      </c>
      <c r="D601" s="27">
        <v>0</v>
      </c>
      <c r="E601" s="28">
        <v>0</v>
      </c>
      <c r="F601" s="29">
        <v>0</v>
      </c>
      <c r="G601" s="6">
        <f t="shared" si="56"/>
        <v>0</v>
      </c>
      <c r="H601" s="7">
        <f t="shared" si="56"/>
        <v>0</v>
      </c>
      <c r="I601" s="6">
        <f t="shared" si="58"/>
        <v>0</v>
      </c>
      <c r="J601" s="7">
        <f t="shared" si="59"/>
        <v>0</v>
      </c>
      <c r="K601" s="28">
        <v>0</v>
      </c>
      <c r="L601" s="29">
        <v>0</v>
      </c>
      <c r="M601" s="6">
        <f t="shared" si="60"/>
        <v>0</v>
      </c>
      <c r="N601" s="7">
        <f t="shared" si="61"/>
        <v>0</v>
      </c>
      <c r="O601" s="35"/>
      <c r="P601" s="36"/>
      <c r="Q601" s="59"/>
      <c r="R601" s="2" t="str">
        <f t="shared" si="57"/>
        <v>39172|0|0|0|0|0|0|</v>
      </c>
      <c r="S601" s="25"/>
    </row>
    <row r="602" spans="1:19" s="34" customFormat="1" ht="12.75" customHeight="1" x14ac:dyDescent="0.2">
      <c r="A602" s="70" t="s">
        <v>718</v>
      </c>
      <c r="B602" s="61" t="s">
        <v>1704</v>
      </c>
      <c r="C602" s="26">
        <v>0</v>
      </c>
      <c r="D602" s="27">
        <v>0</v>
      </c>
      <c r="E602" s="28">
        <v>0</v>
      </c>
      <c r="F602" s="29">
        <v>0</v>
      </c>
      <c r="G602" s="6">
        <f t="shared" si="56"/>
        <v>0</v>
      </c>
      <c r="H602" s="7">
        <f t="shared" si="56"/>
        <v>0</v>
      </c>
      <c r="I602" s="6">
        <f t="shared" si="58"/>
        <v>0</v>
      </c>
      <c r="J602" s="7">
        <f t="shared" si="59"/>
        <v>0</v>
      </c>
      <c r="K602" s="28">
        <v>0</v>
      </c>
      <c r="L602" s="29">
        <v>0</v>
      </c>
      <c r="M602" s="6">
        <f t="shared" si="60"/>
        <v>0</v>
      </c>
      <c r="N602" s="7">
        <f t="shared" si="61"/>
        <v>0</v>
      </c>
      <c r="O602" s="35"/>
      <c r="P602" s="36"/>
      <c r="Q602" s="59"/>
      <c r="R602" s="2" t="str">
        <f t="shared" si="57"/>
        <v>39211|0|0|0|0|0|0|</v>
      </c>
      <c r="S602" s="25"/>
    </row>
    <row r="603" spans="1:19" s="34" customFormat="1" ht="12.75" customHeight="1" x14ac:dyDescent="0.2">
      <c r="A603" s="70" t="s">
        <v>136</v>
      </c>
      <c r="B603" s="61" t="s">
        <v>1705</v>
      </c>
      <c r="C603" s="26">
        <v>0</v>
      </c>
      <c r="D603" s="27">
        <v>0</v>
      </c>
      <c r="E603" s="28">
        <v>0</v>
      </c>
      <c r="F603" s="29">
        <v>0</v>
      </c>
      <c r="G603" s="6">
        <f t="shared" si="56"/>
        <v>0</v>
      </c>
      <c r="H603" s="7">
        <f t="shared" si="56"/>
        <v>0</v>
      </c>
      <c r="I603" s="6">
        <f t="shared" si="58"/>
        <v>0</v>
      </c>
      <c r="J603" s="7">
        <f t="shared" si="59"/>
        <v>0</v>
      </c>
      <c r="K603" s="28">
        <v>0</v>
      </c>
      <c r="L603" s="29">
        <v>0</v>
      </c>
      <c r="M603" s="6">
        <f t="shared" si="60"/>
        <v>0</v>
      </c>
      <c r="N603" s="7">
        <f t="shared" si="61"/>
        <v>0</v>
      </c>
      <c r="O603" s="35"/>
      <c r="P603" s="36"/>
      <c r="Q603" s="59"/>
      <c r="R603" s="2" t="str">
        <f t="shared" si="57"/>
        <v>39212|0|0|0|0|0|0|</v>
      </c>
      <c r="S603" s="25"/>
    </row>
    <row r="604" spans="1:19" s="34" customFormat="1" ht="12.75" customHeight="1" x14ac:dyDescent="0.2">
      <c r="A604" s="70" t="s">
        <v>137</v>
      </c>
      <c r="B604" s="61" t="s">
        <v>1706</v>
      </c>
      <c r="C604" s="26">
        <v>0</v>
      </c>
      <c r="D604" s="27">
        <v>0</v>
      </c>
      <c r="E604" s="28">
        <v>0</v>
      </c>
      <c r="F604" s="29">
        <v>0</v>
      </c>
      <c r="G604" s="6">
        <f t="shared" si="56"/>
        <v>0</v>
      </c>
      <c r="H604" s="7">
        <f t="shared" si="56"/>
        <v>0</v>
      </c>
      <c r="I604" s="6">
        <f t="shared" si="58"/>
        <v>0</v>
      </c>
      <c r="J604" s="7">
        <f t="shared" si="59"/>
        <v>0</v>
      </c>
      <c r="K604" s="28">
        <v>0</v>
      </c>
      <c r="L604" s="29">
        <v>0</v>
      </c>
      <c r="M604" s="6">
        <f t="shared" si="60"/>
        <v>0</v>
      </c>
      <c r="N604" s="7">
        <f t="shared" si="61"/>
        <v>0</v>
      </c>
      <c r="O604" s="35"/>
      <c r="P604" s="36"/>
      <c r="Q604" s="59"/>
      <c r="R604" s="2" t="str">
        <f t="shared" si="57"/>
        <v>39213|0|0|0|0|0|0|</v>
      </c>
      <c r="S604" s="25"/>
    </row>
    <row r="605" spans="1:19" s="34" customFormat="1" ht="12.75" customHeight="1" x14ac:dyDescent="0.2">
      <c r="A605" s="70" t="s">
        <v>138</v>
      </c>
      <c r="B605" s="61" t="s">
        <v>1707</v>
      </c>
      <c r="C605" s="26">
        <v>0</v>
      </c>
      <c r="D605" s="27">
        <v>0</v>
      </c>
      <c r="E605" s="28">
        <v>0</v>
      </c>
      <c r="F605" s="29">
        <v>0</v>
      </c>
      <c r="G605" s="6">
        <f t="shared" si="56"/>
        <v>0</v>
      </c>
      <c r="H605" s="7">
        <f t="shared" si="56"/>
        <v>0</v>
      </c>
      <c r="I605" s="6">
        <f t="shared" si="58"/>
        <v>0</v>
      </c>
      <c r="J605" s="7">
        <f t="shared" si="59"/>
        <v>0</v>
      </c>
      <c r="K605" s="28">
        <v>0</v>
      </c>
      <c r="L605" s="29">
        <v>0</v>
      </c>
      <c r="M605" s="6">
        <f t="shared" si="60"/>
        <v>0</v>
      </c>
      <c r="N605" s="7">
        <f t="shared" si="61"/>
        <v>0</v>
      </c>
      <c r="O605" s="35"/>
      <c r="P605" s="36"/>
      <c r="Q605" s="59"/>
      <c r="R605" s="2" t="str">
        <f t="shared" si="57"/>
        <v>39214|0|0|0|0|0|0|</v>
      </c>
      <c r="S605" s="25"/>
    </row>
    <row r="606" spans="1:19" s="34" customFormat="1" ht="12.75" customHeight="1" x14ac:dyDescent="0.2">
      <c r="A606" s="70" t="s">
        <v>139</v>
      </c>
      <c r="B606" s="61" t="s">
        <v>1708</v>
      </c>
      <c r="C606" s="26">
        <v>0</v>
      </c>
      <c r="D606" s="27">
        <v>0</v>
      </c>
      <c r="E606" s="28">
        <v>0</v>
      </c>
      <c r="F606" s="29">
        <v>0</v>
      </c>
      <c r="G606" s="6">
        <f t="shared" si="56"/>
        <v>0</v>
      </c>
      <c r="H606" s="7">
        <f t="shared" si="56"/>
        <v>0</v>
      </c>
      <c r="I606" s="6">
        <f t="shared" si="58"/>
        <v>0</v>
      </c>
      <c r="J606" s="7">
        <f t="shared" si="59"/>
        <v>0</v>
      </c>
      <c r="K606" s="28">
        <v>0</v>
      </c>
      <c r="L606" s="29">
        <v>0</v>
      </c>
      <c r="M606" s="6">
        <f t="shared" si="60"/>
        <v>0</v>
      </c>
      <c r="N606" s="7">
        <f t="shared" si="61"/>
        <v>0</v>
      </c>
      <c r="O606" s="35"/>
      <c r="P606" s="36"/>
      <c r="Q606" s="59"/>
      <c r="R606" s="2" t="str">
        <f t="shared" si="57"/>
        <v>39215|0|0|0|0|0|0|</v>
      </c>
      <c r="S606" s="25"/>
    </row>
    <row r="607" spans="1:19" s="34" customFormat="1" ht="12.75" customHeight="1" x14ac:dyDescent="0.2">
      <c r="A607" s="70" t="s">
        <v>140</v>
      </c>
      <c r="B607" s="61" t="s">
        <v>1709</v>
      </c>
      <c r="C607" s="26">
        <v>0</v>
      </c>
      <c r="D607" s="27">
        <v>0</v>
      </c>
      <c r="E607" s="28">
        <v>0</v>
      </c>
      <c r="F607" s="29">
        <v>0</v>
      </c>
      <c r="G607" s="6">
        <f t="shared" si="56"/>
        <v>0</v>
      </c>
      <c r="H607" s="7">
        <f t="shared" si="56"/>
        <v>0</v>
      </c>
      <c r="I607" s="6">
        <f t="shared" si="58"/>
        <v>0</v>
      </c>
      <c r="J607" s="7">
        <f t="shared" si="59"/>
        <v>0</v>
      </c>
      <c r="K607" s="28">
        <v>0</v>
      </c>
      <c r="L607" s="29">
        <v>0</v>
      </c>
      <c r="M607" s="6">
        <f t="shared" si="60"/>
        <v>0</v>
      </c>
      <c r="N607" s="7">
        <f t="shared" si="61"/>
        <v>0</v>
      </c>
      <c r="O607" s="35"/>
      <c r="P607" s="36"/>
      <c r="Q607" s="59"/>
      <c r="R607" s="2" t="str">
        <f t="shared" si="57"/>
        <v>39219|0|0|0|0|0|0|</v>
      </c>
      <c r="S607" s="25"/>
    </row>
    <row r="608" spans="1:19" s="34" customFormat="1" ht="12.75" customHeight="1" x14ac:dyDescent="0.2">
      <c r="A608" s="70" t="s">
        <v>141</v>
      </c>
      <c r="B608" s="61" t="s">
        <v>1710</v>
      </c>
      <c r="C608" s="26">
        <v>0</v>
      </c>
      <c r="D608" s="27">
        <v>0</v>
      </c>
      <c r="E608" s="28">
        <v>0</v>
      </c>
      <c r="F608" s="29">
        <v>0</v>
      </c>
      <c r="G608" s="6">
        <f t="shared" si="56"/>
        <v>0</v>
      </c>
      <c r="H608" s="7">
        <f t="shared" si="56"/>
        <v>0</v>
      </c>
      <c r="I608" s="6">
        <f t="shared" si="58"/>
        <v>0</v>
      </c>
      <c r="J608" s="7">
        <f t="shared" si="59"/>
        <v>0</v>
      </c>
      <c r="K608" s="28">
        <v>0</v>
      </c>
      <c r="L608" s="29">
        <v>0</v>
      </c>
      <c r="M608" s="6">
        <f t="shared" si="60"/>
        <v>0</v>
      </c>
      <c r="N608" s="7">
        <f t="shared" si="61"/>
        <v>0</v>
      </c>
      <c r="O608" s="35"/>
      <c r="P608" s="36"/>
      <c r="Q608" s="59"/>
      <c r="R608" s="2" t="str">
        <f t="shared" si="57"/>
        <v>39221|0|0|0|0|0|0|</v>
      </c>
      <c r="S608" s="25"/>
    </row>
    <row r="609" spans="1:19" s="34" customFormat="1" ht="12.75" customHeight="1" x14ac:dyDescent="0.2">
      <c r="A609" s="70" t="s">
        <v>142</v>
      </c>
      <c r="B609" s="61" t="s">
        <v>1711</v>
      </c>
      <c r="C609" s="26">
        <v>0</v>
      </c>
      <c r="D609" s="27">
        <v>0</v>
      </c>
      <c r="E609" s="28">
        <v>0</v>
      </c>
      <c r="F609" s="29">
        <v>0</v>
      </c>
      <c r="G609" s="6">
        <f t="shared" si="56"/>
        <v>0</v>
      </c>
      <c r="H609" s="7">
        <f t="shared" si="56"/>
        <v>0</v>
      </c>
      <c r="I609" s="6">
        <f t="shared" si="58"/>
        <v>0</v>
      </c>
      <c r="J609" s="7">
        <f t="shared" si="59"/>
        <v>0</v>
      </c>
      <c r="K609" s="28">
        <v>0</v>
      </c>
      <c r="L609" s="29">
        <v>0</v>
      </c>
      <c r="M609" s="6">
        <f t="shared" si="60"/>
        <v>0</v>
      </c>
      <c r="N609" s="7">
        <f t="shared" si="61"/>
        <v>0</v>
      </c>
      <c r="O609" s="35"/>
      <c r="P609" s="36"/>
      <c r="Q609" s="59"/>
      <c r="R609" s="2" t="str">
        <f t="shared" si="57"/>
        <v>39222|0|0|0|0|0|0|</v>
      </c>
      <c r="S609" s="25"/>
    </row>
    <row r="610" spans="1:19" s="34" customFormat="1" ht="12.75" customHeight="1" x14ac:dyDescent="0.2">
      <c r="A610" s="70" t="s">
        <v>143</v>
      </c>
      <c r="B610" s="61" t="s">
        <v>1712</v>
      </c>
      <c r="C610" s="26">
        <v>0</v>
      </c>
      <c r="D610" s="27">
        <v>0</v>
      </c>
      <c r="E610" s="28">
        <v>0</v>
      </c>
      <c r="F610" s="29">
        <v>0</v>
      </c>
      <c r="G610" s="6">
        <f t="shared" si="56"/>
        <v>0</v>
      </c>
      <c r="H610" s="7">
        <f t="shared" si="56"/>
        <v>0</v>
      </c>
      <c r="I610" s="6">
        <f t="shared" si="58"/>
        <v>0</v>
      </c>
      <c r="J610" s="7">
        <f t="shared" si="59"/>
        <v>0</v>
      </c>
      <c r="K610" s="28">
        <v>0</v>
      </c>
      <c r="L610" s="29">
        <v>0</v>
      </c>
      <c r="M610" s="6">
        <f t="shared" si="60"/>
        <v>0</v>
      </c>
      <c r="N610" s="7">
        <f t="shared" si="61"/>
        <v>0</v>
      </c>
      <c r="O610" s="35"/>
      <c r="P610" s="36"/>
      <c r="Q610" s="59"/>
      <c r="R610" s="2" t="str">
        <f t="shared" si="57"/>
        <v>39223|0|0|0|0|0|0|</v>
      </c>
      <c r="S610" s="25"/>
    </row>
    <row r="611" spans="1:19" s="34" customFormat="1" ht="12.75" customHeight="1" x14ac:dyDescent="0.2">
      <c r="A611" s="70" t="s">
        <v>1713</v>
      </c>
      <c r="B611" s="61" t="s">
        <v>1714</v>
      </c>
      <c r="C611" s="26">
        <v>0</v>
      </c>
      <c r="D611" s="27">
        <v>0</v>
      </c>
      <c r="E611" s="28">
        <v>0</v>
      </c>
      <c r="F611" s="29">
        <v>0</v>
      </c>
      <c r="G611" s="6">
        <f t="shared" si="56"/>
        <v>0</v>
      </c>
      <c r="H611" s="7">
        <f t="shared" si="56"/>
        <v>0</v>
      </c>
      <c r="I611" s="6">
        <f t="shared" si="58"/>
        <v>0</v>
      </c>
      <c r="J611" s="7">
        <f t="shared" si="59"/>
        <v>0</v>
      </c>
      <c r="K611" s="28">
        <v>0</v>
      </c>
      <c r="L611" s="29">
        <v>0</v>
      </c>
      <c r="M611" s="6">
        <f t="shared" si="60"/>
        <v>0</v>
      </c>
      <c r="N611" s="7">
        <f t="shared" si="61"/>
        <v>0</v>
      </c>
      <c r="O611" s="35"/>
      <c r="P611" s="36"/>
      <c r="Q611" s="59"/>
      <c r="R611" s="2" t="str">
        <f t="shared" si="57"/>
        <v>39224|0|0|0|0|0|0|</v>
      </c>
      <c r="S611" s="25"/>
    </row>
    <row r="612" spans="1:19" s="34" customFormat="1" ht="12.75" customHeight="1" x14ac:dyDescent="0.2">
      <c r="A612" s="70" t="s">
        <v>144</v>
      </c>
      <c r="B612" s="61" t="s">
        <v>1715</v>
      </c>
      <c r="C612" s="26">
        <v>0</v>
      </c>
      <c r="D612" s="27">
        <v>0</v>
      </c>
      <c r="E612" s="28">
        <v>0</v>
      </c>
      <c r="F612" s="29">
        <v>0</v>
      </c>
      <c r="G612" s="6">
        <f t="shared" si="56"/>
        <v>0</v>
      </c>
      <c r="H612" s="7">
        <f t="shared" si="56"/>
        <v>0</v>
      </c>
      <c r="I612" s="6">
        <f t="shared" si="58"/>
        <v>0</v>
      </c>
      <c r="J612" s="7">
        <f t="shared" si="59"/>
        <v>0</v>
      </c>
      <c r="K612" s="28">
        <v>0</v>
      </c>
      <c r="L612" s="29">
        <v>0</v>
      </c>
      <c r="M612" s="6">
        <f t="shared" si="60"/>
        <v>0</v>
      </c>
      <c r="N612" s="7">
        <f t="shared" si="61"/>
        <v>0</v>
      </c>
      <c r="O612" s="35"/>
      <c r="P612" s="36"/>
      <c r="Q612" s="59"/>
      <c r="R612" s="2" t="str">
        <f t="shared" si="57"/>
        <v>39225|0|0|0|0|0|0|</v>
      </c>
      <c r="S612" s="25"/>
    </row>
    <row r="613" spans="1:19" s="34" customFormat="1" ht="12.75" customHeight="1" x14ac:dyDescent="0.2">
      <c r="A613" s="70" t="s">
        <v>145</v>
      </c>
      <c r="B613" s="61" t="s">
        <v>1716</v>
      </c>
      <c r="C613" s="26">
        <v>0</v>
      </c>
      <c r="D613" s="27">
        <v>0</v>
      </c>
      <c r="E613" s="28">
        <v>0</v>
      </c>
      <c r="F613" s="29">
        <v>0</v>
      </c>
      <c r="G613" s="6">
        <f t="shared" si="56"/>
        <v>0</v>
      </c>
      <c r="H613" s="7">
        <f t="shared" si="56"/>
        <v>0</v>
      </c>
      <c r="I613" s="6">
        <f t="shared" si="58"/>
        <v>0</v>
      </c>
      <c r="J613" s="7">
        <f t="shared" si="59"/>
        <v>0</v>
      </c>
      <c r="K613" s="28">
        <v>0</v>
      </c>
      <c r="L613" s="29">
        <v>0</v>
      </c>
      <c r="M613" s="6">
        <f t="shared" si="60"/>
        <v>0</v>
      </c>
      <c r="N613" s="7">
        <f t="shared" si="61"/>
        <v>0</v>
      </c>
      <c r="O613" s="35"/>
      <c r="P613" s="36"/>
      <c r="Q613" s="59"/>
      <c r="R613" s="2" t="str">
        <f t="shared" si="57"/>
        <v>39229|0|0|0|0|0|0|</v>
      </c>
      <c r="S613" s="25"/>
    </row>
    <row r="614" spans="1:19" s="34" customFormat="1" ht="12.75" customHeight="1" x14ac:dyDescent="0.2">
      <c r="A614" s="70" t="s">
        <v>1717</v>
      </c>
      <c r="B614" s="61" t="s">
        <v>1718</v>
      </c>
      <c r="C614" s="26">
        <v>0</v>
      </c>
      <c r="D614" s="27">
        <v>0</v>
      </c>
      <c r="E614" s="28">
        <v>0</v>
      </c>
      <c r="F614" s="29">
        <v>0</v>
      </c>
      <c r="G614" s="6">
        <f t="shared" si="56"/>
        <v>0</v>
      </c>
      <c r="H614" s="7">
        <f t="shared" si="56"/>
        <v>0</v>
      </c>
      <c r="I614" s="6">
        <f t="shared" si="58"/>
        <v>0</v>
      </c>
      <c r="J614" s="7">
        <f t="shared" si="59"/>
        <v>0</v>
      </c>
      <c r="K614" s="28">
        <v>0</v>
      </c>
      <c r="L614" s="29">
        <v>0</v>
      </c>
      <c r="M614" s="6">
        <f t="shared" si="60"/>
        <v>0</v>
      </c>
      <c r="N614" s="7">
        <f t="shared" si="61"/>
        <v>0</v>
      </c>
      <c r="O614" s="35"/>
      <c r="P614" s="36"/>
      <c r="Q614" s="59"/>
      <c r="R614" s="2" t="str">
        <f t="shared" si="57"/>
        <v>39234|0|0|0|0|0|0|</v>
      </c>
      <c r="S614" s="25"/>
    </row>
    <row r="615" spans="1:19" s="34" customFormat="1" ht="12.75" customHeight="1" x14ac:dyDescent="0.2">
      <c r="A615" s="70" t="s">
        <v>146</v>
      </c>
      <c r="B615" s="61" t="s">
        <v>1719</v>
      </c>
      <c r="C615" s="26">
        <v>0</v>
      </c>
      <c r="D615" s="27">
        <v>0</v>
      </c>
      <c r="E615" s="28">
        <v>0</v>
      </c>
      <c r="F615" s="29">
        <v>0</v>
      </c>
      <c r="G615" s="6">
        <f t="shared" si="56"/>
        <v>0</v>
      </c>
      <c r="H615" s="7">
        <f t="shared" si="56"/>
        <v>0</v>
      </c>
      <c r="I615" s="6">
        <f t="shared" si="58"/>
        <v>0</v>
      </c>
      <c r="J615" s="7">
        <f t="shared" si="59"/>
        <v>0</v>
      </c>
      <c r="K615" s="28">
        <v>0</v>
      </c>
      <c r="L615" s="29">
        <v>0</v>
      </c>
      <c r="M615" s="6">
        <f t="shared" si="60"/>
        <v>0</v>
      </c>
      <c r="N615" s="7">
        <f t="shared" si="61"/>
        <v>0</v>
      </c>
      <c r="O615" s="35"/>
      <c r="P615" s="36"/>
      <c r="Q615" s="59"/>
      <c r="R615" s="2" t="str">
        <f t="shared" si="57"/>
        <v>3931|0|0|0|0|0|0|</v>
      </c>
      <c r="S615" s="25"/>
    </row>
    <row r="616" spans="1:19" s="34" customFormat="1" ht="12.75" customHeight="1" x14ac:dyDescent="0.2">
      <c r="A616" s="70" t="s">
        <v>147</v>
      </c>
      <c r="B616" s="61" t="s">
        <v>1720</v>
      </c>
      <c r="C616" s="26">
        <v>0</v>
      </c>
      <c r="D616" s="27">
        <v>0</v>
      </c>
      <c r="E616" s="28">
        <v>0</v>
      </c>
      <c r="F616" s="29">
        <v>0</v>
      </c>
      <c r="G616" s="6">
        <f t="shared" si="56"/>
        <v>0</v>
      </c>
      <c r="H616" s="7">
        <f t="shared" si="56"/>
        <v>0</v>
      </c>
      <c r="I616" s="6">
        <f t="shared" si="58"/>
        <v>0</v>
      </c>
      <c r="J616" s="7">
        <f t="shared" si="59"/>
        <v>0</v>
      </c>
      <c r="K616" s="28">
        <v>0</v>
      </c>
      <c r="L616" s="29">
        <v>0</v>
      </c>
      <c r="M616" s="6">
        <f t="shared" si="60"/>
        <v>0</v>
      </c>
      <c r="N616" s="7">
        <f t="shared" si="61"/>
        <v>0</v>
      </c>
      <c r="O616" s="35"/>
      <c r="P616" s="36"/>
      <c r="Q616" s="59"/>
      <c r="R616" s="2" t="str">
        <f t="shared" si="57"/>
        <v>40111|0|0|0|0|0|0|</v>
      </c>
      <c r="S616" s="25"/>
    </row>
    <row r="617" spans="1:19" s="34" customFormat="1" ht="12.75" customHeight="1" x14ac:dyDescent="0.2">
      <c r="A617" s="70" t="s">
        <v>148</v>
      </c>
      <c r="B617" s="61" t="s">
        <v>1721</v>
      </c>
      <c r="C617" s="26">
        <v>0</v>
      </c>
      <c r="D617" s="27">
        <v>0</v>
      </c>
      <c r="E617" s="28">
        <v>0</v>
      </c>
      <c r="F617" s="29">
        <v>0</v>
      </c>
      <c r="G617" s="6">
        <f t="shared" si="56"/>
        <v>0</v>
      </c>
      <c r="H617" s="7">
        <f t="shared" si="56"/>
        <v>0</v>
      </c>
      <c r="I617" s="6">
        <f t="shared" si="58"/>
        <v>0</v>
      </c>
      <c r="J617" s="7">
        <f t="shared" si="59"/>
        <v>0</v>
      </c>
      <c r="K617" s="28">
        <v>0</v>
      </c>
      <c r="L617" s="29">
        <v>0</v>
      </c>
      <c r="M617" s="6">
        <f t="shared" si="60"/>
        <v>0</v>
      </c>
      <c r="N617" s="7">
        <f t="shared" si="61"/>
        <v>0</v>
      </c>
      <c r="O617" s="35"/>
      <c r="P617" s="36"/>
      <c r="Q617" s="59"/>
      <c r="R617" s="2" t="str">
        <f t="shared" si="57"/>
        <v>40112|0|0|0|0|0|0|</v>
      </c>
      <c r="S617" s="25"/>
    </row>
    <row r="618" spans="1:19" s="34" customFormat="1" ht="12.75" customHeight="1" x14ac:dyDescent="0.2">
      <c r="A618" s="70" t="s">
        <v>149</v>
      </c>
      <c r="B618" s="61" t="s">
        <v>1722</v>
      </c>
      <c r="C618" s="26">
        <v>0</v>
      </c>
      <c r="D618" s="27">
        <v>0</v>
      </c>
      <c r="E618" s="28">
        <v>0</v>
      </c>
      <c r="F618" s="29">
        <v>0</v>
      </c>
      <c r="G618" s="6">
        <f t="shared" si="56"/>
        <v>0</v>
      </c>
      <c r="H618" s="7">
        <f t="shared" si="56"/>
        <v>0</v>
      </c>
      <c r="I618" s="6">
        <f t="shared" si="58"/>
        <v>0</v>
      </c>
      <c r="J618" s="7">
        <f t="shared" si="59"/>
        <v>0</v>
      </c>
      <c r="K618" s="28">
        <v>0</v>
      </c>
      <c r="L618" s="29">
        <v>0</v>
      </c>
      <c r="M618" s="6">
        <f t="shared" si="60"/>
        <v>0</v>
      </c>
      <c r="N618" s="7">
        <f t="shared" si="61"/>
        <v>0</v>
      </c>
      <c r="O618" s="35"/>
      <c r="P618" s="36"/>
      <c r="Q618" s="59"/>
      <c r="R618" s="2" t="str">
        <f t="shared" si="57"/>
        <v>40113|0|0|0|0|0|0|</v>
      </c>
      <c r="S618" s="25"/>
    </row>
    <row r="619" spans="1:19" s="34" customFormat="1" ht="12.75" customHeight="1" x14ac:dyDescent="0.2">
      <c r="A619" s="70" t="s">
        <v>150</v>
      </c>
      <c r="B619" s="61" t="s">
        <v>1723</v>
      </c>
      <c r="C619" s="26">
        <v>0</v>
      </c>
      <c r="D619" s="27">
        <v>0</v>
      </c>
      <c r="E619" s="28">
        <v>0</v>
      </c>
      <c r="F619" s="29">
        <v>0</v>
      </c>
      <c r="G619" s="6">
        <f t="shared" si="56"/>
        <v>0</v>
      </c>
      <c r="H619" s="7">
        <f t="shared" si="56"/>
        <v>0</v>
      </c>
      <c r="I619" s="6">
        <f t="shared" si="58"/>
        <v>0</v>
      </c>
      <c r="J619" s="7">
        <f t="shared" si="59"/>
        <v>0</v>
      </c>
      <c r="K619" s="28">
        <v>0</v>
      </c>
      <c r="L619" s="29">
        <v>0</v>
      </c>
      <c r="M619" s="6">
        <f t="shared" si="60"/>
        <v>0</v>
      </c>
      <c r="N619" s="7">
        <f t="shared" si="61"/>
        <v>0</v>
      </c>
      <c r="O619" s="35"/>
      <c r="P619" s="36"/>
      <c r="Q619" s="59"/>
      <c r="R619" s="2" t="str">
        <f t="shared" si="57"/>
        <v>40114|0|0|0|0|0|0|</v>
      </c>
      <c r="S619" s="25"/>
    </row>
    <row r="620" spans="1:19" s="34" customFormat="1" ht="12.75" customHeight="1" x14ac:dyDescent="0.2">
      <c r="A620" s="70" t="s">
        <v>151</v>
      </c>
      <c r="B620" s="61" t="s">
        <v>1724</v>
      </c>
      <c r="C620" s="26">
        <v>0</v>
      </c>
      <c r="D620" s="27">
        <v>0</v>
      </c>
      <c r="E620" s="28">
        <v>0</v>
      </c>
      <c r="F620" s="29">
        <v>0</v>
      </c>
      <c r="G620" s="6">
        <f t="shared" si="56"/>
        <v>0</v>
      </c>
      <c r="H620" s="7">
        <f t="shared" si="56"/>
        <v>0</v>
      </c>
      <c r="I620" s="6">
        <f t="shared" si="58"/>
        <v>0</v>
      </c>
      <c r="J620" s="7">
        <f t="shared" si="59"/>
        <v>0</v>
      </c>
      <c r="K620" s="28">
        <v>0</v>
      </c>
      <c r="L620" s="29">
        <v>0</v>
      </c>
      <c r="M620" s="6">
        <f t="shared" si="60"/>
        <v>0</v>
      </c>
      <c r="N620" s="7">
        <f t="shared" si="61"/>
        <v>0</v>
      </c>
      <c r="O620" s="35"/>
      <c r="P620" s="36"/>
      <c r="Q620" s="59"/>
      <c r="R620" s="2" t="str">
        <f t="shared" si="57"/>
        <v>4012|0|0|0|0|0|0|</v>
      </c>
      <c r="S620" s="25"/>
    </row>
    <row r="621" spans="1:19" s="34" customFormat="1" ht="12.75" customHeight="1" x14ac:dyDescent="0.2">
      <c r="A621" s="70" t="s">
        <v>152</v>
      </c>
      <c r="B621" s="61" t="s">
        <v>1725</v>
      </c>
      <c r="C621" s="26">
        <v>0</v>
      </c>
      <c r="D621" s="27">
        <v>0</v>
      </c>
      <c r="E621" s="28">
        <v>0</v>
      </c>
      <c r="F621" s="29">
        <v>0</v>
      </c>
      <c r="G621" s="6">
        <f t="shared" ref="G621:H677" si="62">+C621+E621</f>
        <v>0</v>
      </c>
      <c r="H621" s="7">
        <f t="shared" si="62"/>
        <v>0</v>
      </c>
      <c r="I621" s="6">
        <f t="shared" si="58"/>
        <v>0</v>
      </c>
      <c r="J621" s="7">
        <f t="shared" si="59"/>
        <v>0</v>
      </c>
      <c r="K621" s="28">
        <v>0</v>
      </c>
      <c r="L621" s="29">
        <v>0</v>
      </c>
      <c r="M621" s="6">
        <f t="shared" si="60"/>
        <v>0</v>
      </c>
      <c r="N621" s="7">
        <f t="shared" si="61"/>
        <v>0</v>
      </c>
      <c r="O621" s="35"/>
      <c r="P621" s="36"/>
      <c r="Q621" s="59"/>
      <c r="R621" s="2" t="str">
        <f t="shared" si="57"/>
        <v>40151|0|0|0|0|0|0|</v>
      </c>
      <c r="S621" s="25"/>
    </row>
    <row r="622" spans="1:19" s="34" customFormat="1" ht="12.75" customHeight="1" x14ac:dyDescent="0.2">
      <c r="A622" s="70" t="s">
        <v>153</v>
      </c>
      <c r="B622" s="61" t="s">
        <v>1726</v>
      </c>
      <c r="C622" s="26">
        <v>0</v>
      </c>
      <c r="D622" s="27">
        <v>0</v>
      </c>
      <c r="E622" s="28">
        <v>0</v>
      </c>
      <c r="F622" s="29">
        <v>0</v>
      </c>
      <c r="G622" s="6">
        <f t="shared" si="62"/>
        <v>0</v>
      </c>
      <c r="H622" s="7">
        <f t="shared" si="62"/>
        <v>0</v>
      </c>
      <c r="I622" s="6">
        <f t="shared" si="58"/>
        <v>0</v>
      </c>
      <c r="J622" s="7">
        <f t="shared" si="59"/>
        <v>0</v>
      </c>
      <c r="K622" s="28">
        <v>0</v>
      </c>
      <c r="L622" s="29">
        <v>0</v>
      </c>
      <c r="M622" s="6">
        <f t="shared" si="60"/>
        <v>0</v>
      </c>
      <c r="N622" s="7">
        <f t="shared" si="61"/>
        <v>0</v>
      </c>
      <c r="O622" s="35"/>
      <c r="P622" s="36"/>
      <c r="Q622" s="59"/>
      <c r="R622" s="2" t="str">
        <f t="shared" si="57"/>
        <v>40152|0|0|0|0|0|0|</v>
      </c>
      <c r="S622" s="25"/>
    </row>
    <row r="623" spans="1:19" s="34" customFormat="1" ht="12.75" customHeight="1" x14ac:dyDescent="0.2">
      <c r="A623" s="70" t="s">
        <v>154</v>
      </c>
      <c r="B623" s="61" t="s">
        <v>1727</v>
      </c>
      <c r="C623" s="26">
        <v>0</v>
      </c>
      <c r="D623" s="27">
        <v>0</v>
      </c>
      <c r="E623" s="28">
        <v>0</v>
      </c>
      <c r="F623" s="29">
        <v>0</v>
      </c>
      <c r="G623" s="6">
        <f t="shared" si="62"/>
        <v>0</v>
      </c>
      <c r="H623" s="7">
        <f t="shared" si="62"/>
        <v>0</v>
      </c>
      <c r="I623" s="6">
        <f t="shared" si="58"/>
        <v>0</v>
      </c>
      <c r="J623" s="7">
        <f t="shared" si="59"/>
        <v>0</v>
      </c>
      <c r="K623" s="28">
        <v>0</v>
      </c>
      <c r="L623" s="29">
        <v>0</v>
      </c>
      <c r="M623" s="6">
        <f t="shared" si="60"/>
        <v>0</v>
      </c>
      <c r="N623" s="7">
        <f t="shared" si="61"/>
        <v>0</v>
      </c>
      <c r="O623" s="35"/>
      <c r="P623" s="36"/>
      <c r="Q623" s="59"/>
      <c r="R623" s="2" t="str">
        <f t="shared" si="57"/>
        <v>40171|0|0|0|0|0|0|</v>
      </c>
      <c r="S623" s="25"/>
    </row>
    <row r="624" spans="1:19" s="34" customFormat="1" ht="12.75" customHeight="1" x14ac:dyDescent="0.2">
      <c r="A624" s="70" t="s">
        <v>155</v>
      </c>
      <c r="B624" s="61" t="s">
        <v>1728</v>
      </c>
      <c r="C624" s="26">
        <v>0</v>
      </c>
      <c r="D624" s="27">
        <v>0</v>
      </c>
      <c r="E624" s="28">
        <v>0</v>
      </c>
      <c r="F624" s="29">
        <v>0</v>
      </c>
      <c r="G624" s="6">
        <f t="shared" si="62"/>
        <v>0</v>
      </c>
      <c r="H624" s="7">
        <f t="shared" si="62"/>
        <v>0</v>
      </c>
      <c r="I624" s="6">
        <f t="shared" si="58"/>
        <v>0</v>
      </c>
      <c r="J624" s="7">
        <f t="shared" si="59"/>
        <v>0</v>
      </c>
      <c r="K624" s="28">
        <v>0</v>
      </c>
      <c r="L624" s="29">
        <v>0</v>
      </c>
      <c r="M624" s="6">
        <f t="shared" si="60"/>
        <v>0</v>
      </c>
      <c r="N624" s="7">
        <f t="shared" si="61"/>
        <v>0</v>
      </c>
      <c r="O624" s="35"/>
      <c r="P624" s="36"/>
      <c r="Q624" s="59"/>
      <c r="R624" s="2" t="str">
        <f t="shared" si="57"/>
        <v>40172|0|0|0|0|0|0|</v>
      </c>
      <c r="S624" s="25"/>
    </row>
    <row r="625" spans="1:19" s="34" customFormat="1" ht="12.75" customHeight="1" x14ac:dyDescent="0.2">
      <c r="A625" s="70" t="s">
        <v>156</v>
      </c>
      <c r="B625" s="61" t="s">
        <v>1729</v>
      </c>
      <c r="C625" s="26">
        <v>0</v>
      </c>
      <c r="D625" s="27">
        <v>0</v>
      </c>
      <c r="E625" s="28">
        <v>0</v>
      </c>
      <c r="F625" s="29">
        <v>0</v>
      </c>
      <c r="G625" s="6">
        <f t="shared" si="62"/>
        <v>0</v>
      </c>
      <c r="H625" s="7">
        <f t="shared" si="62"/>
        <v>0</v>
      </c>
      <c r="I625" s="6">
        <f t="shared" si="58"/>
        <v>0</v>
      </c>
      <c r="J625" s="7">
        <f t="shared" si="59"/>
        <v>0</v>
      </c>
      <c r="K625" s="28">
        <v>0</v>
      </c>
      <c r="L625" s="29">
        <v>0</v>
      </c>
      <c r="M625" s="6">
        <f t="shared" si="60"/>
        <v>0</v>
      </c>
      <c r="N625" s="7">
        <f t="shared" si="61"/>
        <v>0</v>
      </c>
      <c r="O625" s="35"/>
      <c r="P625" s="36"/>
      <c r="Q625" s="59"/>
      <c r="R625" s="2" t="str">
        <f t="shared" si="57"/>
        <v>40173|0|0|0|0|0|0|</v>
      </c>
      <c r="S625" s="25"/>
    </row>
    <row r="626" spans="1:19" s="34" customFormat="1" ht="12.75" customHeight="1" x14ac:dyDescent="0.2">
      <c r="A626" s="70" t="s">
        <v>157</v>
      </c>
      <c r="B626" s="61" t="s">
        <v>1730</v>
      </c>
      <c r="C626" s="26">
        <v>0</v>
      </c>
      <c r="D626" s="27">
        <v>0</v>
      </c>
      <c r="E626" s="28">
        <v>0</v>
      </c>
      <c r="F626" s="29">
        <v>0</v>
      </c>
      <c r="G626" s="6">
        <f t="shared" si="62"/>
        <v>0</v>
      </c>
      <c r="H626" s="7">
        <f t="shared" si="62"/>
        <v>0</v>
      </c>
      <c r="I626" s="6">
        <f t="shared" si="58"/>
        <v>0</v>
      </c>
      <c r="J626" s="7">
        <f t="shared" si="59"/>
        <v>0</v>
      </c>
      <c r="K626" s="28">
        <v>0</v>
      </c>
      <c r="L626" s="29">
        <v>0</v>
      </c>
      <c r="M626" s="6">
        <f t="shared" si="60"/>
        <v>0</v>
      </c>
      <c r="N626" s="7">
        <f t="shared" si="61"/>
        <v>0</v>
      </c>
      <c r="O626" s="35"/>
      <c r="P626" s="36"/>
      <c r="Q626" s="59"/>
      <c r="R626" s="2" t="str">
        <f t="shared" si="57"/>
        <v>40174|0|0|0|0|0|0|</v>
      </c>
      <c r="S626" s="25"/>
    </row>
    <row r="627" spans="1:19" s="34" customFormat="1" ht="12.75" customHeight="1" x14ac:dyDescent="0.2">
      <c r="A627" s="70" t="s">
        <v>1731</v>
      </c>
      <c r="B627" s="61" t="s">
        <v>1732</v>
      </c>
      <c r="C627" s="26">
        <v>0</v>
      </c>
      <c r="D627" s="27">
        <v>0</v>
      </c>
      <c r="E627" s="28">
        <v>0</v>
      </c>
      <c r="F627" s="29">
        <v>0</v>
      </c>
      <c r="G627" s="6">
        <f t="shared" si="62"/>
        <v>0</v>
      </c>
      <c r="H627" s="7">
        <f t="shared" si="62"/>
        <v>0</v>
      </c>
      <c r="I627" s="6">
        <f t="shared" si="58"/>
        <v>0</v>
      </c>
      <c r="J627" s="7">
        <f t="shared" si="59"/>
        <v>0</v>
      </c>
      <c r="K627" s="28">
        <v>0</v>
      </c>
      <c r="L627" s="29">
        <v>0</v>
      </c>
      <c r="M627" s="6">
        <f t="shared" si="60"/>
        <v>0</v>
      </c>
      <c r="N627" s="7">
        <f t="shared" si="61"/>
        <v>0</v>
      </c>
      <c r="O627" s="35"/>
      <c r="P627" s="36"/>
      <c r="Q627" s="59"/>
      <c r="R627" s="2" t="str">
        <f t="shared" si="57"/>
        <v>40175|0|0|0|0|0|0|</v>
      </c>
      <c r="S627" s="25"/>
    </row>
    <row r="628" spans="1:19" s="34" customFormat="1" ht="12.75" customHeight="1" x14ac:dyDescent="0.2">
      <c r="A628" s="70" t="s">
        <v>158</v>
      </c>
      <c r="B628" s="61" t="s">
        <v>1733</v>
      </c>
      <c r="C628" s="26">
        <v>0</v>
      </c>
      <c r="D628" s="27">
        <v>0</v>
      </c>
      <c r="E628" s="28">
        <v>0</v>
      </c>
      <c r="F628" s="29">
        <v>0</v>
      </c>
      <c r="G628" s="6">
        <f t="shared" si="62"/>
        <v>0</v>
      </c>
      <c r="H628" s="7">
        <f t="shared" si="62"/>
        <v>0</v>
      </c>
      <c r="I628" s="6">
        <f t="shared" si="58"/>
        <v>0</v>
      </c>
      <c r="J628" s="7">
        <f t="shared" si="59"/>
        <v>0</v>
      </c>
      <c r="K628" s="28">
        <v>0</v>
      </c>
      <c r="L628" s="29">
        <v>0</v>
      </c>
      <c r="M628" s="6">
        <f t="shared" si="60"/>
        <v>0</v>
      </c>
      <c r="N628" s="7">
        <f t="shared" si="61"/>
        <v>0</v>
      </c>
      <c r="O628" s="35"/>
      <c r="P628" s="36"/>
      <c r="Q628" s="59"/>
      <c r="R628" s="2" t="str">
        <f t="shared" si="57"/>
        <v>40181|0|0|0|0|0|0|</v>
      </c>
      <c r="S628" s="25"/>
    </row>
    <row r="629" spans="1:19" s="34" customFormat="1" ht="12.75" customHeight="1" x14ac:dyDescent="0.2">
      <c r="A629" s="70" t="s">
        <v>159</v>
      </c>
      <c r="B629" s="61" t="s">
        <v>1734</v>
      </c>
      <c r="C629" s="26">
        <v>0</v>
      </c>
      <c r="D629" s="27">
        <v>0</v>
      </c>
      <c r="E629" s="28">
        <v>0</v>
      </c>
      <c r="F629" s="29">
        <v>0</v>
      </c>
      <c r="G629" s="6">
        <f t="shared" si="62"/>
        <v>0</v>
      </c>
      <c r="H629" s="7">
        <f t="shared" si="62"/>
        <v>0</v>
      </c>
      <c r="I629" s="6">
        <f t="shared" si="58"/>
        <v>0</v>
      </c>
      <c r="J629" s="7">
        <f t="shared" si="59"/>
        <v>0</v>
      </c>
      <c r="K629" s="28">
        <v>0</v>
      </c>
      <c r="L629" s="29">
        <v>0</v>
      </c>
      <c r="M629" s="6">
        <f t="shared" si="60"/>
        <v>0</v>
      </c>
      <c r="N629" s="7">
        <f t="shared" si="61"/>
        <v>0</v>
      </c>
      <c r="O629" s="35"/>
      <c r="P629" s="36"/>
      <c r="Q629" s="59"/>
      <c r="R629" s="2" t="str">
        <f t="shared" si="57"/>
        <v>40182|0|0|0|0|0|0|</v>
      </c>
      <c r="S629" s="25"/>
    </row>
    <row r="630" spans="1:19" s="34" customFormat="1" ht="12.75" customHeight="1" x14ac:dyDescent="0.2">
      <c r="A630" s="70" t="s">
        <v>160</v>
      </c>
      <c r="B630" s="61" t="s">
        <v>1735</v>
      </c>
      <c r="C630" s="26">
        <v>0</v>
      </c>
      <c r="D630" s="27">
        <v>0</v>
      </c>
      <c r="E630" s="28">
        <v>0</v>
      </c>
      <c r="F630" s="29">
        <v>0</v>
      </c>
      <c r="G630" s="6">
        <f t="shared" si="62"/>
        <v>0</v>
      </c>
      <c r="H630" s="7">
        <f t="shared" si="62"/>
        <v>0</v>
      </c>
      <c r="I630" s="6">
        <f t="shared" si="58"/>
        <v>0</v>
      </c>
      <c r="J630" s="7">
        <f t="shared" si="59"/>
        <v>0</v>
      </c>
      <c r="K630" s="28">
        <v>0</v>
      </c>
      <c r="L630" s="29">
        <v>0</v>
      </c>
      <c r="M630" s="6">
        <f t="shared" si="60"/>
        <v>0</v>
      </c>
      <c r="N630" s="7">
        <f t="shared" si="61"/>
        <v>0</v>
      </c>
      <c r="O630" s="35"/>
      <c r="P630" s="36"/>
      <c r="Q630" s="59"/>
      <c r="R630" s="2" t="str">
        <f t="shared" si="57"/>
        <v>40183|0|0|0|0|0|0|</v>
      </c>
      <c r="S630" s="25"/>
    </row>
    <row r="631" spans="1:19" s="34" customFormat="1" ht="12.75" customHeight="1" x14ac:dyDescent="0.2">
      <c r="A631" s="70" t="s">
        <v>161</v>
      </c>
      <c r="B631" s="61" t="s">
        <v>1736</v>
      </c>
      <c r="C631" s="26">
        <v>0</v>
      </c>
      <c r="D631" s="27">
        <v>0</v>
      </c>
      <c r="E631" s="28">
        <v>0</v>
      </c>
      <c r="F631" s="29">
        <v>0</v>
      </c>
      <c r="G631" s="6">
        <f t="shared" si="62"/>
        <v>0</v>
      </c>
      <c r="H631" s="7">
        <f t="shared" si="62"/>
        <v>0</v>
      </c>
      <c r="I631" s="6">
        <f t="shared" si="58"/>
        <v>0</v>
      </c>
      <c r="J631" s="7">
        <f t="shared" si="59"/>
        <v>0</v>
      </c>
      <c r="K631" s="28">
        <v>0</v>
      </c>
      <c r="L631" s="29">
        <v>0</v>
      </c>
      <c r="M631" s="6">
        <f t="shared" si="60"/>
        <v>0</v>
      </c>
      <c r="N631" s="7">
        <f t="shared" si="61"/>
        <v>0</v>
      </c>
      <c r="O631" s="35"/>
      <c r="P631" s="36"/>
      <c r="Q631" s="59"/>
      <c r="R631" s="2" t="str">
        <f t="shared" si="57"/>
        <v>40184|0|0|0|0|0|0|</v>
      </c>
      <c r="S631" s="25"/>
    </row>
    <row r="632" spans="1:19" s="34" customFormat="1" ht="12.75" customHeight="1" x14ac:dyDescent="0.2">
      <c r="A632" s="70" t="s">
        <v>162</v>
      </c>
      <c r="B632" s="61" t="s">
        <v>1737</v>
      </c>
      <c r="C632" s="26">
        <v>0</v>
      </c>
      <c r="D632" s="27">
        <v>0</v>
      </c>
      <c r="E632" s="28">
        <v>0</v>
      </c>
      <c r="F632" s="29">
        <v>0</v>
      </c>
      <c r="G632" s="6">
        <f t="shared" si="62"/>
        <v>0</v>
      </c>
      <c r="H632" s="7">
        <f t="shared" si="62"/>
        <v>0</v>
      </c>
      <c r="I632" s="6">
        <f t="shared" si="58"/>
        <v>0</v>
      </c>
      <c r="J632" s="7">
        <f t="shared" si="59"/>
        <v>0</v>
      </c>
      <c r="K632" s="28">
        <v>0</v>
      </c>
      <c r="L632" s="29">
        <v>0</v>
      </c>
      <c r="M632" s="6">
        <f t="shared" si="60"/>
        <v>0</v>
      </c>
      <c r="N632" s="7">
        <f t="shared" si="61"/>
        <v>0</v>
      </c>
      <c r="O632" s="35"/>
      <c r="P632" s="36"/>
      <c r="Q632" s="59"/>
      <c r="R632" s="2" t="str">
        <f t="shared" si="57"/>
        <v>40185|0|0|0|0|0|0|</v>
      </c>
      <c r="S632" s="25"/>
    </row>
    <row r="633" spans="1:19" s="34" customFormat="1" ht="12.75" customHeight="1" x14ac:dyDescent="0.2">
      <c r="A633" s="70" t="s">
        <v>1738</v>
      </c>
      <c r="B633" s="61" t="s">
        <v>1739</v>
      </c>
      <c r="C633" s="26">
        <v>0</v>
      </c>
      <c r="D633" s="27">
        <v>0</v>
      </c>
      <c r="E633" s="28">
        <v>0</v>
      </c>
      <c r="F633" s="29">
        <v>0</v>
      </c>
      <c r="G633" s="6">
        <f t="shared" si="62"/>
        <v>0</v>
      </c>
      <c r="H633" s="7">
        <f t="shared" si="62"/>
        <v>0</v>
      </c>
      <c r="I633" s="6">
        <f t="shared" si="58"/>
        <v>0</v>
      </c>
      <c r="J633" s="7">
        <f t="shared" si="59"/>
        <v>0</v>
      </c>
      <c r="K633" s="28">
        <v>0</v>
      </c>
      <c r="L633" s="29">
        <v>0</v>
      </c>
      <c r="M633" s="6">
        <f t="shared" si="60"/>
        <v>0</v>
      </c>
      <c r="N633" s="7">
        <f t="shared" si="61"/>
        <v>0</v>
      </c>
      <c r="O633" s="35"/>
      <c r="P633" s="36"/>
      <c r="Q633" s="59"/>
      <c r="R633" s="2" t="str">
        <f t="shared" si="57"/>
        <v>40186|0|0|0|0|0|0|</v>
      </c>
      <c r="S633" s="25"/>
    </row>
    <row r="634" spans="1:19" s="34" customFormat="1" ht="12.75" customHeight="1" x14ac:dyDescent="0.2">
      <c r="A634" s="70" t="s">
        <v>1740</v>
      </c>
      <c r="B634" s="61" t="s">
        <v>1741</v>
      </c>
      <c r="C634" s="26">
        <v>0</v>
      </c>
      <c r="D634" s="27">
        <v>0</v>
      </c>
      <c r="E634" s="28">
        <v>0</v>
      </c>
      <c r="F634" s="29">
        <v>0</v>
      </c>
      <c r="G634" s="6">
        <f t="shared" si="62"/>
        <v>0</v>
      </c>
      <c r="H634" s="7">
        <f t="shared" si="62"/>
        <v>0</v>
      </c>
      <c r="I634" s="6">
        <f t="shared" si="58"/>
        <v>0</v>
      </c>
      <c r="J634" s="7">
        <f t="shared" si="59"/>
        <v>0</v>
      </c>
      <c r="K634" s="28">
        <v>0</v>
      </c>
      <c r="L634" s="29">
        <v>0</v>
      </c>
      <c r="M634" s="6">
        <f t="shared" si="60"/>
        <v>0</v>
      </c>
      <c r="N634" s="7">
        <f t="shared" si="61"/>
        <v>0</v>
      </c>
      <c r="O634" s="35"/>
      <c r="P634" s="36"/>
      <c r="Q634" s="59"/>
      <c r="R634" s="2" t="str">
        <f t="shared" si="57"/>
        <v>40189|0|0|0|0|0|0|</v>
      </c>
      <c r="S634" s="25"/>
    </row>
    <row r="635" spans="1:19" s="34" customFormat="1" ht="12.75" customHeight="1" x14ac:dyDescent="0.2">
      <c r="A635" s="70" t="s">
        <v>163</v>
      </c>
      <c r="B635" s="61" t="s">
        <v>1742</v>
      </c>
      <c r="C635" s="26">
        <v>0</v>
      </c>
      <c r="D635" s="27">
        <v>0</v>
      </c>
      <c r="E635" s="28">
        <v>0</v>
      </c>
      <c r="F635" s="29">
        <v>0</v>
      </c>
      <c r="G635" s="6">
        <f t="shared" si="62"/>
        <v>0</v>
      </c>
      <c r="H635" s="7">
        <f t="shared" si="62"/>
        <v>0</v>
      </c>
      <c r="I635" s="6">
        <f t="shared" si="58"/>
        <v>0</v>
      </c>
      <c r="J635" s="7">
        <f t="shared" si="59"/>
        <v>0</v>
      </c>
      <c r="K635" s="28">
        <v>0</v>
      </c>
      <c r="L635" s="29">
        <v>0</v>
      </c>
      <c r="M635" s="6">
        <f t="shared" si="60"/>
        <v>0</v>
      </c>
      <c r="N635" s="7">
        <f t="shared" si="61"/>
        <v>0</v>
      </c>
      <c r="O635" s="35"/>
      <c r="P635" s="36"/>
      <c r="Q635" s="59"/>
      <c r="R635" s="2" t="str">
        <f t="shared" si="57"/>
        <v>402|0|0|0|0|0|0|</v>
      </c>
      <c r="S635" s="25"/>
    </row>
    <row r="636" spans="1:19" s="34" customFormat="1" ht="12.75" customHeight="1" x14ac:dyDescent="0.2">
      <c r="A636" s="70" t="s">
        <v>164</v>
      </c>
      <c r="B636" s="61" t="s">
        <v>1743</v>
      </c>
      <c r="C636" s="26">
        <v>0</v>
      </c>
      <c r="D636" s="27">
        <v>0</v>
      </c>
      <c r="E636" s="28">
        <v>0</v>
      </c>
      <c r="F636" s="29">
        <v>0</v>
      </c>
      <c r="G636" s="6">
        <f t="shared" si="62"/>
        <v>0</v>
      </c>
      <c r="H636" s="7">
        <f t="shared" si="62"/>
        <v>0</v>
      </c>
      <c r="I636" s="6">
        <f t="shared" si="58"/>
        <v>0</v>
      </c>
      <c r="J636" s="7">
        <f t="shared" si="59"/>
        <v>0</v>
      </c>
      <c r="K636" s="28">
        <v>0</v>
      </c>
      <c r="L636" s="29">
        <v>0</v>
      </c>
      <c r="M636" s="6">
        <f t="shared" si="60"/>
        <v>0</v>
      </c>
      <c r="N636" s="7">
        <f t="shared" si="61"/>
        <v>0</v>
      </c>
      <c r="O636" s="35"/>
      <c r="P636" s="36"/>
      <c r="Q636" s="59"/>
      <c r="R636" s="2" t="str">
        <f t="shared" si="57"/>
        <v>4031|0|0|0|0|0|0|</v>
      </c>
      <c r="S636" s="25"/>
    </row>
    <row r="637" spans="1:19" s="34" customFormat="1" ht="12.75" customHeight="1" x14ac:dyDescent="0.2">
      <c r="A637" s="70" t="s">
        <v>165</v>
      </c>
      <c r="B637" s="61" t="s">
        <v>1744</v>
      </c>
      <c r="C637" s="26">
        <v>0</v>
      </c>
      <c r="D637" s="27">
        <v>0</v>
      </c>
      <c r="E637" s="28">
        <v>0</v>
      </c>
      <c r="F637" s="29">
        <v>0</v>
      </c>
      <c r="G637" s="6">
        <f t="shared" si="62"/>
        <v>0</v>
      </c>
      <c r="H637" s="7">
        <f t="shared" si="62"/>
        <v>0</v>
      </c>
      <c r="I637" s="6">
        <f t="shared" si="58"/>
        <v>0</v>
      </c>
      <c r="J637" s="7">
        <f t="shared" si="59"/>
        <v>0</v>
      </c>
      <c r="K637" s="28">
        <v>0</v>
      </c>
      <c r="L637" s="29">
        <v>0</v>
      </c>
      <c r="M637" s="6">
        <f t="shared" si="60"/>
        <v>0</v>
      </c>
      <c r="N637" s="7">
        <f t="shared" si="61"/>
        <v>0</v>
      </c>
      <c r="O637" s="35"/>
      <c r="P637" s="36"/>
      <c r="Q637" s="59"/>
      <c r="R637" s="2" t="str">
        <f t="shared" si="57"/>
        <v>4032|0|0|0|0|0|0|</v>
      </c>
      <c r="S637" s="25"/>
    </row>
    <row r="638" spans="1:19" s="34" customFormat="1" ht="12.75" customHeight="1" x14ac:dyDescent="0.2">
      <c r="A638" s="70" t="s">
        <v>166</v>
      </c>
      <c r="B638" s="61" t="s">
        <v>1745</v>
      </c>
      <c r="C638" s="26">
        <v>0</v>
      </c>
      <c r="D638" s="27">
        <v>0</v>
      </c>
      <c r="E638" s="28">
        <v>0</v>
      </c>
      <c r="F638" s="29">
        <v>0</v>
      </c>
      <c r="G638" s="6">
        <f t="shared" si="62"/>
        <v>0</v>
      </c>
      <c r="H638" s="7">
        <f t="shared" si="62"/>
        <v>0</v>
      </c>
      <c r="I638" s="6">
        <f t="shared" si="58"/>
        <v>0</v>
      </c>
      <c r="J638" s="7">
        <f t="shared" si="59"/>
        <v>0</v>
      </c>
      <c r="K638" s="28">
        <v>0</v>
      </c>
      <c r="L638" s="29">
        <v>0</v>
      </c>
      <c r="M638" s="6">
        <f t="shared" si="60"/>
        <v>0</v>
      </c>
      <c r="N638" s="7">
        <f t="shared" si="61"/>
        <v>0</v>
      </c>
      <c r="O638" s="35"/>
      <c r="P638" s="36"/>
      <c r="Q638" s="59"/>
      <c r="R638" s="2" t="str">
        <f t="shared" si="57"/>
        <v>4033|0|0|0|0|0|0|</v>
      </c>
      <c r="S638" s="25"/>
    </row>
    <row r="639" spans="1:19" s="34" customFormat="1" ht="12.75" customHeight="1" x14ac:dyDescent="0.2">
      <c r="A639" s="70" t="s">
        <v>167</v>
      </c>
      <c r="B639" s="61" t="s">
        <v>1746</v>
      </c>
      <c r="C639" s="26">
        <v>0</v>
      </c>
      <c r="D639" s="27">
        <v>0</v>
      </c>
      <c r="E639" s="28">
        <v>0</v>
      </c>
      <c r="F639" s="29">
        <v>0</v>
      </c>
      <c r="G639" s="6">
        <f t="shared" si="62"/>
        <v>0</v>
      </c>
      <c r="H639" s="7">
        <f t="shared" si="62"/>
        <v>0</v>
      </c>
      <c r="I639" s="6">
        <f t="shared" si="58"/>
        <v>0</v>
      </c>
      <c r="J639" s="7">
        <f t="shared" si="59"/>
        <v>0</v>
      </c>
      <c r="K639" s="28">
        <v>0</v>
      </c>
      <c r="L639" s="29">
        <v>0</v>
      </c>
      <c r="M639" s="6">
        <f t="shared" si="60"/>
        <v>0</v>
      </c>
      <c r="N639" s="7">
        <f t="shared" si="61"/>
        <v>0</v>
      </c>
      <c r="O639" s="35"/>
      <c r="P639" s="36"/>
      <c r="Q639" s="59"/>
      <c r="R639" s="2" t="str">
        <f t="shared" si="57"/>
        <v>4034|0|0|0|0|0|0|</v>
      </c>
      <c r="S639" s="25"/>
    </row>
    <row r="640" spans="1:19" s="34" customFormat="1" ht="12.75" customHeight="1" x14ac:dyDescent="0.2">
      <c r="A640" s="70" t="s">
        <v>168</v>
      </c>
      <c r="B640" s="61" t="s">
        <v>1747</v>
      </c>
      <c r="C640" s="26">
        <v>0</v>
      </c>
      <c r="D640" s="27">
        <v>0</v>
      </c>
      <c r="E640" s="28">
        <v>0</v>
      </c>
      <c r="F640" s="29">
        <v>0</v>
      </c>
      <c r="G640" s="6">
        <f t="shared" si="62"/>
        <v>0</v>
      </c>
      <c r="H640" s="7">
        <f t="shared" si="62"/>
        <v>0</v>
      </c>
      <c r="I640" s="6">
        <f t="shared" si="58"/>
        <v>0</v>
      </c>
      <c r="J640" s="7">
        <f t="shared" si="59"/>
        <v>0</v>
      </c>
      <c r="K640" s="28">
        <v>0</v>
      </c>
      <c r="L640" s="29">
        <v>0</v>
      </c>
      <c r="M640" s="6">
        <f t="shared" si="60"/>
        <v>0</v>
      </c>
      <c r="N640" s="7">
        <f t="shared" si="61"/>
        <v>0</v>
      </c>
      <c r="O640" s="35"/>
      <c r="P640" s="36"/>
      <c r="Q640" s="59"/>
      <c r="R640" s="2" t="str">
        <f t="shared" si="57"/>
        <v>4039|0|0|0|0|0|0|</v>
      </c>
      <c r="S640" s="25"/>
    </row>
    <row r="641" spans="1:19" s="34" customFormat="1" ht="12.75" customHeight="1" x14ac:dyDescent="0.2">
      <c r="A641" s="70" t="s">
        <v>169</v>
      </c>
      <c r="B641" s="61" t="s">
        <v>1748</v>
      </c>
      <c r="C641" s="26">
        <v>0</v>
      </c>
      <c r="D641" s="27">
        <v>0</v>
      </c>
      <c r="E641" s="28">
        <v>0</v>
      </c>
      <c r="F641" s="29">
        <v>0</v>
      </c>
      <c r="G641" s="6">
        <f t="shared" si="62"/>
        <v>0</v>
      </c>
      <c r="H641" s="7">
        <f t="shared" si="62"/>
        <v>0</v>
      </c>
      <c r="I641" s="6">
        <f t="shared" si="58"/>
        <v>0</v>
      </c>
      <c r="J641" s="7">
        <f t="shared" si="59"/>
        <v>0</v>
      </c>
      <c r="K641" s="28">
        <v>0</v>
      </c>
      <c r="L641" s="29">
        <v>0</v>
      </c>
      <c r="M641" s="6">
        <f t="shared" si="60"/>
        <v>0</v>
      </c>
      <c r="N641" s="7">
        <f t="shared" si="61"/>
        <v>0</v>
      </c>
      <c r="O641" s="35"/>
      <c r="P641" s="36"/>
      <c r="Q641" s="59"/>
      <c r="R641" s="2" t="str">
        <f t="shared" si="57"/>
        <v>405|0|0|0|0|0|0|</v>
      </c>
      <c r="S641" s="25"/>
    </row>
    <row r="642" spans="1:19" s="34" customFormat="1" ht="12.75" customHeight="1" x14ac:dyDescent="0.2">
      <c r="A642" s="70" t="s">
        <v>170</v>
      </c>
      <c r="B642" s="61" t="s">
        <v>1749</v>
      </c>
      <c r="C642" s="26">
        <v>0</v>
      </c>
      <c r="D642" s="27">
        <v>0</v>
      </c>
      <c r="E642" s="28">
        <v>0</v>
      </c>
      <c r="F642" s="29">
        <v>0</v>
      </c>
      <c r="G642" s="6">
        <f t="shared" si="62"/>
        <v>0</v>
      </c>
      <c r="H642" s="7">
        <f t="shared" si="62"/>
        <v>0</v>
      </c>
      <c r="I642" s="6">
        <f t="shared" si="58"/>
        <v>0</v>
      </c>
      <c r="J642" s="7">
        <f t="shared" si="59"/>
        <v>0</v>
      </c>
      <c r="K642" s="28">
        <v>0</v>
      </c>
      <c r="L642" s="29">
        <v>0</v>
      </c>
      <c r="M642" s="6">
        <f t="shared" si="60"/>
        <v>0</v>
      </c>
      <c r="N642" s="7">
        <f t="shared" si="61"/>
        <v>0</v>
      </c>
      <c r="O642" s="35"/>
      <c r="P642" s="36"/>
      <c r="Q642" s="59"/>
      <c r="R642" s="2" t="str">
        <f t="shared" si="57"/>
        <v>40611|0|0|0|0|0|0|</v>
      </c>
      <c r="S642" s="25"/>
    </row>
    <row r="643" spans="1:19" s="34" customFormat="1" ht="12.75" customHeight="1" x14ac:dyDescent="0.2">
      <c r="A643" s="70" t="s">
        <v>171</v>
      </c>
      <c r="B643" s="61" t="s">
        <v>1750</v>
      </c>
      <c r="C643" s="26">
        <v>0</v>
      </c>
      <c r="D643" s="27">
        <v>0</v>
      </c>
      <c r="E643" s="28">
        <v>0</v>
      </c>
      <c r="F643" s="29">
        <v>0</v>
      </c>
      <c r="G643" s="6">
        <f t="shared" si="62"/>
        <v>0</v>
      </c>
      <c r="H643" s="7">
        <f t="shared" si="62"/>
        <v>0</v>
      </c>
      <c r="I643" s="6">
        <f t="shared" si="58"/>
        <v>0</v>
      </c>
      <c r="J643" s="7">
        <f t="shared" si="59"/>
        <v>0</v>
      </c>
      <c r="K643" s="28">
        <v>0</v>
      </c>
      <c r="L643" s="29">
        <v>0</v>
      </c>
      <c r="M643" s="6">
        <f t="shared" si="60"/>
        <v>0</v>
      </c>
      <c r="N643" s="7">
        <f t="shared" si="61"/>
        <v>0</v>
      </c>
      <c r="O643" s="35"/>
      <c r="P643" s="36"/>
      <c r="Q643" s="59"/>
      <c r="R643" s="2" t="str">
        <f t="shared" si="57"/>
        <v>40612|0|0|0|0|0|0|</v>
      </c>
      <c r="S643" s="25"/>
    </row>
    <row r="644" spans="1:19" s="34" customFormat="1" ht="12.75" customHeight="1" x14ac:dyDescent="0.2">
      <c r="A644" s="70" t="s">
        <v>172</v>
      </c>
      <c r="B644" s="61" t="s">
        <v>1751</v>
      </c>
      <c r="C644" s="26">
        <v>0</v>
      </c>
      <c r="D644" s="27">
        <v>0</v>
      </c>
      <c r="E644" s="28">
        <v>0</v>
      </c>
      <c r="F644" s="29">
        <v>0</v>
      </c>
      <c r="G644" s="6">
        <f t="shared" si="62"/>
        <v>0</v>
      </c>
      <c r="H644" s="7">
        <f t="shared" si="62"/>
        <v>0</v>
      </c>
      <c r="I644" s="6">
        <f t="shared" si="58"/>
        <v>0</v>
      </c>
      <c r="J644" s="7">
        <f t="shared" si="59"/>
        <v>0</v>
      </c>
      <c r="K644" s="28">
        <v>0</v>
      </c>
      <c r="L644" s="29">
        <v>0</v>
      </c>
      <c r="M644" s="6">
        <f t="shared" si="60"/>
        <v>0</v>
      </c>
      <c r="N644" s="7">
        <f t="shared" si="61"/>
        <v>0</v>
      </c>
      <c r="O644" s="35"/>
      <c r="P644" s="36"/>
      <c r="Q644" s="59"/>
      <c r="R644" s="2" t="str">
        <f t="shared" si="57"/>
        <v>40613|0|0|0|0|0|0|</v>
      </c>
      <c r="S644" s="25"/>
    </row>
    <row r="645" spans="1:19" s="34" customFormat="1" ht="12.75" customHeight="1" x14ac:dyDescent="0.2">
      <c r="A645" s="70" t="s">
        <v>173</v>
      </c>
      <c r="B645" s="61" t="s">
        <v>1752</v>
      </c>
      <c r="C645" s="26">
        <v>0</v>
      </c>
      <c r="D645" s="27">
        <v>0</v>
      </c>
      <c r="E645" s="28">
        <v>0</v>
      </c>
      <c r="F645" s="29">
        <v>0</v>
      </c>
      <c r="G645" s="6">
        <f t="shared" si="62"/>
        <v>0</v>
      </c>
      <c r="H645" s="7">
        <f t="shared" si="62"/>
        <v>0</v>
      </c>
      <c r="I645" s="6">
        <f t="shared" si="58"/>
        <v>0</v>
      </c>
      <c r="J645" s="7">
        <f t="shared" si="59"/>
        <v>0</v>
      </c>
      <c r="K645" s="28">
        <v>0</v>
      </c>
      <c r="L645" s="29">
        <v>0</v>
      </c>
      <c r="M645" s="6">
        <f t="shared" si="60"/>
        <v>0</v>
      </c>
      <c r="N645" s="7">
        <f t="shared" si="61"/>
        <v>0</v>
      </c>
      <c r="O645" s="35"/>
      <c r="P645" s="36"/>
      <c r="Q645" s="59"/>
      <c r="R645" s="2" t="str">
        <f t="shared" ref="R645:R708" si="63">CONCATENATE(A645,"|",C645,"|",D645,"|",E645,"|",F645,"|",K645,"|",L645,"|")</f>
        <v>40614|0|0|0|0|0|0|</v>
      </c>
      <c r="S645" s="25"/>
    </row>
    <row r="646" spans="1:19" s="34" customFormat="1" ht="12.75" customHeight="1" x14ac:dyDescent="0.2">
      <c r="A646" s="70" t="s">
        <v>174</v>
      </c>
      <c r="B646" s="61" t="s">
        <v>1753</v>
      </c>
      <c r="C646" s="26">
        <v>0</v>
      </c>
      <c r="D646" s="27">
        <v>0</v>
      </c>
      <c r="E646" s="28">
        <v>0</v>
      </c>
      <c r="F646" s="29">
        <v>0</v>
      </c>
      <c r="G646" s="6">
        <f t="shared" si="62"/>
        <v>0</v>
      </c>
      <c r="H646" s="7">
        <f t="shared" si="62"/>
        <v>0</v>
      </c>
      <c r="I646" s="6">
        <f t="shared" si="58"/>
        <v>0</v>
      </c>
      <c r="J646" s="7">
        <f t="shared" si="59"/>
        <v>0</v>
      </c>
      <c r="K646" s="28">
        <v>0</v>
      </c>
      <c r="L646" s="29">
        <v>0</v>
      </c>
      <c r="M646" s="6">
        <f t="shared" si="60"/>
        <v>0</v>
      </c>
      <c r="N646" s="7">
        <f t="shared" si="61"/>
        <v>0</v>
      </c>
      <c r="O646" s="35"/>
      <c r="P646" s="36"/>
      <c r="Q646" s="59"/>
      <c r="R646" s="2" t="str">
        <f t="shared" si="63"/>
        <v>40615|0|0|0|0|0|0|</v>
      </c>
      <c r="S646" s="25"/>
    </row>
    <row r="647" spans="1:19" s="34" customFormat="1" ht="12.75" customHeight="1" x14ac:dyDescent="0.2">
      <c r="A647" s="70" t="s">
        <v>175</v>
      </c>
      <c r="B647" s="61" t="s">
        <v>1754</v>
      </c>
      <c r="C647" s="26">
        <v>0</v>
      </c>
      <c r="D647" s="27">
        <v>0</v>
      </c>
      <c r="E647" s="28">
        <v>0</v>
      </c>
      <c r="F647" s="29">
        <v>0</v>
      </c>
      <c r="G647" s="6">
        <f t="shared" si="62"/>
        <v>0</v>
      </c>
      <c r="H647" s="7">
        <f t="shared" si="62"/>
        <v>0</v>
      </c>
      <c r="I647" s="6">
        <f t="shared" ref="I647:I710" si="64">IF($G647-$H647&gt;=0,$G647-$H647,0)</f>
        <v>0</v>
      </c>
      <c r="J647" s="7">
        <f t="shared" ref="J647:J710" si="65">IF($G647-$H647&lt;0,-$G647+$H647,0)</f>
        <v>0</v>
      </c>
      <c r="K647" s="28">
        <v>0</v>
      </c>
      <c r="L647" s="29">
        <v>0</v>
      </c>
      <c r="M647" s="6">
        <f t="shared" ref="M647:M710" si="66">IF($I647-$J647+$K647-$L647&gt;=0,$I647-$J647+$K647-$L647,0)</f>
        <v>0</v>
      </c>
      <c r="N647" s="7">
        <f t="shared" ref="N647:N710" si="67">IF($I647-$J647+$K647-$L647&lt;0,-($I647-$J647+$K647-$L647),0)</f>
        <v>0</v>
      </c>
      <c r="O647" s="35"/>
      <c r="P647" s="36"/>
      <c r="Q647" s="59"/>
      <c r="R647" s="2" t="str">
        <f t="shared" si="63"/>
        <v>40616|0|0|0|0|0|0|</v>
      </c>
      <c r="S647" s="25"/>
    </row>
    <row r="648" spans="1:19" s="34" customFormat="1" ht="12.75" customHeight="1" x14ac:dyDescent="0.2">
      <c r="A648" s="70" t="s">
        <v>176</v>
      </c>
      <c r="B648" s="61" t="s">
        <v>1755</v>
      </c>
      <c r="C648" s="26">
        <v>0</v>
      </c>
      <c r="D648" s="27">
        <v>0</v>
      </c>
      <c r="E648" s="28">
        <v>0</v>
      </c>
      <c r="F648" s="29">
        <v>0</v>
      </c>
      <c r="G648" s="6">
        <f t="shared" si="62"/>
        <v>0</v>
      </c>
      <c r="H648" s="7">
        <f t="shared" si="62"/>
        <v>0</v>
      </c>
      <c r="I648" s="6">
        <f t="shared" si="64"/>
        <v>0</v>
      </c>
      <c r="J648" s="7">
        <f t="shared" si="65"/>
        <v>0</v>
      </c>
      <c r="K648" s="28">
        <v>0</v>
      </c>
      <c r="L648" s="29">
        <v>0</v>
      </c>
      <c r="M648" s="6">
        <f t="shared" si="66"/>
        <v>0</v>
      </c>
      <c r="N648" s="7">
        <f t="shared" si="67"/>
        <v>0</v>
      </c>
      <c r="O648" s="35"/>
      <c r="P648" s="36"/>
      <c r="Q648" s="59"/>
      <c r="R648" s="2" t="str">
        <f t="shared" si="63"/>
        <v>4062|0|0|0|0|0|0|</v>
      </c>
      <c r="S648" s="25"/>
    </row>
    <row r="649" spans="1:19" s="34" customFormat="1" ht="12.75" customHeight="1" x14ac:dyDescent="0.2">
      <c r="A649" s="70" t="s">
        <v>177</v>
      </c>
      <c r="B649" s="61" t="s">
        <v>1756</v>
      </c>
      <c r="C649" s="26">
        <v>0</v>
      </c>
      <c r="D649" s="27">
        <v>0</v>
      </c>
      <c r="E649" s="28">
        <v>0</v>
      </c>
      <c r="F649" s="29">
        <v>0</v>
      </c>
      <c r="G649" s="6">
        <f t="shared" si="62"/>
        <v>0</v>
      </c>
      <c r="H649" s="7">
        <f t="shared" si="62"/>
        <v>0</v>
      </c>
      <c r="I649" s="6">
        <f t="shared" si="64"/>
        <v>0</v>
      </c>
      <c r="J649" s="7">
        <f t="shared" si="65"/>
        <v>0</v>
      </c>
      <c r="K649" s="28">
        <v>0</v>
      </c>
      <c r="L649" s="29">
        <v>0</v>
      </c>
      <c r="M649" s="6">
        <f t="shared" si="66"/>
        <v>0</v>
      </c>
      <c r="N649" s="7">
        <f t="shared" si="67"/>
        <v>0</v>
      </c>
      <c r="O649" s="35"/>
      <c r="P649" s="36"/>
      <c r="Q649" s="59"/>
      <c r="R649" s="2" t="str">
        <f t="shared" si="63"/>
        <v>40631|0|0|0|0|0|0|</v>
      </c>
      <c r="S649" s="25"/>
    </row>
    <row r="650" spans="1:19" s="34" customFormat="1" ht="12.75" customHeight="1" x14ac:dyDescent="0.2">
      <c r="A650" s="70" t="s">
        <v>178</v>
      </c>
      <c r="B650" s="61" t="s">
        <v>1757</v>
      </c>
      <c r="C650" s="26">
        <v>0</v>
      </c>
      <c r="D650" s="27">
        <v>0</v>
      </c>
      <c r="E650" s="28">
        <v>0</v>
      </c>
      <c r="F650" s="29">
        <v>0</v>
      </c>
      <c r="G650" s="6">
        <f t="shared" si="62"/>
        <v>0</v>
      </c>
      <c r="H650" s="7">
        <f t="shared" si="62"/>
        <v>0</v>
      </c>
      <c r="I650" s="6">
        <f t="shared" si="64"/>
        <v>0</v>
      </c>
      <c r="J650" s="7">
        <f t="shared" si="65"/>
        <v>0</v>
      </c>
      <c r="K650" s="28">
        <v>0</v>
      </c>
      <c r="L650" s="29">
        <v>0</v>
      </c>
      <c r="M650" s="6">
        <f t="shared" si="66"/>
        <v>0</v>
      </c>
      <c r="N650" s="7">
        <f t="shared" si="67"/>
        <v>0</v>
      </c>
      <c r="O650" s="35"/>
      <c r="P650" s="36"/>
      <c r="Q650" s="59"/>
      <c r="R650" s="2" t="str">
        <f t="shared" si="63"/>
        <v>40632|0|0|0|0|0|0|</v>
      </c>
      <c r="S650" s="25"/>
    </row>
    <row r="651" spans="1:19" s="34" customFormat="1" ht="12.75" customHeight="1" x14ac:dyDescent="0.2">
      <c r="A651" s="70" t="s">
        <v>179</v>
      </c>
      <c r="B651" s="61" t="s">
        <v>1758</v>
      </c>
      <c r="C651" s="26">
        <v>0</v>
      </c>
      <c r="D651" s="27">
        <v>0</v>
      </c>
      <c r="E651" s="28">
        <v>0</v>
      </c>
      <c r="F651" s="29">
        <v>0</v>
      </c>
      <c r="G651" s="6">
        <f t="shared" si="62"/>
        <v>0</v>
      </c>
      <c r="H651" s="7">
        <f t="shared" si="62"/>
        <v>0</v>
      </c>
      <c r="I651" s="6">
        <f t="shared" si="64"/>
        <v>0</v>
      </c>
      <c r="J651" s="7">
        <f t="shared" si="65"/>
        <v>0</v>
      </c>
      <c r="K651" s="28">
        <v>0</v>
      </c>
      <c r="L651" s="29">
        <v>0</v>
      </c>
      <c r="M651" s="6">
        <f t="shared" si="66"/>
        <v>0</v>
      </c>
      <c r="N651" s="7">
        <f t="shared" si="67"/>
        <v>0</v>
      </c>
      <c r="O651" s="35"/>
      <c r="P651" s="36"/>
      <c r="Q651" s="59"/>
      <c r="R651" s="2" t="str">
        <f t="shared" si="63"/>
        <v>40633|0|0|0|0|0|0|</v>
      </c>
      <c r="S651" s="25"/>
    </row>
    <row r="652" spans="1:19" s="34" customFormat="1" ht="12.75" customHeight="1" x14ac:dyDescent="0.2">
      <c r="A652" s="70" t="s">
        <v>180</v>
      </c>
      <c r="B652" s="61" t="s">
        <v>1759</v>
      </c>
      <c r="C652" s="26">
        <v>0</v>
      </c>
      <c r="D652" s="27">
        <v>0</v>
      </c>
      <c r="E652" s="28">
        <v>0</v>
      </c>
      <c r="F652" s="29">
        <v>0</v>
      </c>
      <c r="G652" s="6">
        <f t="shared" si="62"/>
        <v>0</v>
      </c>
      <c r="H652" s="7">
        <f t="shared" si="62"/>
        <v>0</v>
      </c>
      <c r="I652" s="6">
        <f t="shared" si="64"/>
        <v>0</v>
      </c>
      <c r="J652" s="7">
        <f t="shared" si="65"/>
        <v>0</v>
      </c>
      <c r="K652" s="28">
        <v>0</v>
      </c>
      <c r="L652" s="29">
        <v>0</v>
      </c>
      <c r="M652" s="6">
        <f t="shared" si="66"/>
        <v>0</v>
      </c>
      <c r="N652" s="7">
        <f t="shared" si="67"/>
        <v>0</v>
      </c>
      <c r="O652" s="35"/>
      <c r="P652" s="36"/>
      <c r="Q652" s="59"/>
      <c r="R652" s="2" t="str">
        <f t="shared" si="63"/>
        <v>40634|0|0|0|0|0|0|</v>
      </c>
      <c r="S652" s="25"/>
    </row>
    <row r="653" spans="1:19" s="34" customFormat="1" ht="12.75" customHeight="1" x14ac:dyDescent="0.2">
      <c r="A653" s="70" t="s">
        <v>181</v>
      </c>
      <c r="B653" s="61" t="s">
        <v>1760</v>
      </c>
      <c r="C653" s="26">
        <v>0</v>
      </c>
      <c r="D653" s="27">
        <v>0</v>
      </c>
      <c r="E653" s="28">
        <v>0</v>
      </c>
      <c r="F653" s="29">
        <v>0</v>
      </c>
      <c r="G653" s="6">
        <f t="shared" si="62"/>
        <v>0</v>
      </c>
      <c r="H653" s="7">
        <f t="shared" si="62"/>
        <v>0</v>
      </c>
      <c r="I653" s="6">
        <f t="shared" si="64"/>
        <v>0</v>
      </c>
      <c r="J653" s="7">
        <f t="shared" si="65"/>
        <v>0</v>
      </c>
      <c r="K653" s="28">
        <v>0</v>
      </c>
      <c r="L653" s="29">
        <v>0</v>
      </c>
      <c r="M653" s="6">
        <f t="shared" si="66"/>
        <v>0</v>
      </c>
      <c r="N653" s="7">
        <f t="shared" si="67"/>
        <v>0</v>
      </c>
      <c r="O653" s="35"/>
      <c r="P653" s="36"/>
      <c r="Q653" s="59"/>
      <c r="R653" s="2" t="str">
        <f t="shared" si="63"/>
        <v>40635|0|0|0|0|0|0|</v>
      </c>
      <c r="S653" s="25"/>
    </row>
    <row r="654" spans="1:19" s="34" customFormat="1" ht="12.75" customHeight="1" x14ac:dyDescent="0.2">
      <c r="A654" s="70" t="s">
        <v>182</v>
      </c>
      <c r="B654" s="61" t="s">
        <v>1761</v>
      </c>
      <c r="C654" s="26">
        <v>0</v>
      </c>
      <c r="D654" s="27">
        <v>0</v>
      </c>
      <c r="E654" s="28">
        <v>0</v>
      </c>
      <c r="F654" s="29">
        <v>0</v>
      </c>
      <c r="G654" s="6">
        <f t="shared" si="62"/>
        <v>0</v>
      </c>
      <c r="H654" s="7">
        <f t="shared" si="62"/>
        <v>0</v>
      </c>
      <c r="I654" s="6">
        <f t="shared" si="64"/>
        <v>0</v>
      </c>
      <c r="J654" s="7">
        <f t="shared" si="65"/>
        <v>0</v>
      </c>
      <c r="K654" s="28">
        <v>0</v>
      </c>
      <c r="L654" s="29">
        <v>0</v>
      </c>
      <c r="M654" s="6">
        <f t="shared" si="66"/>
        <v>0</v>
      </c>
      <c r="N654" s="7">
        <f t="shared" si="67"/>
        <v>0</v>
      </c>
      <c r="O654" s="35"/>
      <c r="P654" s="36"/>
      <c r="Q654" s="59"/>
      <c r="R654" s="2" t="str">
        <f t="shared" si="63"/>
        <v>407|0|0|0|0|0|0|</v>
      </c>
      <c r="S654" s="25"/>
    </row>
    <row r="655" spans="1:19" s="34" customFormat="1" ht="12.75" customHeight="1" x14ac:dyDescent="0.2">
      <c r="A655" s="70" t="s">
        <v>183</v>
      </c>
      <c r="B655" s="61" t="s">
        <v>1762</v>
      </c>
      <c r="C655" s="26">
        <v>0</v>
      </c>
      <c r="D655" s="27">
        <v>0</v>
      </c>
      <c r="E655" s="28">
        <v>0</v>
      </c>
      <c r="F655" s="29">
        <v>0</v>
      </c>
      <c r="G655" s="6">
        <f t="shared" si="62"/>
        <v>0</v>
      </c>
      <c r="H655" s="7">
        <f t="shared" si="62"/>
        <v>0</v>
      </c>
      <c r="I655" s="6">
        <f t="shared" si="64"/>
        <v>0</v>
      </c>
      <c r="J655" s="7">
        <f t="shared" si="65"/>
        <v>0</v>
      </c>
      <c r="K655" s="28">
        <v>0</v>
      </c>
      <c r="L655" s="29">
        <v>0</v>
      </c>
      <c r="M655" s="6">
        <f t="shared" si="66"/>
        <v>0</v>
      </c>
      <c r="N655" s="7">
        <f t="shared" si="67"/>
        <v>0</v>
      </c>
      <c r="O655" s="35"/>
      <c r="P655" s="36"/>
      <c r="Q655" s="59"/>
      <c r="R655" s="2" t="str">
        <f t="shared" si="63"/>
        <v>4081|0|0|0|0|0|0|</v>
      </c>
      <c r="S655" s="25"/>
    </row>
    <row r="656" spans="1:19" s="34" customFormat="1" ht="12.75" customHeight="1" x14ac:dyDescent="0.2">
      <c r="A656" s="70" t="s">
        <v>184</v>
      </c>
      <c r="B656" s="61" t="s">
        <v>1763</v>
      </c>
      <c r="C656" s="26">
        <v>0</v>
      </c>
      <c r="D656" s="27">
        <v>0</v>
      </c>
      <c r="E656" s="28">
        <v>0</v>
      </c>
      <c r="F656" s="29">
        <v>0</v>
      </c>
      <c r="G656" s="6">
        <f t="shared" si="62"/>
        <v>0</v>
      </c>
      <c r="H656" s="7">
        <f t="shared" si="62"/>
        <v>0</v>
      </c>
      <c r="I656" s="6">
        <f t="shared" si="64"/>
        <v>0</v>
      </c>
      <c r="J656" s="7">
        <f t="shared" si="65"/>
        <v>0</v>
      </c>
      <c r="K656" s="28">
        <v>0</v>
      </c>
      <c r="L656" s="29">
        <v>0</v>
      </c>
      <c r="M656" s="6">
        <f t="shared" si="66"/>
        <v>0</v>
      </c>
      <c r="N656" s="7">
        <f t="shared" si="67"/>
        <v>0</v>
      </c>
      <c r="O656" s="35"/>
      <c r="P656" s="36"/>
      <c r="Q656" s="59"/>
      <c r="R656" s="2" t="str">
        <f t="shared" si="63"/>
        <v>4082|0|0|0|0|0|0|</v>
      </c>
      <c r="S656" s="25"/>
    </row>
    <row r="657" spans="1:19" s="34" customFormat="1" ht="12.75" customHeight="1" x14ac:dyDescent="0.2">
      <c r="A657" s="70" t="s">
        <v>720</v>
      </c>
      <c r="B657" s="61" t="s">
        <v>1764</v>
      </c>
      <c r="C657" s="26">
        <v>0</v>
      </c>
      <c r="D657" s="27">
        <v>0</v>
      </c>
      <c r="E657" s="28">
        <v>0</v>
      </c>
      <c r="F657" s="29">
        <v>0</v>
      </c>
      <c r="G657" s="6">
        <f t="shared" si="62"/>
        <v>0</v>
      </c>
      <c r="H657" s="7">
        <f t="shared" si="62"/>
        <v>0</v>
      </c>
      <c r="I657" s="6">
        <f t="shared" si="64"/>
        <v>0</v>
      </c>
      <c r="J657" s="7">
        <f t="shared" si="65"/>
        <v>0</v>
      </c>
      <c r="K657" s="28">
        <v>0</v>
      </c>
      <c r="L657" s="29">
        <v>0</v>
      </c>
      <c r="M657" s="6">
        <f t="shared" si="66"/>
        <v>0</v>
      </c>
      <c r="N657" s="7">
        <f t="shared" si="67"/>
        <v>0</v>
      </c>
      <c r="O657" s="35"/>
      <c r="P657" s="36"/>
      <c r="Q657" s="59"/>
      <c r="R657" s="2" t="str">
        <f t="shared" si="63"/>
        <v>409|0|0|0|0|0|0|</v>
      </c>
      <c r="S657" s="25"/>
    </row>
    <row r="658" spans="1:19" s="34" customFormat="1" ht="12.75" customHeight="1" x14ac:dyDescent="0.2">
      <c r="A658" s="70" t="s">
        <v>185</v>
      </c>
      <c r="B658" s="61" t="s">
        <v>1765</v>
      </c>
      <c r="C658" s="26">
        <v>0</v>
      </c>
      <c r="D658" s="27">
        <v>0</v>
      </c>
      <c r="E658" s="28">
        <v>0</v>
      </c>
      <c r="F658" s="29">
        <v>0</v>
      </c>
      <c r="G658" s="6">
        <f t="shared" si="62"/>
        <v>0</v>
      </c>
      <c r="H658" s="7">
        <f t="shared" si="62"/>
        <v>0</v>
      </c>
      <c r="I658" s="6">
        <f t="shared" si="64"/>
        <v>0</v>
      </c>
      <c r="J658" s="7">
        <f t="shared" si="65"/>
        <v>0</v>
      </c>
      <c r="K658" s="28">
        <v>0</v>
      </c>
      <c r="L658" s="29">
        <v>0</v>
      </c>
      <c r="M658" s="6">
        <f t="shared" si="66"/>
        <v>0</v>
      </c>
      <c r="N658" s="7">
        <f t="shared" si="67"/>
        <v>0</v>
      </c>
      <c r="O658" s="35"/>
      <c r="P658" s="36"/>
      <c r="Q658" s="59"/>
      <c r="R658" s="2" t="str">
        <f t="shared" si="63"/>
        <v>4111|0|0|0|0|0|0|</v>
      </c>
      <c r="S658" s="25"/>
    </row>
    <row r="659" spans="1:19" s="34" customFormat="1" ht="12.75" customHeight="1" x14ac:dyDescent="0.2">
      <c r="A659" s="70" t="s">
        <v>186</v>
      </c>
      <c r="B659" s="61" t="s">
        <v>1766</v>
      </c>
      <c r="C659" s="26">
        <v>0</v>
      </c>
      <c r="D659" s="27">
        <v>0</v>
      </c>
      <c r="E659" s="28">
        <v>0</v>
      </c>
      <c r="F659" s="29">
        <v>0</v>
      </c>
      <c r="G659" s="6">
        <f t="shared" si="62"/>
        <v>0</v>
      </c>
      <c r="H659" s="7">
        <f t="shared" si="62"/>
        <v>0</v>
      </c>
      <c r="I659" s="6">
        <f t="shared" si="64"/>
        <v>0</v>
      </c>
      <c r="J659" s="7">
        <f t="shared" si="65"/>
        <v>0</v>
      </c>
      <c r="K659" s="28">
        <v>0</v>
      </c>
      <c r="L659" s="29">
        <v>0</v>
      </c>
      <c r="M659" s="6">
        <f t="shared" si="66"/>
        <v>0</v>
      </c>
      <c r="N659" s="7">
        <f t="shared" si="67"/>
        <v>0</v>
      </c>
      <c r="O659" s="35"/>
      <c r="P659" s="36"/>
      <c r="Q659" s="59"/>
      <c r="R659" s="2" t="str">
        <f t="shared" si="63"/>
        <v>4112|0|0|0|0|0|0|</v>
      </c>
      <c r="S659" s="25"/>
    </row>
    <row r="660" spans="1:19" s="34" customFormat="1" ht="12.75" customHeight="1" x14ac:dyDescent="0.2">
      <c r="A660" s="70" t="s">
        <v>187</v>
      </c>
      <c r="B660" s="61" t="s">
        <v>1767</v>
      </c>
      <c r="C660" s="26">
        <v>0</v>
      </c>
      <c r="D660" s="27">
        <v>0</v>
      </c>
      <c r="E660" s="28">
        <v>0</v>
      </c>
      <c r="F660" s="29">
        <v>0</v>
      </c>
      <c r="G660" s="6">
        <f t="shared" si="62"/>
        <v>0</v>
      </c>
      <c r="H660" s="7">
        <f t="shared" si="62"/>
        <v>0</v>
      </c>
      <c r="I660" s="6">
        <f t="shared" si="64"/>
        <v>0</v>
      </c>
      <c r="J660" s="7">
        <f t="shared" si="65"/>
        <v>0</v>
      </c>
      <c r="K660" s="28">
        <v>0</v>
      </c>
      <c r="L660" s="29">
        <v>0</v>
      </c>
      <c r="M660" s="6">
        <f t="shared" si="66"/>
        <v>0</v>
      </c>
      <c r="N660" s="7">
        <f t="shared" si="67"/>
        <v>0</v>
      </c>
      <c r="O660" s="35"/>
      <c r="P660" s="36"/>
      <c r="Q660" s="59"/>
      <c r="R660" s="2" t="str">
        <f t="shared" si="63"/>
        <v>4113|0|0|0|0|0|0|</v>
      </c>
      <c r="S660" s="25"/>
    </row>
    <row r="661" spans="1:19" s="34" customFormat="1" ht="12.75" customHeight="1" x14ac:dyDescent="0.2">
      <c r="A661" s="70" t="s">
        <v>188</v>
      </c>
      <c r="B661" s="61" t="s">
        <v>1768</v>
      </c>
      <c r="C661" s="26">
        <v>0</v>
      </c>
      <c r="D661" s="27">
        <v>0</v>
      </c>
      <c r="E661" s="28">
        <v>0</v>
      </c>
      <c r="F661" s="29">
        <v>0</v>
      </c>
      <c r="G661" s="6">
        <f t="shared" si="62"/>
        <v>0</v>
      </c>
      <c r="H661" s="7">
        <f t="shared" si="62"/>
        <v>0</v>
      </c>
      <c r="I661" s="6">
        <f t="shared" si="64"/>
        <v>0</v>
      </c>
      <c r="J661" s="7">
        <f t="shared" si="65"/>
        <v>0</v>
      </c>
      <c r="K661" s="28">
        <v>0</v>
      </c>
      <c r="L661" s="29">
        <v>0</v>
      </c>
      <c r="M661" s="6">
        <f t="shared" si="66"/>
        <v>0</v>
      </c>
      <c r="N661" s="7">
        <f t="shared" si="67"/>
        <v>0</v>
      </c>
      <c r="O661" s="35"/>
      <c r="P661" s="36"/>
      <c r="Q661" s="59"/>
      <c r="R661" s="2" t="str">
        <f t="shared" si="63"/>
        <v>4114|0|0|0|0|0|0|</v>
      </c>
      <c r="S661" s="25"/>
    </row>
    <row r="662" spans="1:19" s="34" customFormat="1" ht="12.75" customHeight="1" x14ac:dyDescent="0.2">
      <c r="A662" s="70" t="s">
        <v>189</v>
      </c>
      <c r="B662" s="61" t="s">
        <v>1769</v>
      </c>
      <c r="C662" s="26">
        <v>0</v>
      </c>
      <c r="D662" s="27">
        <v>0</v>
      </c>
      <c r="E662" s="28">
        <v>0</v>
      </c>
      <c r="F662" s="29">
        <v>0</v>
      </c>
      <c r="G662" s="6">
        <f t="shared" si="62"/>
        <v>0</v>
      </c>
      <c r="H662" s="7">
        <f t="shared" si="62"/>
        <v>0</v>
      </c>
      <c r="I662" s="6">
        <f t="shared" si="64"/>
        <v>0</v>
      </c>
      <c r="J662" s="7">
        <f t="shared" si="65"/>
        <v>0</v>
      </c>
      <c r="K662" s="28">
        <v>0</v>
      </c>
      <c r="L662" s="29">
        <v>0</v>
      </c>
      <c r="M662" s="6">
        <f t="shared" si="66"/>
        <v>0</v>
      </c>
      <c r="N662" s="7">
        <f t="shared" si="67"/>
        <v>0</v>
      </c>
      <c r="O662" s="35"/>
      <c r="P662" s="36"/>
      <c r="Q662" s="59"/>
      <c r="R662" s="2" t="str">
        <f t="shared" si="63"/>
        <v>4115|0|0|0|0|0|0|</v>
      </c>
      <c r="S662" s="25"/>
    </row>
    <row r="663" spans="1:19" s="34" customFormat="1" ht="12.75" customHeight="1" x14ac:dyDescent="0.2">
      <c r="A663" s="70" t="s">
        <v>190</v>
      </c>
      <c r="B663" s="61" t="s">
        <v>1770</v>
      </c>
      <c r="C663" s="26">
        <v>0</v>
      </c>
      <c r="D663" s="27">
        <v>0</v>
      </c>
      <c r="E663" s="28">
        <v>0</v>
      </c>
      <c r="F663" s="29">
        <v>0</v>
      </c>
      <c r="G663" s="6">
        <f t="shared" si="62"/>
        <v>0</v>
      </c>
      <c r="H663" s="7">
        <f t="shared" si="62"/>
        <v>0</v>
      </c>
      <c r="I663" s="6">
        <f t="shared" si="64"/>
        <v>0</v>
      </c>
      <c r="J663" s="7">
        <f t="shared" si="65"/>
        <v>0</v>
      </c>
      <c r="K663" s="28">
        <v>0</v>
      </c>
      <c r="L663" s="29">
        <v>0</v>
      </c>
      <c r="M663" s="6">
        <f t="shared" si="66"/>
        <v>0</v>
      </c>
      <c r="N663" s="7">
        <f t="shared" si="67"/>
        <v>0</v>
      </c>
      <c r="O663" s="35"/>
      <c r="P663" s="36"/>
      <c r="Q663" s="59"/>
      <c r="R663" s="2" t="str">
        <f t="shared" si="63"/>
        <v>413|0|0|0|0|0|0|</v>
      </c>
      <c r="S663" s="25"/>
    </row>
    <row r="664" spans="1:19" s="34" customFormat="1" ht="12.75" customHeight="1" x14ac:dyDescent="0.2">
      <c r="A664" s="70" t="s">
        <v>191</v>
      </c>
      <c r="B664" s="61" t="s">
        <v>1771</v>
      </c>
      <c r="C664" s="26">
        <v>0</v>
      </c>
      <c r="D664" s="27">
        <v>0</v>
      </c>
      <c r="E664" s="28">
        <v>0</v>
      </c>
      <c r="F664" s="29">
        <v>0</v>
      </c>
      <c r="G664" s="6">
        <f t="shared" si="62"/>
        <v>0</v>
      </c>
      <c r="H664" s="7">
        <f t="shared" si="62"/>
        <v>0</v>
      </c>
      <c r="I664" s="6">
        <f t="shared" si="64"/>
        <v>0</v>
      </c>
      <c r="J664" s="7">
        <f t="shared" si="65"/>
        <v>0</v>
      </c>
      <c r="K664" s="28">
        <v>0</v>
      </c>
      <c r="L664" s="29">
        <v>0</v>
      </c>
      <c r="M664" s="6">
        <f t="shared" si="66"/>
        <v>0</v>
      </c>
      <c r="N664" s="7">
        <f t="shared" si="67"/>
        <v>0</v>
      </c>
      <c r="O664" s="35"/>
      <c r="P664" s="36"/>
      <c r="Q664" s="59"/>
      <c r="R664" s="2" t="str">
        <f t="shared" si="63"/>
        <v>4151|0|0|0|0|0|0|</v>
      </c>
      <c r="S664" s="25"/>
    </row>
    <row r="665" spans="1:19" s="34" customFormat="1" ht="12.75" customHeight="1" x14ac:dyDescent="0.2">
      <c r="A665" s="70" t="s">
        <v>192</v>
      </c>
      <c r="B665" s="61" t="s">
        <v>1772</v>
      </c>
      <c r="C665" s="26">
        <v>0</v>
      </c>
      <c r="D665" s="27">
        <v>0</v>
      </c>
      <c r="E665" s="28">
        <v>0</v>
      </c>
      <c r="F665" s="29">
        <v>0</v>
      </c>
      <c r="G665" s="6">
        <f t="shared" si="62"/>
        <v>0</v>
      </c>
      <c r="H665" s="7">
        <f t="shared" si="62"/>
        <v>0</v>
      </c>
      <c r="I665" s="6">
        <f t="shared" si="64"/>
        <v>0</v>
      </c>
      <c r="J665" s="7">
        <f t="shared" si="65"/>
        <v>0</v>
      </c>
      <c r="K665" s="28">
        <v>0</v>
      </c>
      <c r="L665" s="29">
        <v>0</v>
      </c>
      <c r="M665" s="6">
        <f t="shared" si="66"/>
        <v>0</v>
      </c>
      <c r="N665" s="7">
        <f t="shared" si="67"/>
        <v>0</v>
      </c>
      <c r="O665" s="35"/>
      <c r="P665" s="36"/>
      <c r="Q665" s="59"/>
      <c r="R665" s="2" t="str">
        <f t="shared" si="63"/>
        <v>4152|0|0|0|0|0|0|</v>
      </c>
      <c r="S665" s="25"/>
    </row>
    <row r="666" spans="1:19" s="34" customFormat="1" ht="12.75" customHeight="1" x14ac:dyDescent="0.2">
      <c r="A666" s="70" t="s">
        <v>193</v>
      </c>
      <c r="B666" s="61" t="s">
        <v>1773</v>
      </c>
      <c r="C666" s="26">
        <v>0</v>
      </c>
      <c r="D666" s="27">
        <v>0</v>
      </c>
      <c r="E666" s="28">
        <v>0</v>
      </c>
      <c r="F666" s="29">
        <v>0</v>
      </c>
      <c r="G666" s="6">
        <f t="shared" si="62"/>
        <v>0</v>
      </c>
      <c r="H666" s="7">
        <f t="shared" si="62"/>
        <v>0</v>
      </c>
      <c r="I666" s="6">
        <f t="shared" si="64"/>
        <v>0</v>
      </c>
      <c r="J666" s="7">
        <f t="shared" si="65"/>
        <v>0</v>
      </c>
      <c r="K666" s="28">
        <v>0</v>
      </c>
      <c r="L666" s="29">
        <v>0</v>
      </c>
      <c r="M666" s="6">
        <f t="shared" si="66"/>
        <v>0</v>
      </c>
      <c r="N666" s="7">
        <f t="shared" si="67"/>
        <v>0</v>
      </c>
      <c r="O666" s="35"/>
      <c r="P666" s="36"/>
      <c r="Q666" s="59"/>
      <c r="R666" s="2" t="str">
        <f t="shared" si="63"/>
        <v>4153|0|0|0|0|0|0|</v>
      </c>
      <c r="S666" s="25"/>
    </row>
    <row r="667" spans="1:19" s="34" customFormat="1" ht="12.75" customHeight="1" x14ac:dyDescent="0.2">
      <c r="A667" s="70" t="s">
        <v>194</v>
      </c>
      <c r="B667" s="61" t="s">
        <v>220</v>
      </c>
      <c r="C667" s="26">
        <v>0</v>
      </c>
      <c r="D667" s="27">
        <v>0</v>
      </c>
      <c r="E667" s="28">
        <v>0</v>
      </c>
      <c r="F667" s="29">
        <v>0</v>
      </c>
      <c r="G667" s="6">
        <f t="shared" si="62"/>
        <v>0</v>
      </c>
      <c r="H667" s="7">
        <f t="shared" si="62"/>
        <v>0</v>
      </c>
      <c r="I667" s="6">
        <f t="shared" si="64"/>
        <v>0</v>
      </c>
      <c r="J667" s="7">
        <f t="shared" si="65"/>
        <v>0</v>
      </c>
      <c r="K667" s="28">
        <v>0</v>
      </c>
      <c r="L667" s="29">
        <v>0</v>
      </c>
      <c r="M667" s="6">
        <f t="shared" si="66"/>
        <v>0</v>
      </c>
      <c r="N667" s="7">
        <f t="shared" si="67"/>
        <v>0</v>
      </c>
      <c r="O667" s="35"/>
      <c r="P667" s="36"/>
      <c r="Q667" s="59"/>
      <c r="R667" s="2" t="str">
        <f t="shared" si="63"/>
        <v>419|0|0|0|0|0|0|</v>
      </c>
      <c r="S667" s="25"/>
    </row>
    <row r="668" spans="1:19" s="34" customFormat="1" ht="12.75" customHeight="1" x14ac:dyDescent="0.2">
      <c r="A668" s="70" t="s">
        <v>195</v>
      </c>
      <c r="B668" s="61" t="s">
        <v>1774</v>
      </c>
      <c r="C668" s="26">
        <v>0</v>
      </c>
      <c r="D668" s="27">
        <v>0</v>
      </c>
      <c r="E668" s="28">
        <v>0</v>
      </c>
      <c r="F668" s="29">
        <v>0</v>
      </c>
      <c r="G668" s="6">
        <f t="shared" si="62"/>
        <v>0</v>
      </c>
      <c r="H668" s="7">
        <f t="shared" si="62"/>
        <v>0</v>
      </c>
      <c r="I668" s="6">
        <f t="shared" si="64"/>
        <v>0</v>
      </c>
      <c r="J668" s="7">
        <f t="shared" si="65"/>
        <v>0</v>
      </c>
      <c r="K668" s="28">
        <v>0</v>
      </c>
      <c r="L668" s="29">
        <v>0</v>
      </c>
      <c r="M668" s="6">
        <f t="shared" si="66"/>
        <v>0</v>
      </c>
      <c r="N668" s="7">
        <f t="shared" si="67"/>
        <v>0</v>
      </c>
      <c r="O668" s="35"/>
      <c r="P668" s="36"/>
      <c r="Q668" s="59"/>
      <c r="R668" s="2" t="str">
        <f t="shared" si="63"/>
        <v>4211|0|0|0|0|0|0|</v>
      </c>
      <c r="S668" s="25"/>
    </row>
    <row r="669" spans="1:19" s="34" customFormat="1" ht="12.75" customHeight="1" x14ac:dyDescent="0.2">
      <c r="A669" s="70" t="s">
        <v>196</v>
      </c>
      <c r="B669" s="61" t="s">
        <v>1775</v>
      </c>
      <c r="C669" s="26">
        <v>0</v>
      </c>
      <c r="D669" s="27">
        <v>0</v>
      </c>
      <c r="E669" s="28">
        <v>0</v>
      </c>
      <c r="F669" s="29">
        <v>0</v>
      </c>
      <c r="G669" s="6">
        <f t="shared" si="62"/>
        <v>0</v>
      </c>
      <c r="H669" s="7">
        <f t="shared" si="62"/>
        <v>0</v>
      </c>
      <c r="I669" s="6">
        <f t="shared" si="64"/>
        <v>0</v>
      </c>
      <c r="J669" s="7">
        <f t="shared" si="65"/>
        <v>0</v>
      </c>
      <c r="K669" s="28">
        <v>0</v>
      </c>
      <c r="L669" s="29">
        <v>0</v>
      </c>
      <c r="M669" s="6">
        <f t="shared" si="66"/>
        <v>0</v>
      </c>
      <c r="N669" s="7">
        <f t="shared" si="67"/>
        <v>0</v>
      </c>
      <c r="O669" s="35"/>
      <c r="P669" s="36"/>
      <c r="Q669" s="59"/>
      <c r="R669" s="2" t="str">
        <f t="shared" si="63"/>
        <v>4212|0|0|0|0|0|0|</v>
      </c>
      <c r="S669" s="25"/>
    </row>
    <row r="670" spans="1:19" s="34" customFormat="1" ht="12.75" customHeight="1" x14ac:dyDescent="0.2">
      <c r="A670" s="70" t="s">
        <v>197</v>
      </c>
      <c r="B670" s="61" t="s">
        <v>1776</v>
      </c>
      <c r="C670" s="26">
        <v>0</v>
      </c>
      <c r="D670" s="27">
        <v>0</v>
      </c>
      <c r="E670" s="28">
        <v>0</v>
      </c>
      <c r="F670" s="29">
        <v>0</v>
      </c>
      <c r="G670" s="6">
        <f t="shared" si="62"/>
        <v>0</v>
      </c>
      <c r="H670" s="7">
        <f t="shared" si="62"/>
        <v>0</v>
      </c>
      <c r="I670" s="6">
        <f t="shared" si="64"/>
        <v>0</v>
      </c>
      <c r="J670" s="7">
        <f t="shared" si="65"/>
        <v>0</v>
      </c>
      <c r="K670" s="28">
        <v>0</v>
      </c>
      <c r="L670" s="29">
        <v>0</v>
      </c>
      <c r="M670" s="6">
        <f t="shared" si="66"/>
        <v>0</v>
      </c>
      <c r="N670" s="7">
        <f t="shared" si="67"/>
        <v>0</v>
      </c>
      <c r="O670" s="35"/>
      <c r="P670" s="36"/>
      <c r="Q670" s="59"/>
      <c r="R670" s="2" t="str">
        <f t="shared" si="63"/>
        <v>422|0|0|0|0|0|0|</v>
      </c>
      <c r="S670" s="25"/>
    </row>
    <row r="671" spans="1:19" s="34" customFormat="1" ht="12.75" customHeight="1" x14ac:dyDescent="0.2">
      <c r="A671" s="70" t="s">
        <v>198</v>
      </c>
      <c r="B671" s="61" t="s">
        <v>1777</v>
      </c>
      <c r="C671" s="26">
        <v>0</v>
      </c>
      <c r="D671" s="27">
        <v>0</v>
      </c>
      <c r="E671" s="28">
        <v>0</v>
      </c>
      <c r="F671" s="29">
        <v>0</v>
      </c>
      <c r="G671" s="6">
        <f t="shared" si="62"/>
        <v>0</v>
      </c>
      <c r="H671" s="7">
        <f t="shared" si="62"/>
        <v>0</v>
      </c>
      <c r="I671" s="6">
        <f t="shared" si="64"/>
        <v>0</v>
      </c>
      <c r="J671" s="7">
        <f t="shared" si="65"/>
        <v>0</v>
      </c>
      <c r="K671" s="28">
        <v>0</v>
      </c>
      <c r="L671" s="29">
        <v>0</v>
      </c>
      <c r="M671" s="6">
        <f t="shared" si="66"/>
        <v>0</v>
      </c>
      <c r="N671" s="7">
        <f t="shared" si="67"/>
        <v>0</v>
      </c>
      <c r="O671" s="35"/>
      <c r="P671" s="36"/>
      <c r="Q671" s="59"/>
      <c r="R671" s="2" t="str">
        <f t="shared" si="63"/>
        <v>423|0|0|0|0|0|0|</v>
      </c>
      <c r="S671" s="25"/>
    </row>
    <row r="672" spans="1:19" s="34" customFormat="1" ht="12.75" customHeight="1" x14ac:dyDescent="0.2">
      <c r="A672" s="70" t="s">
        <v>199</v>
      </c>
      <c r="B672" s="61" t="s">
        <v>1778</v>
      </c>
      <c r="C672" s="26">
        <v>0</v>
      </c>
      <c r="D672" s="27">
        <v>0</v>
      </c>
      <c r="E672" s="28">
        <v>0</v>
      </c>
      <c r="F672" s="29">
        <v>0</v>
      </c>
      <c r="G672" s="6">
        <f t="shared" si="62"/>
        <v>0</v>
      </c>
      <c r="H672" s="7">
        <f t="shared" si="62"/>
        <v>0</v>
      </c>
      <c r="I672" s="6">
        <f t="shared" si="64"/>
        <v>0</v>
      </c>
      <c r="J672" s="7">
        <f t="shared" si="65"/>
        <v>0</v>
      </c>
      <c r="K672" s="28">
        <v>0</v>
      </c>
      <c r="L672" s="29">
        <v>0</v>
      </c>
      <c r="M672" s="6">
        <f t="shared" si="66"/>
        <v>0</v>
      </c>
      <c r="N672" s="7">
        <f t="shared" si="67"/>
        <v>0</v>
      </c>
      <c r="O672" s="35"/>
      <c r="P672" s="36"/>
      <c r="Q672" s="59"/>
      <c r="R672" s="2" t="str">
        <f t="shared" si="63"/>
        <v>424|0|0|0|0|0|0|</v>
      </c>
      <c r="S672" s="25"/>
    </row>
    <row r="673" spans="1:19" s="34" customFormat="1" ht="12.75" customHeight="1" x14ac:dyDescent="0.2">
      <c r="A673" s="70" t="s">
        <v>1779</v>
      </c>
      <c r="B673" s="61" t="s">
        <v>1780</v>
      </c>
      <c r="C673" s="26">
        <v>0</v>
      </c>
      <c r="D673" s="27">
        <v>0</v>
      </c>
      <c r="E673" s="28">
        <v>0</v>
      </c>
      <c r="F673" s="29">
        <v>0</v>
      </c>
      <c r="G673" s="6">
        <f t="shared" si="62"/>
        <v>0</v>
      </c>
      <c r="H673" s="7">
        <f t="shared" si="62"/>
        <v>0</v>
      </c>
      <c r="I673" s="6">
        <f t="shared" si="64"/>
        <v>0</v>
      </c>
      <c r="J673" s="7">
        <f t="shared" si="65"/>
        <v>0</v>
      </c>
      <c r="K673" s="28">
        <v>0</v>
      </c>
      <c r="L673" s="29">
        <v>0</v>
      </c>
      <c r="M673" s="6">
        <f t="shared" si="66"/>
        <v>0</v>
      </c>
      <c r="N673" s="7">
        <f t="shared" si="67"/>
        <v>0</v>
      </c>
      <c r="O673" s="35"/>
      <c r="P673" s="36"/>
      <c r="Q673" s="59"/>
      <c r="R673" s="2" t="str">
        <f t="shared" si="63"/>
        <v>43111|0|0|0|0|0|0|</v>
      </c>
      <c r="S673" s="25"/>
    </row>
    <row r="674" spans="1:19" s="34" customFormat="1" ht="12.75" customHeight="1" x14ac:dyDescent="0.2">
      <c r="A674" s="70" t="s">
        <v>1781</v>
      </c>
      <c r="B674" s="61" t="s">
        <v>1782</v>
      </c>
      <c r="C674" s="26">
        <v>0</v>
      </c>
      <c r="D674" s="27">
        <v>0</v>
      </c>
      <c r="E674" s="28">
        <v>0</v>
      </c>
      <c r="F674" s="29">
        <v>0</v>
      </c>
      <c r="G674" s="6">
        <f t="shared" si="62"/>
        <v>0</v>
      </c>
      <c r="H674" s="7">
        <f t="shared" si="62"/>
        <v>0</v>
      </c>
      <c r="I674" s="6">
        <f t="shared" si="64"/>
        <v>0</v>
      </c>
      <c r="J674" s="7">
        <f t="shared" si="65"/>
        <v>0</v>
      </c>
      <c r="K674" s="28">
        <v>0</v>
      </c>
      <c r="L674" s="29">
        <v>0</v>
      </c>
      <c r="M674" s="6">
        <f t="shared" si="66"/>
        <v>0</v>
      </c>
      <c r="N674" s="7">
        <f t="shared" si="67"/>
        <v>0</v>
      </c>
      <c r="O674" s="35"/>
      <c r="P674" s="36"/>
      <c r="Q674" s="59"/>
      <c r="R674" s="2" t="str">
        <f t="shared" si="63"/>
        <v>43112|0|0|0|0|0|0|</v>
      </c>
      <c r="S674" s="25"/>
    </row>
    <row r="675" spans="1:19" s="34" customFormat="1" ht="12.75" customHeight="1" x14ac:dyDescent="0.2">
      <c r="A675" s="70" t="s">
        <v>1783</v>
      </c>
      <c r="B675" s="61" t="s">
        <v>1784</v>
      </c>
      <c r="C675" s="26">
        <v>0</v>
      </c>
      <c r="D675" s="27">
        <v>0</v>
      </c>
      <c r="E675" s="28">
        <v>0</v>
      </c>
      <c r="F675" s="29">
        <v>0</v>
      </c>
      <c r="G675" s="6">
        <f t="shared" si="62"/>
        <v>0</v>
      </c>
      <c r="H675" s="7">
        <f t="shared" si="62"/>
        <v>0</v>
      </c>
      <c r="I675" s="6">
        <f t="shared" si="64"/>
        <v>0</v>
      </c>
      <c r="J675" s="7">
        <f t="shared" si="65"/>
        <v>0</v>
      </c>
      <c r="K675" s="28">
        <v>0</v>
      </c>
      <c r="L675" s="29">
        <v>0</v>
      </c>
      <c r="M675" s="6">
        <f t="shared" si="66"/>
        <v>0</v>
      </c>
      <c r="N675" s="7">
        <f t="shared" si="67"/>
        <v>0</v>
      </c>
      <c r="O675" s="35"/>
      <c r="P675" s="36"/>
      <c r="Q675" s="59"/>
      <c r="R675" s="2" t="str">
        <f t="shared" si="63"/>
        <v>43113|0|0|0|0|0|0|</v>
      </c>
      <c r="S675" s="25"/>
    </row>
    <row r="676" spans="1:19" s="34" customFormat="1" ht="12.75" customHeight="1" x14ac:dyDescent="0.2">
      <c r="A676" s="70" t="s">
        <v>1785</v>
      </c>
      <c r="B676" s="61" t="s">
        <v>1786</v>
      </c>
      <c r="C676" s="26">
        <v>0</v>
      </c>
      <c r="D676" s="27">
        <v>0</v>
      </c>
      <c r="E676" s="28">
        <v>0</v>
      </c>
      <c r="F676" s="29">
        <v>0</v>
      </c>
      <c r="G676" s="6">
        <f t="shared" si="62"/>
        <v>0</v>
      </c>
      <c r="H676" s="7">
        <f t="shared" si="62"/>
        <v>0</v>
      </c>
      <c r="I676" s="6">
        <f t="shared" si="64"/>
        <v>0</v>
      </c>
      <c r="J676" s="7">
        <f t="shared" si="65"/>
        <v>0</v>
      </c>
      <c r="K676" s="28">
        <v>0</v>
      </c>
      <c r="L676" s="29">
        <v>0</v>
      </c>
      <c r="M676" s="6">
        <f t="shared" si="66"/>
        <v>0</v>
      </c>
      <c r="N676" s="7">
        <f t="shared" si="67"/>
        <v>0</v>
      </c>
      <c r="O676" s="35"/>
      <c r="P676" s="36"/>
      <c r="Q676" s="59"/>
      <c r="R676" s="2" t="str">
        <f t="shared" si="63"/>
        <v>43114|0|0|0|0|0|0|</v>
      </c>
      <c r="S676" s="25"/>
    </row>
    <row r="677" spans="1:19" s="34" customFormat="1" ht="12.75" customHeight="1" x14ac:dyDescent="0.2">
      <c r="A677" s="70" t="s">
        <v>1787</v>
      </c>
      <c r="B677" s="61" t="s">
        <v>1788</v>
      </c>
      <c r="C677" s="26">
        <v>0</v>
      </c>
      <c r="D677" s="27">
        <v>0</v>
      </c>
      <c r="E677" s="28">
        <v>0</v>
      </c>
      <c r="F677" s="29">
        <v>0</v>
      </c>
      <c r="G677" s="6">
        <f t="shared" si="62"/>
        <v>0</v>
      </c>
      <c r="H677" s="7">
        <f t="shared" si="62"/>
        <v>0</v>
      </c>
      <c r="I677" s="6">
        <f t="shared" si="64"/>
        <v>0</v>
      </c>
      <c r="J677" s="7">
        <f t="shared" si="65"/>
        <v>0</v>
      </c>
      <c r="K677" s="28">
        <v>0</v>
      </c>
      <c r="L677" s="29">
        <v>0</v>
      </c>
      <c r="M677" s="6">
        <f t="shared" si="66"/>
        <v>0</v>
      </c>
      <c r="N677" s="7">
        <f t="shared" si="67"/>
        <v>0</v>
      </c>
      <c r="O677" s="35"/>
      <c r="P677" s="36"/>
      <c r="Q677" s="59"/>
      <c r="R677" s="2" t="str">
        <f t="shared" si="63"/>
        <v>43115|0|0|0|0|0|0|</v>
      </c>
      <c r="S677" s="25"/>
    </row>
    <row r="678" spans="1:19" s="34" customFormat="1" ht="12.75" customHeight="1" x14ac:dyDescent="0.2">
      <c r="A678" s="70" t="s">
        <v>1789</v>
      </c>
      <c r="B678" s="61" t="s">
        <v>1790</v>
      </c>
      <c r="C678" s="26">
        <v>0</v>
      </c>
      <c r="D678" s="27">
        <v>0</v>
      </c>
      <c r="E678" s="28">
        <v>0</v>
      </c>
      <c r="F678" s="29">
        <v>0</v>
      </c>
      <c r="G678" s="6">
        <f t="shared" ref="G678:G741" si="68">+C678+E678</f>
        <v>0</v>
      </c>
      <c r="H678" s="7">
        <f t="shared" ref="H678:H741" si="69">+D678+F678</f>
        <v>0</v>
      </c>
      <c r="I678" s="6">
        <f t="shared" si="64"/>
        <v>0</v>
      </c>
      <c r="J678" s="7">
        <f t="shared" si="65"/>
        <v>0</v>
      </c>
      <c r="K678" s="28">
        <v>0</v>
      </c>
      <c r="L678" s="29">
        <v>0</v>
      </c>
      <c r="M678" s="6">
        <f t="shared" si="66"/>
        <v>0</v>
      </c>
      <c r="N678" s="7">
        <f t="shared" si="67"/>
        <v>0</v>
      </c>
      <c r="O678" s="35"/>
      <c r="P678" s="36"/>
      <c r="Q678" s="59"/>
      <c r="R678" s="2" t="str">
        <f t="shared" si="63"/>
        <v>43121|0|0|0|0|0|0|</v>
      </c>
      <c r="S678" s="25"/>
    </row>
    <row r="679" spans="1:19" s="34" customFormat="1" ht="12.75" customHeight="1" x14ac:dyDescent="0.2">
      <c r="A679" s="70" t="s">
        <v>1791</v>
      </c>
      <c r="B679" s="61" t="s">
        <v>1792</v>
      </c>
      <c r="C679" s="26">
        <v>0</v>
      </c>
      <c r="D679" s="27">
        <v>0</v>
      </c>
      <c r="E679" s="28">
        <v>0</v>
      </c>
      <c r="F679" s="29">
        <v>0</v>
      </c>
      <c r="G679" s="6">
        <f t="shared" si="68"/>
        <v>0</v>
      </c>
      <c r="H679" s="7">
        <f t="shared" si="69"/>
        <v>0</v>
      </c>
      <c r="I679" s="6">
        <f t="shared" si="64"/>
        <v>0</v>
      </c>
      <c r="J679" s="7">
        <f t="shared" si="65"/>
        <v>0</v>
      </c>
      <c r="K679" s="28">
        <v>0</v>
      </c>
      <c r="L679" s="29">
        <v>0</v>
      </c>
      <c r="M679" s="6">
        <f t="shared" si="66"/>
        <v>0</v>
      </c>
      <c r="N679" s="7">
        <f t="shared" si="67"/>
        <v>0</v>
      </c>
      <c r="O679" s="35"/>
      <c r="P679" s="36"/>
      <c r="Q679" s="59"/>
      <c r="R679" s="2" t="str">
        <f t="shared" si="63"/>
        <v>43122|0|0|0|0|0|0|</v>
      </c>
      <c r="S679" s="25"/>
    </row>
    <row r="680" spans="1:19" s="34" customFormat="1" ht="12.75" customHeight="1" x14ac:dyDescent="0.2">
      <c r="A680" s="70" t="s">
        <v>1793</v>
      </c>
      <c r="B680" s="61" t="s">
        <v>1794</v>
      </c>
      <c r="C680" s="26">
        <v>0</v>
      </c>
      <c r="D680" s="27">
        <v>0</v>
      </c>
      <c r="E680" s="28">
        <v>0</v>
      </c>
      <c r="F680" s="29">
        <v>0</v>
      </c>
      <c r="G680" s="6">
        <f t="shared" si="68"/>
        <v>0</v>
      </c>
      <c r="H680" s="7">
        <f t="shared" si="69"/>
        <v>0</v>
      </c>
      <c r="I680" s="6">
        <f t="shared" si="64"/>
        <v>0</v>
      </c>
      <c r="J680" s="7">
        <f t="shared" si="65"/>
        <v>0</v>
      </c>
      <c r="K680" s="28">
        <v>0</v>
      </c>
      <c r="L680" s="29">
        <v>0</v>
      </c>
      <c r="M680" s="6">
        <f t="shared" si="66"/>
        <v>0</v>
      </c>
      <c r="N680" s="7">
        <f t="shared" si="67"/>
        <v>0</v>
      </c>
      <c r="O680" s="35"/>
      <c r="P680" s="36"/>
      <c r="Q680" s="59"/>
      <c r="R680" s="2" t="str">
        <f t="shared" si="63"/>
        <v>43123|0|0|0|0|0|0|</v>
      </c>
      <c r="S680" s="25"/>
    </row>
    <row r="681" spans="1:19" s="34" customFormat="1" ht="12.75" customHeight="1" x14ac:dyDescent="0.2">
      <c r="A681" s="70" t="s">
        <v>1795</v>
      </c>
      <c r="B681" s="61" t="s">
        <v>1796</v>
      </c>
      <c r="C681" s="26">
        <v>0</v>
      </c>
      <c r="D681" s="27">
        <v>0</v>
      </c>
      <c r="E681" s="28">
        <v>0</v>
      </c>
      <c r="F681" s="29">
        <v>0</v>
      </c>
      <c r="G681" s="6">
        <f t="shared" si="68"/>
        <v>0</v>
      </c>
      <c r="H681" s="7">
        <f t="shared" si="69"/>
        <v>0</v>
      </c>
      <c r="I681" s="6">
        <f t="shared" si="64"/>
        <v>0</v>
      </c>
      <c r="J681" s="7">
        <f t="shared" si="65"/>
        <v>0</v>
      </c>
      <c r="K681" s="28">
        <v>0</v>
      </c>
      <c r="L681" s="29">
        <v>0</v>
      </c>
      <c r="M681" s="6">
        <f t="shared" si="66"/>
        <v>0</v>
      </c>
      <c r="N681" s="7">
        <f t="shared" si="67"/>
        <v>0</v>
      </c>
      <c r="O681" s="35"/>
      <c r="P681" s="36"/>
      <c r="Q681" s="59"/>
      <c r="R681" s="2" t="str">
        <f t="shared" si="63"/>
        <v>43124|0|0|0|0|0|0|</v>
      </c>
      <c r="S681" s="25"/>
    </row>
    <row r="682" spans="1:19" s="34" customFormat="1" ht="12.75" customHeight="1" x14ac:dyDescent="0.2">
      <c r="A682" s="70" t="s">
        <v>1797</v>
      </c>
      <c r="B682" s="61" t="s">
        <v>1798</v>
      </c>
      <c r="C682" s="26">
        <v>0</v>
      </c>
      <c r="D682" s="27">
        <v>0</v>
      </c>
      <c r="E682" s="28">
        <v>0</v>
      </c>
      <c r="F682" s="29">
        <v>0</v>
      </c>
      <c r="G682" s="6">
        <f t="shared" si="68"/>
        <v>0</v>
      </c>
      <c r="H682" s="7">
        <f t="shared" si="69"/>
        <v>0</v>
      </c>
      <c r="I682" s="6">
        <f t="shared" si="64"/>
        <v>0</v>
      </c>
      <c r="J682" s="7">
        <f t="shared" si="65"/>
        <v>0</v>
      </c>
      <c r="K682" s="28">
        <v>0</v>
      </c>
      <c r="L682" s="29">
        <v>0</v>
      </c>
      <c r="M682" s="6">
        <f t="shared" si="66"/>
        <v>0</v>
      </c>
      <c r="N682" s="7">
        <f t="shared" si="67"/>
        <v>0</v>
      </c>
      <c r="O682" s="35"/>
      <c r="P682" s="36"/>
      <c r="Q682" s="59"/>
      <c r="R682" s="2" t="str">
        <f t="shared" si="63"/>
        <v>43125|0|0|0|0|0|0|</v>
      </c>
      <c r="S682" s="25"/>
    </row>
    <row r="683" spans="1:19" s="34" customFormat="1" ht="12.75" customHeight="1" x14ac:dyDescent="0.2">
      <c r="A683" s="70" t="s">
        <v>1799</v>
      </c>
      <c r="B683" s="61" t="s">
        <v>1800</v>
      </c>
      <c r="C683" s="26">
        <v>0</v>
      </c>
      <c r="D683" s="27">
        <v>0</v>
      </c>
      <c r="E683" s="28">
        <v>0</v>
      </c>
      <c r="F683" s="29">
        <v>0</v>
      </c>
      <c r="G683" s="6">
        <f t="shared" si="68"/>
        <v>0</v>
      </c>
      <c r="H683" s="7">
        <f t="shared" si="69"/>
        <v>0</v>
      </c>
      <c r="I683" s="6">
        <f t="shared" si="64"/>
        <v>0</v>
      </c>
      <c r="J683" s="7">
        <f t="shared" si="65"/>
        <v>0</v>
      </c>
      <c r="K683" s="28">
        <v>0</v>
      </c>
      <c r="L683" s="29">
        <v>0</v>
      </c>
      <c r="M683" s="6">
        <f t="shared" si="66"/>
        <v>0</v>
      </c>
      <c r="N683" s="7">
        <f t="shared" si="67"/>
        <v>0</v>
      </c>
      <c r="O683" s="35"/>
      <c r="P683" s="36"/>
      <c r="Q683" s="59"/>
      <c r="R683" s="2" t="str">
        <f t="shared" si="63"/>
        <v>43211|0|0|0|0|0|0|</v>
      </c>
      <c r="S683" s="25"/>
    </row>
    <row r="684" spans="1:19" s="34" customFormat="1" ht="12.75" customHeight="1" x14ac:dyDescent="0.2">
      <c r="A684" s="70" t="s">
        <v>1801</v>
      </c>
      <c r="B684" s="61" t="s">
        <v>1802</v>
      </c>
      <c r="C684" s="26">
        <v>0</v>
      </c>
      <c r="D684" s="27">
        <v>0</v>
      </c>
      <c r="E684" s="28">
        <v>0</v>
      </c>
      <c r="F684" s="29">
        <v>0</v>
      </c>
      <c r="G684" s="6">
        <f t="shared" si="68"/>
        <v>0</v>
      </c>
      <c r="H684" s="7">
        <f t="shared" si="69"/>
        <v>0</v>
      </c>
      <c r="I684" s="6">
        <f t="shared" si="64"/>
        <v>0</v>
      </c>
      <c r="J684" s="7">
        <f t="shared" si="65"/>
        <v>0</v>
      </c>
      <c r="K684" s="28">
        <v>0</v>
      </c>
      <c r="L684" s="29">
        <v>0</v>
      </c>
      <c r="M684" s="6">
        <f t="shared" si="66"/>
        <v>0</v>
      </c>
      <c r="N684" s="7">
        <f t="shared" si="67"/>
        <v>0</v>
      </c>
      <c r="O684" s="35"/>
      <c r="P684" s="36"/>
      <c r="Q684" s="59"/>
      <c r="R684" s="2" t="str">
        <f t="shared" si="63"/>
        <v>43212|0|0|0|0|0|0|</v>
      </c>
      <c r="S684" s="25"/>
    </row>
    <row r="685" spans="1:19" s="34" customFormat="1" ht="12.75" customHeight="1" x14ac:dyDescent="0.2">
      <c r="A685" s="70" t="s">
        <v>1803</v>
      </c>
      <c r="B685" s="61" t="s">
        <v>1804</v>
      </c>
      <c r="C685" s="26">
        <v>0</v>
      </c>
      <c r="D685" s="27">
        <v>0</v>
      </c>
      <c r="E685" s="28">
        <v>0</v>
      </c>
      <c r="F685" s="29">
        <v>0</v>
      </c>
      <c r="G685" s="6">
        <f t="shared" si="68"/>
        <v>0</v>
      </c>
      <c r="H685" s="7">
        <f t="shared" si="69"/>
        <v>0</v>
      </c>
      <c r="I685" s="6">
        <f t="shared" si="64"/>
        <v>0</v>
      </c>
      <c r="J685" s="7">
        <f t="shared" si="65"/>
        <v>0</v>
      </c>
      <c r="K685" s="28">
        <v>0</v>
      </c>
      <c r="L685" s="29">
        <v>0</v>
      </c>
      <c r="M685" s="6">
        <f t="shared" si="66"/>
        <v>0</v>
      </c>
      <c r="N685" s="7">
        <f t="shared" si="67"/>
        <v>0</v>
      </c>
      <c r="O685" s="35"/>
      <c r="P685" s="36"/>
      <c r="Q685" s="59"/>
      <c r="R685" s="2" t="str">
        <f t="shared" si="63"/>
        <v>43213|0|0|0|0|0|0|</v>
      </c>
      <c r="S685" s="25"/>
    </row>
    <row r="686" spans="1:19" s="34" customFormat="1" ht="12.75" customHeight="1" x14ac:dyDescent="0.2">
      <c r="A686" s="70" t="s">
        <v>1805</v>
      </c>
      <c r="B686" s="61" t="s">
        <v>1806</v>
      </c>
      <c r="C686" s="26">
        <v>0</v>
      </c>
      <c r="D686" s="27">
        <v>0</v>
      </c>
      <c r="E686" s="28">
        <v>0</v>
      </c>
      <c r="F686" s="29">
        <v>0</v>
      </c>
      <c r="G686" s="6">
        <f t="shared" si="68"/>
        <v>0</v>
      </c>
      <c r="H686" s="7">
        <f t="shared" si="69"/>
        <v>0</v>
      </c>
      <c r="I686" s="6">
        <f t="shared" si="64"/>
        <v>0</v>
      </c>
      <c r="J686" s="7">
        <f t="shared" si="65"/>
        <v>0</v>
      </c>
      <c r="K686" s="28">
        <v>0</v>
      </c>
      <c r="L686" s="29">
        <v>0</v>
      </c>
      <c r="M686" s="6">
        <f t="shared" si="66"/>
        <v>0</v>
      </c>
      <c r="N686" s="7">
        <f t="shared" si="67"/>
        <v>0</v>
      </c>
      <c r="O686" s="35"/>
      <c r="P686" s="36"/>
      <c r="Q686" s="59"/>
      <c r="R686" s="2" t="str">
        <f t="shared" si="63"/>
        <v>43214|0|0|0|0|0|0|</v>
      </c>
      <c r="S686" s="25"/>
    </row>
    <row r="687" spans="1:19" s="34" customFormat="1" ht="12.75" customHeight="1" x14ac:dyDescent="0.2">
      <c r="A687" s="70" t="s">
        <v>1807</v>
      </c>
      <c r="B687" s="61" t="s">
        <v>1808</v>
      </c>
      <c r="C687" s="26">
        <v>0</v>
      </c>
      <c r="D687" s="27">
        <v>0</v>
      </c>
      <c r="E687" s="28">
        <v>0</v>
      </c>
      <c r="F687" s="29">
        <v>0</v>
      </c>
      <c r="G687" s="6">
        <f t="shared" si="68"/>
        <v>0</v>
      </c>
      <c r="H687" s="7">
        <f t="shared" si="69"/>
        <v>0</v>
      </c>
      <c r="I687" s="6">
        <f t="shared" si="64"/>
        <v>0</v>
      </c>
      <c r="J687" s="7">
        <f t="shared" si="65"/>
        <v>0</v>
      </c>
      <c r="K687" s="28">
        <v>0</v>
      </c>
      <c r="L687" s="29">
        <v>0</v>
      </c>
      <c r="M687" s="6">
        <f t="shared" si="66"/>
        <v>0</v>
      </c>
      <c r="N687" s="7">
        <f t="shared" si="67"/>
        <v>0</v>
      </c>
      <c r="O687" s="35"/>
      <c r="P687" s="36"/>
      <c r="Q687" s="59"/>
      <c r="R687" s="2" t="str">
        <f t="shared" si="63"/>
        <v>43215|0|0|0|0|0|0|</v>
      </c>
      <c r="S687" s="25"/>
    </row>
    <row r="688" spans="1:19" s="34" customFormat="1" ht="12.75" customHeight="1" x14ac:dyDescent="0.2">
      <c r="A688" s="70" t="s">
        <v>1809</v>
      </c>
      <c r="B688" s="61" t="s">
        <v>1810</v>
      </c>
      <c r="C688" s="26">
        <v>0</v>
      </c>
      <c r="D688" s="27">
        <v>0</v>
      </c>
      <c r="E688" s="28">
        <v>0</v>
      </c>
      <c r="F688" s="29">
        <v>0</v>
      </c>
      <c r="G688" s="6">
        <f t="shared" si="68"/>
        <v>0</v>
      </c>
      <c r="H688" s="7">
        <f t="shared" si="69"/>
        <v>0</v>
      </c>
      <c r="I688" s="6">
        <f t="shared" si="64"/>
        <v>0</v>
      </c>
      <c r="J688" s="7">
        <f t="shared" si="65"/>
        <v>0</v>
      </c>
      <c r="K688" s="28">
        <v>0</v>
      </c>
      <c r="L688" s="29">
        <v>0</v>
      </c>
      <c r="M688" s="6">
        <f t="shared" si="66"/>
        <v>0</v>
      </c>
      <c r="N688" s="7">
        <f t="shared" si="67"/>
        <v>0</v>
      </c>
      <c r="O688" s="35"/>
      <c r="P688" s="36"/>
      <c r="Q688" s="59"/>
      <c r="R688" s="2" t="str">
        <f t="shared" si="63"/>
        <v>43311|0|0|0|0|0|0|</v>
      </c>
      <c r="S688" s="25"/>
    </row>
    <row r="689" spans="1:19" s="34" customFormat="1" ht="12.75" customHeight="1" x14ac:dyDescent="0.2">
      <c r="A689" s="70" t="s">
        <v>1811</v>
      </c>
      <c r="B689" s="61" t="s">
        <v>1812</v>
      </c>
      <c r="C689" s="26">
        <v>0</v>
      </c>
      <c r="D689" s="27">
        <v>0</v>
      </c>
      <c r="E689" s="28">
        <v>0</v>
      </c>
      <c r="F689" s="29">
        <v>0</v>
      </c>
      <c r="G689" s="6">
        <f t="shared" si="68"/>
        <v>0</v>
      </c>
      <c r="H689" s="7">
        <f t="shared" si="69"/>
        <v>0</v>
      </c>
      <c r="I689" s="6">
        <f t="shared" si="64"/>
        <v>0</v>
      </c>
      <c r="J689" s="7">
        <f t="shared" si="65"/>
        <v>0</v>
      </c>
      <c r="K689" s="28">
        <v>0</v>
      </c>
      <c r="L689" s="29">
        <v>0</v>
      </c>
      <c r="M689" s="6">
        <f t="shared" si="66"/>
        <v>0</v>
      </c>
      <c r="N689" s="7">
        <f t="shared" si="67"/>
        <v>0</v>
      </c>
      <c r="O689" s="35"/>
      <c r="P689" s="36"/>
      <c r="Q689" s="59"/>
      <c r="R689" s="2" t="str">
        <f t="shared" si="63"/>
        <v>43312|0|0|0|0|0|0|</v>
      </c>
      <c r="S689" s="25"/>
    </row>
    <row r="690" spans="1:19" s="34" customFormat="1" ht="12.75" customHeight="1" x14ac:dyDescent="0.2">
      <c r="A690" s="70" t="s">
        <v>1813</v>
      </c>
      <c r="B690" s="61" t="s">
        <v>1814</v>
      </c>
      <c r="C690" s="26">
        <v>0</v>
      </c>
      <c r="D690" s="27">
        <v>0</v>
      </c>
      <c r="E690" s="28">
        <v>0</v>
      </c>
      <c r="F690" s="29">
        <v>0</v>
      </c>
      <c r="G690" s="6">
        <f t="shared" si="68"/>
        <v>0</v>
      </c>
      <c r="H690" s="7">
        <f t="shared" si="69"/>
        <v>0</v>
      </c>
      <c r="I690" s="6">
        <f t="shared" si="64"/>
        <v>0</v>
      </c>
      <c r="J690" s="7">
        <f t="shared" si="65"/>
        <v>0</v>
      </c>
      <c r="K690" s="28">
        <v>0</v>
      </c>
      <c r="L690" s="29">
        <v>0</v>
      </c>
      <c r="M690" s="6">
        <f t="shared" si="66"/>
        <v>0</v>
      </c>
      <c r="N690" s="7">
        <f t="shared" si="67"/>
        <v>0</v>
      </c>
      <c r="O690" s="35"/>
      <c r="P690" s="36"/>
      <c r="Q690" s="59"/>
      <c r="R690" s="2" t="str">
        <f t="shared" si="63"/>
        <v>43313|0|0|0|0|0|0|</v>
      </c>
      <c r="S690" s="25"/>
    </row>
    <row r="691" spans="1:19" s="34" customFormat="1" ht="12.75" customHeight="1" x14ac:dyDescent="0.2">
      <c r="A691" s="70" t="s">
        <v>1815</v>
      </c>
      <c r="B691" s="61" t="s">
        <v>1816</v>
      </c>
      <c r="C691" s="26">
        <v>0</v>
      </c>
      <c r="D691" s="27">
        <v>0</v>
      </c>
      <c r="E691" s="28">
        <v>0</v>
      </c>
      <c r="F691" s="29">
        <v>0</v>
      </c>
      <c r="G691" s="6">
        <f t="shared" si="68"/>
        <v>0</v>
      </c>
      <c r="H691" s="7">
        <f t="shared" si="69"/>
        <v>0</v>
      </c>
      <c r="I691" s="6">
        <f t="shared" si="64"/>
        <v>0</v>
      </c>
      <c r="J691" s="7">
        <f t="shared" si="65"/>
        <v>0</v>
      </c>
      <c r="K691" s="28">
        <v>0</v>
      </c>
      <c r="L691" s="29">
        <v>0</v>
      </c>
      <c r="M691" s="6">
        <f t="shared" si="66"/>
        <v>0</v>
      </c>
      <c r="N691" s="7">
        <f t="shared" si="67"/>
        <v>0</v>
      </c>
      <c r="O691" s="35"/>
      <c r="P691" s="36"/>
      <c r="Q691" s="59"/>
      <c r="R691" s="2" t="str">
        <f t="shared" si="63"/>
        <v>43314|0|0|0|0|0|0|</v>
      </c>
      <c r="S691" s="25"/>
    </row>
    <row r="692" spans="1:19" s="34" customFormat="1" ht="12.75" customHeight="1" x14ac:dyDescent="0.2">
      <c r="A692" s="70" t="s">
        <v>1817</v>
      </c>
      <c r="B692" s="61" t="s">
        <v>1818</v>
      </c>
      <c r="C692" s="26">
        <v>0</v>
      </c>
      <c r="D692" s="27">
        <v>0</v>
      </c>
      <c r="E692" s="28">
        <v>0</v>
      </c>
      <c r="F692" s="29">
        <v>0</v>
      </c>
      <c r="G692" s="6">
        <f t="shared" si="68"/>
        <v>0</v>
      </c>
      <c r="H692" s="7">
        <f t="shared" si="69"/>
        <v>0</v>
      </c>
      <c r="I692" s="6">
        <f t="shared" si="64"/>
        <v>0</v>
      </c>
      <c r="J692" s="7">
        <f t="shared" si="65"/>
        <v>0</v>
      </c>
      <c r="K692" s="28">
        <v>0</v>
      </c>
      <c r="L692" s="29">
        <v>0</v>
      </c>
      <c r="M692" s="6">
        <f t="shared" si="66"/>
        <v>0</v>
      </c>
      <c r="N692" s="7">
        <f t="shared" si="67"/>
        <v>0</v>
      </c>
      <c r="O692" s="35"/>
      <c r="P692" s="36"/>
      <c r="Q692" s="59"/>
      <c r="R692" s="2" t="str">
        <f t="shared" si="63"/>
        <v>43315|0|0|0|0|0|0|</v>
      </c>
      <c r="S692" s="25"/>
    </row>
    <row r="693" spans="1:19" s="34" customFormat="1" ht="12.75" customHeight="1" x14ac:dyDescent="0.2">
      <c r="A693" s="70" t="s">
        <v>1819</v>
      </c>
      <c r="B693" s="61" t="s">
        <v>1820</v>
      </c>
      <c r="C693" s="26">
        <v>0</v>
      </c>
      <c r="D693" s="27">
        <v>0</v>
      </c>
      <c r="E693" s="28">
        <v>0</v>
      </c>
      <c r="F693" s="29">
        <v>0</v>
      </c>
      <c r="G693" s="6">
        <f t="shared" si="68"/>
        <v>0</v>
      </c>
      <c r="H693" s="7">
        <f t="shared" si="69"/>
        <v>0</v>
      </c>
      <c r="I693" s="6">
        <f t="shared" si="64"/>
        <v>0</v>
      </c>
      <c r="J693" s="7">
        <f t="shared" si="65"/>
        <v>0</v>
      </c>
      <c r="K693" s="28">
        <v>0</v>
      </c>
      <c r="L693" s="29">
        <v>0</v>
      </c>
      <c r="M693" s="6">
        <f t="shared" si="66"/>
        <v>0</v>
      </c>
      <c r="N693" s="7">
        <f t="shared" si="67"/>
        <v>0</v>
      </c>
      <c r="O693" s="35"/>
      <c r="P693" s="36"/>
      <c r="Q693" s="59"/>
      <c r="R693" s="2" t="str">
        <f t="shared" si="63"/>
        <v>43411|0|0|0|0|0|0|</v>
      </c>
      <c r="S693" s="25"/>
    </row>
    <row r="694" spans="1:19" s="34" customFormat="1" ht="12.75" customHeight="1" x14ac:dyDescent="0.2">
      <c r="A694" s="70" t="s">
        <v>1821</v>
      </c>
      <c r="B694" s="61" t="s">
        <v>1822</v>
      </c>
      <c r="C694" s="26">
        <v>0</v>
      </c>
      <c r="D694" s="27">
        <v>0</v>
      </c>
      <c r="E694" s="28">
        <v>0</v>
      </c>
      <c r="F694" s="29">
        <v>0</v>
      </c>
      <c r="G694" s="6">
        <f t="shared" si="68"/>
        <v>0</v>
      </c>
      <c r="H694" s="7">
        <f t="shared" si="69"/>
        <v>0</v>
      </c>
      <c r="I694" s="6">
        <f t="shared" si="64"/>
        <v>0</v>
      </c>
      <c r="J694" s="7">
        <f t="shared" si="65"/>
        <v>0</v>
      </c>
      <c r="K694" s="28">
        <v>0</v>
      </c>
      <c r="L694" s="29">
        <v>0</v>
      </c>
      <c r="M694" s="6">
        <f t="shared" si="66"/>
        <v>0</v>
      </c>
      <c r="N694" s="7">
        <f t="shared" si="67"/>
        <v>0</v>
      </c>
      <c r="O694" s="35"/>
      <c r="P694" s="36"/>
      <c r="Q694" s="59"/>
      <c r="R694" s="2" t="str">
        <f t="shared" si="63"/>
        <v>43412|0|0|0|0|0|0|</v>
      </c>
      <c r="S694" s="25"/>
    </row>
    <row r="695" spans="1:19" s="34" customFormat="1" ht="12.75" customHeight="1" x14ac:dyDescent="0.2">
      <c r="A695" s="70" t="s">
        <v>1823</v>
      </c>
      <c r="B695" s="61" t="s">
        <v>1824</v>
      </c>
      <c r="C695" s="26">
        <v>0</v>
      </c>
      <c r="D695" s="27">
        <v>0</v>
      </c>
      <c r="E695" s="28">
        <v>0</v>
      </c>
      <c r="F695" s="29">
        <v>0</v>
      </c>
      <c r="G695" s="6">
        <f t="shared" si="68"/>
        <v>0</v>
      </c>
      <c r="H695" s="7">
        <f t="shared" si="69"/>
        <v>0</v>
      </c>
      <c r="I695" s="6">
        <f t="shared" si="64"/>
        <v>0</v>
      </c>
      <c r="J695" s="7">
        <f t="shared" si="65"/>
        <v>0</v>
      </c>
      <c r="K695" s="28">
        <v>0</v>
      </c>
      <c r="L695" s="29">
        <v>0</v>
      </c>
      <c r="M695" s="6">
        <f t="shared" si="66"/>
        <v>0</v>
      </c>
      <c r="N695" s="7">
        <f t="shared" si="67"/>
        <v>0</v>
      </c>
      <c r="O695" s="35"/>
      <c r="P695" s="36"/>
      <c r="Q695" s="59"/>
      <c r="R695" s="2" t="str">
        <f t="shared" si="63"/>
        <v>43413|0|0|0|0|0|0|</v>
      </c>
      <c r="S695" s="25"/>
    </row>
    <row r="696" spans="1:19" s="34" customFormat="1" ht="12.75" customHeight="1" x14ac:dyDescent="0.2">
      <c r="A696" s="70" t="s">
        <v>1825</v>
      </c>
      <c r="B696" s="61" t="s">
        <v>1826</v>
      </c>
      <c r="C696" s="26">
        <v>0</v>
      </c>
      <c r="D696" s="27">
        <v>0</v>
      </c>
      <c r="E696" s="28">
        <v>0</v>
      </c>
      <c r="F696" s="29">
        <v>0</v>
      </c>
      <c r="G696" s="6">
        <f t="shared" si="68"/>
        <v>0</v>
      </c>
      <c r="H696" s="7">
        <f t="shared" si="69"/>
        <v>0</v>
      </c>
      <c r="I696" s="6">
        <f t="shared" si="64"/>
        <v>0</v>
      </c>
      <c r="J696" s="7">
        <f t="shared" si="65"/>
        <v>0</v>
      </c>
      <c r="K696" s="28">
        <v>0</v>
      </c>
      <c r="L696" s="29">
        <v>0</v>
      </c>
      <c r="M696" s="6">
        <f t="shared" si="66"/>
        <v>0</v>
      </c>
      <c r="N696" s="7">
        <f t="shared" si="67"/>
        <v>0</v>
      </c>
      <c r="O696" s="35"/>
      <c r="P696" s="36"/>
      <c r="Q696" s="59"/>
      <c r="R696" s="2" t="str">
        <f t="shared" si="63"/>
        <v>43414|0|0|0|0|0|0|</v>
      </c>
      <c r="S696" s="25"/>
    </row>
    <row r="697" spans="1:19" s="34" customFormat="1" ht="12.75" customHeight="1" x14ac:dyDescent="0.2">
      <c r="A697" s="70" t="s">
        <v>1827</v>
      </c>
      <c r="B697" s="61" t="s">
        <v>1828</v>
      </c>
      <c r="C697" s="26">
        <v>0</v>
      </c>
      <c r="D697" s="27">
        <v>0</v>
      </c>
      <c r="E697" s="28">
        <v>0</v>
      </c>
      <c r="F697" s="29">
        <v>0</v>
      </c>
      <c r="G697" s="6">
        <f t="shared" si="68"/>
        <v>0</v>
      </c>
      <c r="H697" s="7">
        <f t="shared" si="69"/>
        <v>0</v>
      </c>
      <c r="I697" s="6">
        <f t="shared" si="64"/>
        <v>0</v>
      </c>
      <c r="J697" s="7">
        <f t="shared" si="65"/>
        <v>0</v>
      </c>
      <c r="K697" s="28">
        <v>0</v>
      </c>
      <c r="L697" s="29">
        <v>0</v>
      </c>
      <c r="M697" s="6">
        <f t="shared" si="66"/>
        <v>0</v>
      </c>
      <c r="N697" s="7">
        <f t="shared" si="67"/>
        <v>0</v>
      </c>
      <c r="O697" s="35"/>
      <c r="P697" s="36"/>
      <c r="Q697" s="59"/>
      <c r="R697" s="2" t="str">
        <f t="shared" si="63"/>
        <v>43415|0|0|0|0|0|0|</v>
      </c>
      <c r="S697" s="25"/>
    </row>
    <row r="698" spans="1:19" s="34" customFormat="1" ht="12.75" customHeight="1" x14ac:dyDescent="0.2">
      <c r="A698" s="70" t="s">
        <v>200</v>
      </c>
      <c r="B698" s="61" t="s">
        <v>1829</v>
      </c>
      <c r="C698" s="26">
        <v>0</v>
      </c>
      <c r="D698" s="27">
        <v>0</v>
      </c>
      <c r="E698" s="28">
        <v>0</v>
      </c>
      <c r="F698" s="29">
        <v>0</v>
      </c>
      <c r="G698" s="6">
        <f t="shared" si="68"/>
        <v>0</v>
      </c>
      <c r="H698" s="7">
        <f t="shared" si="69"/>
        <v>0</v>
      </c>
      <c r="I698" s="6">
        <f t="shared" si="64"/>
        <v>0</v>
      </c>
      <c r="J698" s="7">
        <f t="shared" si="65"/>
        <v>0</v>
      </c>
      <c r="K698" s="28">
        <v>0</v>
      </c>
      <c r="L698" s="29">
        <v>0</v>
      </c>
      <c r="M698" s="6">
        <f t="shared" si="66"/>
        <v>0</v>
      </c>
      <c r="N698" s="7">
        <f t="shared" si="67"/>
        <v>0</v>
      </c>
      <c r="O698" s="35"/>
      <c r="P698" s="36"/>
      <c r="Q698" s="59"/>
      <c r="R698" s="2" t="str">
        <f t="shared" si="63"/>
        <v>4411|0|0|0|0|0|0|</v>
      </c>
      <c r="S698" s="25"/>
    </row>
    <row r="699" spans="1:19" s="34" customFormat="1" ht="12.75" customHeight="1" x14ac:dyDescent="0.2">
      <c r="A699" s="70" t="s">
        <v>201</v>
      </c>
      <c r="B699" s="61" t="s">
        <v>1830</v>
      </c>
      <c r="C699" s="26">
        <v>0</v>
      </c>
      <c r="D699" s="27">
        <v>0</v>
      </c>
      <c r="E699" s="28">
        <v>0</v>
      </c>
      <c r="F699" s="29">
        <v>0</v>
      </c>
      <c r="G699" s="6">
        <f t="shared" si="68"/>
        <v>0</v>
      </c>
      <c r="H699" s="7">
        <f t="shared" si="69"/>
        <v>0</v>
      </c>
      <c r="I699" s="6">
        <f t="shared" si="64"/>
        <v>0</v>
      </c>
      <c r="J699" s="7">
        <f t="shared" si="65"/>
        <v>0</v>
      </c>
      <c r="K699" s="28">
        <v>0</v>
      </c>
      <c r="L699" s="29">
        <v>0</v>
      </c>
      <c r="M699" s="6">
        <f t="shared" si="66"/>
        <v>0</v>
      </c>
      <c r="N699" s="7">
        <f t="shared" si="67"/>
        <v>0</v>
      </c>
      <c r="O699" s="35"/>
      <c r="P699" s="36"/>
      <c r="Q699" s="59"/>
      <c r="R699" s="2" t="str">
        <f t="shared" si="63"/>
        <v>4412|0|0|0|0|0|0|</v>
      </c>
      <c r="S699" s="25"/>
    </row>
    <row r="700" spans="1:19" s="34" customFormat="1" ht="12.75" customHeight="1" x14ac:dyDescent="0.2">
      <c r="A700" s="70" t="s">
        <v>202</v>
      </c>
      <c r="B700" s="61" t="s">
        <v>1831</v>
      </c>
      <c r="C700" s="26">
        <v>0</v>
      </c>
      <c r="D700" s="27">
        <v>0</v>
      </c>
      <c r="E700" s="28">
        <v>0</v>
      </c>
      <c r="F700" s="29">
        <v>0</v>
      </c>
      <c r="G700" s="6">
        <f t="shared" si="68"/>
        <v>0</v>
      </c>
      <c r="H700" s="7">
        <f t="shared" si="69"/>
        <v>0</v>
      </c>
      <c r="I700" s="6">
        <f t="shared" si="64"/>
        <v>0</v>
      </c>
      <c r="J700" s="7">
        <f t="shared" si="65"/>
        <v>0</v>
      </c>
      <c r="K700" s="28">
        <v>0</v>
      </c>
      <c r="L700" s="29">
        <v>0</v>
      </c>
      <c r="M700" s="6">
        <f t="shared" si="66"/>
        <v>0</v>
      </c>
      <c r="N700" s="7">
        <f t="shared" si="67"/>
        <v>0</v>
      </c>
      <c r="O700" s="35"/>
      <c r="P700" s="36"/>
      <c r="Q700" s="59"/>
      <c r="R700" s="2" t="str">
        <f t="shared" si="63"/>
        <v>4419|0|0|0|0|0|0|</v>
      </c>
      <c r="S700" s="25"/>
    </row>
    <row r="701" spans="1:19" s="34" customFormat="1" ht="12.75" customHeight="1" x14ac:dyDescent="0.2">
      <c r="A701" s="70" t="s">
        <v>203</v>
      </c>
      <c r="B701" s="61" t="s">
        <v>1832</v>
      </c>
      <c r="C701" s="26">
        <v>0</v>
      </c>
      <c r="D701" s="27">
        <v>0</v>
      </c>
      <c r="E701" s="28">
        <v>0</v>
      </c>
      <c r="F701" s="29">
        <v>0</v>
      </c>
      <c r="G701" s="6">
        <f t="shared" si="68"/>
        <v>0</v>
      </c>
      <c r="H701" s="7">
        <f t="shared" si="69"/>
        <v>0</v>
      </c>
      <c r="I701" s="6">
        <f t="shared" si="64"/>
        <v>0</v>
      </c>
      <c r="J701" s="7">
        <f t="shared" si="65"/>
        <v>0</v>
      </c>
      <c r="K701" s="28">
        <v>0</v>
      </c>
      <c r="L701" s="29">
        <v>0</v>
      </c>
      <c r="M701" s="6">
        <f t="shared" si="66"/>
        <v>0</v>
      </c>
      <c r="N701" s="7">
        <f t="shared" si="67"/>
        <v>0</v>
      </c>
      <c r="O701" s="35"/>
      <c r="P701" s="36"/>
      <c r="Q701" s="59"/>
      <c r="R701" s="2" t="str">
        <f t="shared" si="63"/>
        <v>4421|0|0|0|0|0|0|</v>
      </c>
      <c r="S701" s="25"/>
    </row>
    <row r="702" spans="1:19" s="34" customFormat="1" ht="12.75" customHeight="1" x14ac:dyDescent="0.2">
      <c r="A702" s="70" t="s">
        <v>204</v>
      </c>
      <c r="B702" s="61" t="s">
        <v>1833</v>
      </c>
      <c r="C702" s="26">
        <v>0</v>
      </c>
      <c r="D702" s="27">
        <v>0</v>
      </c>
      <c r="E702" s="28">
        <v>0</v>
      </c>
      <c r="F702" s="29">
        <v>0</v>
      </c>
      <c r="G702" s="6">
        <f t="shared" si="68"/>
        <v>0</v>
      </c>
      <c r="H702" s="7">
        <f t="shared" si="69"/>
        <v>0</v>
      </c>
      <c r="I702" s="6">
        <f t="shared" si="64"/>
        <v>0</v>
      </c>
      <c r="J702" s="7">
        <f t="shared" si="65"/>
        <v>0</v>
      </c>
      <c r="K702" s="28">
        <v>0</v>
      </c>
      <c r="L702" s="29">
        <v>0</v>
      </c>
      <c r="M702" s="6">
        <f t="shared" si="66"/>
        <v>0</v>
      </c>
      <c r="N702" s="7">
        <f t="shared" si="67"/>
        <v>0</v>
      </c>
      <c r="O702" s="35"/>
      <c r="P702" s="36"/>
      <c r="Q702" s="59"/>
      <c r="R702" s="2" t="str">
        <f t="shared" si="63"/>
        <v>4429|0|0|0|0|0|0|</v>
      </c>
      <c r="S702" s="25"/>
    </row>
    <row r="703" spans="1:19" s="34" customFormat="1" ht="12.75" customHeight="1" x14ac:dyDescent="0.2">
      <c r="A703" s="70" t="s">
        <v>205</v>
      </c>
      <c r="B703" s="61" t="s">
        <v>1834</v>
      </c>
      <c r="C703" s="26">
        <v>0</v>
      </c>
      <c r="D703" s="27">
        <v>0</v>
      </c>
      <c r="E703" s="28">
        <v>0</v>
      </c>
      <c r="F703" s="29">
        <v>0</v>
      </c>
      <c r="G703" s="6">
        <f t="shared" si="68"/>
        <v>0</v>
      </c>
      <c r="H703" s="7">
        <f t="shared" si="69"/>
        <v>0</v>
      </c>
      <c r="I703" s="6">
        <f t="shared" si="64"/>
        <v>0</v>
      </c>
      <c r="J703" s="7">
        <f t="shared" si="65"/>
        <v>0</v>
      </c>
      <c r="K703" s="28">
        <v>0</v>
      </c>
      <c r="L703" s="29">
        <v>0</v>
      </c>
      <c r="M703" s="6">
        <f t="shared" si="66"/>
        <v>0</v>
      </c>
      <c r="N703" s="7">
        <f t="shared" si="67"/>
        <v>0</v>
      </c>
      <c r="O703" s="35"/>
      <c r="P703" s="36"/>
      <c r="Q703" s="59"/>
      <c r="R703" s="2" t="str">
        <f t="shared" si="63"/>
        <v>443|0|0|0|0|0|0|</v>
      </c>
      <c r="S703" s="25"/>
    </row>
    <row r="704" spans="1:19" s="34" customFormat="1" ht="12.75" customHeight="1" x14ac:dyDescent="0.2">
      <c r="A704" s="70" t="s">
        <v>206</v>
      </c>
      <c r="B704" s="61" t="s">
        <v>1835</v>
      </c>
      <c r="C704" s="26">
        <v>0</v>
      </c>
      <c r="D704" s="27">
        <v>0</v>
      </c>
      <c r="E704" s="28">
        <v>0</v>
      </c>
      <c r="F704" s="29">
        <v>0</v>
      </c>
      <c r="G704" s="6">
        <f t="shared" si="68"/>
        <v>0</v>
      </c>
      <c r="H704" s="7">
        <f t="shared" si="69"/>
        <v>0</v>
      </c>
      <c r="I704" s="6">
        <f t="shared" si="64"/>
        <v>0</v>
      </c>
      <c r="J704" s="7">
        <f t="shared" si="65"/>
        <v>0</v>
      </c>
      <c r="K704" s="28">
        <v>0</v>
      </c>
      <c r="L704" s="29">
        <v>0</v>
      </c>
      <c r="M704" s="6">
        <f t="shared" si="66"/>
        <v>0</v>
      </c>
      <c r="N704" s="7">
        <f t="shared" si="67"/>
        <v>0</v>
      </c>
      <c r="O704" s="35"/>
      <c r="P704" s="36"/>
      <c r="Q704" s="59"/>
      <c r="R704" s="2" t="str">
        <f t="shared" si="63"/>
        <v>4511|0|0|0|0|0|0|</v>
      </c>
      <c r="S704" s="25"/>
    </row>
    <row r="705" spans="1:19" s="34" customFormat="1" ht="12.75" customHeight="1" x14ac:dyDescent="0.2">
      <c r="A705" s="70" t="s">
        <v>207</v>
      </c>
      <c r="B705" s="61" t="s">
        <v>1836</v>
      </c>
      <c r="C705" s="26">
        <v>0</v>
      </c>
      <c r="D705" s="27">
        <v>0</v>
      </c>
      <c r="E705" s="28">
        <v>0</v>
      </c>
      <c r="F705" s="29">
        <v>0</v>
      </c>
      <c r="G705" s="6">
        <f t="shared" si="68"/>
        <v>0</v>
      </c>
      <c r="H705" s="7">
        <f t="shared" si="69"/>
        <v>0</v>
      </c>
      <c r="I705" s="6">
        <f t="shared" si="64"/>
        <v>0</v>
      </c>
      <c r="J705" s="7">
        <f t="shared" si="65"/>
        <v>0</v>
      </c>
      <c r="K705" s="28">
        <v>0</v>
      </c>
      <c r="L705" s="29">
        <v>0</v>
      </c>
      <c r="M705" s="6">
        <f t="shared" si="66"/>
        <v>0</v>
      </c>
      <c r="N705" s="7">
        <f t="shared" si="67"/>
        <v>0</v>
      </c>
      <c r="O705" s="35"/>
      <c r="P705" s="36"/>
      <c r="Q705" s="59"/>
      <c r="R705" s="2" t="str">
        <f t="shared" si="63"/>
        <v>4512|0|0|0|0|0|0|</v>
      </c>
      <c r="S705" s="25"/>
    </row>
    <row r="706" spans="1:19" s="34" customFormat="1" ht="12.75" customHeight="1" x14ac:dyDescent="0.2">
      <c r="A706" s="70" t="s">
        <v>208</v>
      </c>
      <c r="B706" s="61" t="s">
        <v>1837</v>
      </c>
      <c r="C706" s="26">
        <v>0</v>
      </c>
      <c r="D706" s="27">
        <v>0</v>
      </c>
      <c r="E706" s="28">
        <v>0</v>
      </c>
      <c r="F706" s="29">
        <v>0</v>
      </c>
      <c r="G706" s="6">
        <f t="shared" si="68"/>
        <v>0</v>
      </c>
      <c r="H706" s="7">
        <f t="shared" si="69"/>
        <v>0</v>
      </c>
      <c r="I706" s="6">
        <f t="shared" si="64"/>
        <v>0</v>
      </c>
      <c r="J706" s="7">
        <f t="shared" si="65"/>
        <v>0</v>
      </c>
      <c r="K706" s="28">
        <v>0</v>
      </c>
      <c r="L706" s="29">
        <v>0</v>
      </c>
      <c r="M706" s="6">
        <f t="shared" si="66"/>
        <v>0</v>
      </c>
      <c r="N706" s="7">
        <f t="shared" si="67"/>
        <v>0</v>
      </c>
      <c r="O706" s="35"/>
      <c r="P706" s="36"/>
      <c r="Q706" s="59"/>
      <c r="R706" s="2" t="str">
        <f t="shared" si="63"/>
        <v>452|0|0|0|0|0|0|</v>
      </c>
      <c r="S706" s="25"/>
    </row>
    <row r="707" spans="1:19" s="34" customFormat="1" ht="12.75" customHeight="1" x14ac:dyDescent="0.2">
      <c r="A707" s="70" t="s">
        <v>1838</v>
      </c>
      <c r="B707" s="61" t="s">
        <v>1839</v>
      </c>
      <c r="C707" s="26">
        <v>0</v>
      </c>
      <c r="D707" s="27">
        <v>0</v>
      </c>
      <c r="E707" s="28">
        <v>0</v>
      </c>
      <c r="F707" s="29">
        <v>0</v>
      </c>
      <c r="G707" s="6">
        <f t="shared" si="68"/>
        <v>0</v>
      </c>
      <c r="H707" s="7">
        <f t="shared" si="69"/>
        <v>0</v>
      </c>
      <c r="I707" s="6">
        <f t="shared" si="64"/>
        <v>0</v>
      </c>
      <c r="J707" s="7">
        <f t="shared" si="65"/>
        <v>0</v>
      </c>
      <c r="K707" s="28">
        <v>0</v>
      </c>
      <c r="L707" s="29">
        <v>0</v>
      </c>
      <c r="M707" s="6">
        <f t="shared" si="66"/>
        <v>0</v>
      </c>
      <c r="N707" s="7">
        <f t="shared" si="67"/>
        <v>0</v>
      </c>
      <c r="O707" s="35"/>
      <c r="P707" s="36"/>
      <c r="Q707" s="59"/>
      <c r="R707" s="2" t="str">
        <f t="shared" si="63"/>
        <v>4531|0|0|0|0|0|0|</v>
      </c>
      <c r="S707" s="25"/>
    </row>
    <row r="708" spans="1:19" s="34" customFormat="1" ht="12.75" customHeight="1" x14ac:dyDescent="0.2">
      <c r="A708" s="70" t="s">
        <v>1840</v>
      </c>
      <c r="B708" s="61" t="s">
        <v>1841</v>
      </c>
      <c r="C708" s="26">
        <v>0</v>
      </c>
      <c r="D708" s="27">
        <v>0</v>
      </c>
      <c r="E708" s="28">
        <v>0</v>
      </c>
      <c r="F708" s="29">
        <v>0</v>
      </c>
      <c r="G708" s="6">
        <f t="shared" si="68"/>
        <v>0</v>
      </c>
      <c r="H708" s="7">
        <f t="shared" si="69"/>
        <v>0</v>
      </c>
      <c r="I708" s="6">
        <f t="shared" si="64"/>
        <v>0</v>
      </c>
      <c r="J708" s="7">
        <f t="shared" si="65"/>
        <v>0</v>
      </c>
      <c r="K708" s="28">
        <v>0</v>
      </c>
      <c r="L708" s="29">
        <v>0</v>
      </c>
      <c r="M708" s="6">
        <f t="shared" si="66"/>
        <v>0</v>
      </c>
      <c r="N708" s="7">
        <f t="shared" si="67"/>
        <v>0</v>
      </c>
      <c r="O708" s="35"/>
      <c r="P708" s="36"/>
      <c r="Q708" s="59"/>
      <c r="R708" s="2" t="str">
        <f t="shared" si="63"/>
        <v>4532|0|0|0|0|0|0|</v>
      </c>
      <c r="S708" s="25"/>
    </row>
    <row r="709" spans="1:19" s="34" customFormat="1" ht="12.75" customHeight="1" x14ac:dyDescent="0.2">
      <c r="A709" s="70" t="s">
        <v>1842</v>
      </c>
      <c r="B709" s="61" t="s">
        <v>1843</v>
      </c>
      <c r="C709" s="26">
        <v>0</v>
      </c>
      <c r="D709" s="27">
        <v>0</v>
      </c>
      <c r="E709" s="28">
        <v>0</v>
      </c>
      <c r="F709" s="29">
        <v>0</v>
      </c>
      <c r="G709" s="6">
        <f t="shared" si="68"/>
        <v>0</v>
      </c>
      <c r="H709" s="7">
        <f t="shared" si="69"/>
        <v>0</v>
      </c>
      <c r="I709" s="6">
        <f t="shared" si="64"/>
        <v>0</v>
      </c>
      <c r="J709" s="7">
        <f t="shared" si="65"/>
        <v>0</v>
      </c>
      <c r="K709" s="28">
        <v>0</v>
      </c>
      <c r="L709" s="29">
        <v>0</v>
      </c>
      <c r="M709" s="6">
        <f t="shared" si="66"/>
        <v>0</v>
      </c>
      <c r="N709" s="7">
        <f t="shared" si="67"/>
        <v>0</v>
      </c>
      <c r="O709" s="35"/>
      <c r="P709" s="36"/>
      <c r="Q709" s="59"/>
      <c r="R709" s="2" t="str">
        <f t="shared" ref="R709:R772" si="70">CONCATENATE(A709,"|",C709,"|",D709,"|",E709,"|",F709,"|",K709,"|",L709,"|")</f>
        <v>4533|0|0|0|0|0|0|</v>
      </c>
      <c r="S709" s="25"/>
    </row>
    <row r="710" spans="1:19" s="34" customFormat="1" ht="12.75" customHeight="1" x14ac:dyDescent="0.2">
      <c r="A710" s="70" t="s">
        <v>1844</v>
      </c>
      <c r="B710" s="61" t="s">
        <v>1845</v>
      </c>
      <c r="C710" s="26">
        <v>0</v>
      </c>
      <c r="D710" s="27">
        <v>0</v>
      </c>
      <c r="E710" s="28">
        <v>0</v>
      </c>
      <c r="F710" s="29">
        <v>0</v>
      </c>
      <c r="G710" s="6">
        <f t="shared" si="68"/>
        <v>0</v>
      </c>
      <c r="H710" s="7">
        <f t="shared" si="69"/>
        <v>0</v>
      </c>
      <c r="I710" s="6">
        <f t="shared" si="64"/>
        <v>0</v>
      </c>
      <c r="J710" s="7">
        <f t="shared" si="65"/>
        <v>0</v>
      </c>
      <c r="K710" s="28">
        <v>0</v>
      </c>
      <c r="L710" s="29">
        <v>0</v>
      </c>
      <c r="M710" s="6">
        <f t="shared" si="66"/>
        <v>0</v>
      </c>
      <c r="N710" s="7">
        <f t="shared" si="67"/>
        <v>0</v>
      </c>
      <c r="O710" s="35"/>
      <c r="P710" s="36"/>
      <c r="Q710" s="59"/>
      <c r="R710" s="2" t="str">
        <f t="shared" si="70"/>
        <v>4539|0|0|0|0|0|0|</v>
      </c>
      <c r="S710" s="25"/>
    </row>
    <row r="711" spans="1:19" s="34" customFormat="1" ht="12.75" customHeight="1" x14ac:dyDescent="0.2">
      <c r="A711" s="70" t="s">
        <v>209</v>
      </c>
      <c r="B711" s="61" t="s">
        <v>1846</v>
      </c>
      <c r="C711" s="26">
        <v>0</v>
      </c>
      <c r="D711" s="27">
        <v>0</v>
      </c>
      <c r="E711" s="28">
        <v>0</v>
      </c>
      <c r="F711" s="29">
        <v>0</v>
      </c>
      <c r="G711" s="6">
        <f t="shared" si="68"/>
        <v>0</v>
      </c>
      <c r="H711" s="7">
        <f t="shared" si="69"/>
        <v>0</v>
      </c>
      <c r="I711" s="6">
        <f t="shared" ref="I711:I774" si="71">IF($G711-$H711&gt;=0,$G711-$H711,0)</f>
        <v>0</v>
      </c>
      <c r="J711" s="7">
        <f t="shared" ref="J711:J774" si="72">IF($G711-$H711&lt;0,-$G711+$H711,0)</f>
        <v>0</v>
      </c>
      <c r="K711" s="28">
        <v>0</v>
      </c>
      <c r="L711" s="29">
        <v>0</v>
      </c>
      <c r="M711" s="6">
        <f t="shared" ref="M711:M774" si="73">IF($I711-$J711+$K711-$L711&gt;=0,$I711-$J711+$K711-$L711,0)</f>
        <v>0</v>
      </c>
      <c r="N711" s="7">
        <f t="shared" ref="N711:N774" si="74">IF($I711-$J711+$K711-$L711&lt;0,-($I711-$J711+$K711-$L711),0)</f>
        <v>0</v>
      </c>
      <c r="O711" s="35"/>
      <c r="P711" s="36"/>
      <c r="Q711" s="59"/>
      <c r="R711" s="2" t="str">
        <f t="shared" si="70"/>
        <v>4541|0|0|0|0|0|0|</v>
      </c>
      <c r="S711" s="25"/>
    </row>
    <row r="712" spans="1:19" s="34" customFormat="1" ht="12.75" customHeight="1" x14ac:dyDescent="0.2">
      <c r="A712" s="70" t="s">
        <v>210</v>
      </c>
      <c r="B712" s="61" t="s">
        <v>1847</v>
      </c>
      <c r="C712" s="26">
        <v>0</v>
      </c>
      <c r="D712" s="27">
        <v>0</v>
      </c>
      <c r="E712" s="28">
        <v>0</v>
      </c>
      <c r="F712" s="29">
        <v>0</v>
      </c>
      <c r="G712" s="6">
        <f t="shared" si="68"/>
        <v>0</v>
      </c>
      <c r="H712" s="7">
        <f t="shared" si="69"/>
        <v>0</v>
      </c>
      <c r="I712" s="6">
        <f t="shared" si="71"/>
        <v>0</v>
      </c>
      <c r="J712" s="7">
        <f t="shared" si="72"/>
        <v>0</v>
      </c>
      <c r="K712" s="28">
        <v>0</v>
      </c>
      <c r="L712" s="29">
        <v>0</v>
      </c>
      <c r="M712" s="6">
        <f t="shared" si="73"/>
        <v>0</v>
      </c>
      <c r="N712" s="7">
        <f t="shared" si="74"/>
        <v>0</v>
      </c>
      <c r="O712" s="35"/>
      <c r="P712" s="36"/>
      <c r="Q712" s="59"/>
      <c r="R712" s="2" t="str">
        <f t="shared" si="70"/>
        <v>4542|0|0|0|0|0|0|</v>
      </c>
      <c r="S712" s="25"/>
    </row>
    <row r="713" spans="1:19" s="34" customFormat="1" ht="12.75" customHeight="1" x14ac:dyDescent="0.2">
      <c r="A713" s="70" t="s">
        <v>211</v>
      </c>
      <c r="B713" s="61" t="s">
        <v>1848</v>
      </c>
      <c r="C713" s="26">
        <v>0</v>
      </c>
      <c r="D713" s="27">
        <v>0</v>
      </c>
      <c r="E713" s="28">
        <v>0</v>
      </c>
      <c r="F713" s="29">
        <v>0</v>
      </c>
      <c r="G713" s="6">
        <f t="shared" si="68"/>
        <v>0</v>
      </c>
      <c r="H713" s="7">
        <f t="shared" si="69"/>
        <v>0</v>
      </c>
      <c r="I713" s="6">
        <f t="shared" si="71"/>
        <v>0</v>
      </c>
      <c r="J713" s="7">
        <f t="shared" si="72"/>
        <v>0</v>
      </c>
      <c r="K713" s="28">
        <v>0</v>
      </c>
      <c r="L713" s="29">
        <v>0</v>
      </c>
      <c r="M713" s="6">
        <f t="shared" si="73"/>
        <v>0</v>
      </c>
      <c r="N713" s="7">
        <f t="shared" si="74"/>
        <v>0</v>
      </c>
      <c r="O713" s="35"/>
      <c r="P713" s="36"/>
      <c r="Q713" s="59"/>
      <c r="R713" s="2" t="str">
        <f t="shared" si="70"/>
        <v>4543|0|0|0|0|0|0|</v>
      </c>
      <c r="S713" s="25"/>
    </row>
    <row r="714" spans="1:19" s="34" customFormat="1" ht="12.75" customHeight="1" x14ac:dyDescent="0.2">
      <c r="A714" s="70" t="s">
        <v>212</v>
      </c>
      <c r="B714" s="61" t="s">
        <v>1849</v>
      </c>
      <c r="C714" s="26">
        <v>0</v>
      </c>
      <c r="D714" s="27">
        <v>0</v>
      </c>
      <c r="E714" s="28">
        <v>0</v>
      </c>
      <c r="F714" s="29">
        <v>0</v>
      </c>
      <c r="G714" s="6">
        <f t="shared" si="68"/>
        <v>0</v>
      </c>
      <c r="H714" s="7">
        <f t="shared" si="69"/>
        <v>0</v>
      </c>
      <c r="I714" s="6">
        <f t="shared" si="71"/>
        <v>0</v>
      </c>
      <c r="J714" s="7">
        <f t="shared" si="72"/>
        <v>0</v>
      </c>
      <c r="K714" s="28">
        <v>0</v>
      </c>
      <c r="L714" s="29">
        <v>0</v>
      </c>
      <c r="M714" s="6">
        <f t="shared" si="73"/>
        <v>0</v>
      </c>
      <c r="N714" s="7">
        <f t="shared" si="74"/>
        <v>0</v>
      </c>
      <c r="O714" s="35"/>
      <c r="P714" s="36"/>
      <c r="Q714" s="59"/>
      <c r="R714" s="2" t="str">
        <f t="shared" si="70"/>
        <v>4544|0|0|0|0|0|0|</v>
      </c>
      <c r="S714" s="25"/>
    </row>
    <row r="715" spans="1:19" s="34" customFormat="1" ht="12.75" customHeight="1" x14ac:dyDescent="0.2">
      <c r="A715" s="70" t="s">
        <v>213</v>
      </c>
      <c r="B715" s="61" t="s">
        <v>1850</v>
      </c>
      <c r="C715" s="26">
        <v>0</v>
      </c>
      <c r="D715" s="27">
        <v>0</v>
      </c>
      <c r="E715" s="28">
        <v>0</v>
      </c>
      <c r="F715" s="29">
        <v>0</v>
      </c>
      <c r="G715" s="6">
        <f t="shared" si="68"/>
        <v>0</v>
      </c>
      <c r="H715" s="7">
        <f t="shared" si="69"/>
        <v>0</v>
      </c>
      <c r="I715" s="6">
        <f t="shared" si="71"/>
        <v>0</v>
      </c>
      <c r="J715" s="7">
        <f t="shared" si="72"/>
        <v>0</v>
      </c>
      <c r="K715" s="28">
        <v>0</v>
      </c>
      <c r="L715" s="29">
        <v>0</v>
      </c>
      <c r="M715" s="6">
        <f t="shared" si="73"/>
        <v>0</v>
      </c>
      <c r="N715" s="7">
        <f t="shared" si="74"/>
        <v>0</v>
      </c>
      <c r="O715" s="35"/>
      <c r="P715" s="36"/>
      <c r="Q715" s="59"/>
      <c r="R715" s="2" t="str">
        <f t="shared" si="70"/>
        <v>4545|0|0|0|0|0|0|</v>
      </c>
      <c r="S715" s="25"/>
    </row>
    <row r="716" spans="1:19" s="34" customFormat="1" ht="12.75" customHeight="1" x14ac:dyDescent="0.2">
      <c r="A716" s="70" t="s">
        <v>214</v>
      </c>
      <c r="B716" s="61" t="s">
        <v>1851</v>
      </c>
      <c r="C716" s="26">
        <v>0</v>
      </c>
      <c r="D716" s="27">
        <v>0</v>
      </c>
      <c r="E716" s="28">
        <v>0</v>
      </c>
      <c r="F716" s="29">
        <v>0</v>
      </c>
      <c r="G716" s="6">
        <f t="shared" si="68"/>
        <v>0</v>
      </c>
      <c r="H716" s="7">
        <f t="shared" si="69"/>
        <v>0</v>
      </c>
      <c r="I716" s="6">
        <f t="shared" si="71"/>
        <v>0</v>
      </c>
      <c r="J716" s="7">
        <f t="shared" si="72"/>
        <v>0</v>
      </c>
      <c r="K716" s="28">
        <v>0</v>
      </c>
      <c r="L716" s="29">
        <v>0</v>
      </c>
      <c r="M716" s="6">
        <f t="shared" si="73"/>
        <v>0</v>
      </c>
      <c r="N716" s="7">
        <f t="shared" si="74"/>
        <v>0</v>
      </c>
      <c r="O716" s="35"/>
      <c r="P716" s="36"/>
      <c r="Q716" s="59"/>
      <c r="R716" s="2" t="str">
        <f t="shared" si="70"/>
        <v>4549|0|0|0|0|0|0|</v>
      </c>
      <c r="S716" s="25"/>
    </row>
    <row r="717" spans="1:19" s="34" customFormat="1" ht="12.75" customHeight="1" x14ac:dyDescent="0.2">
      <c r="A717" s="70" t="s">
        <v>215</v>
      </c>
      <c r="B717" s="61" t="s">
        <v>1852</v>
      </c>
      <c r="C717" s="26">
        <v>0</v>
      </c>
      <c r="D717" s="27">
        <v>0</v>
      </c>
      <c r="E717" s="28">
        <v>0</v>
      </c>
      <c r="F717" s="29">
        <v>0</v>
      </c>
      <c r="G717" s="6">
        <f t="shared" si="68"/>
        <v>0</v>
      </c>
      <c r="H717" s="7">
        <f t="shared" si="69"/>
        <v>0</v>
      </c>
      <c r="I717" s="6">
        <f t="shared" si="71"/>
        <v>0</v>
      </c>
      <c r="J717" s="7">
        <f t="shared" si="72"/>
        <v>0</v>
      </c>
      <c r="K717" s="28">
        <v>0</v>
      </c>
      <c r="L717" s="29">
        <v>0</v>
      </c>
      <c r="M717" s="6">
        <f t="shared" si="73"/>
        <v>0</v>
      </c>
      <c r="N717" s="7">
        <f t="shared" si="74"/>
        <v>0</v>
      </c>
      <c r="O717" s="35"/>
      <c r="P717" s="36"/>
      <c r="Q717" s="59"/>
      <c r="R717" s="2" t="str">
        <f t="shared" si="70"/>
        <v>45511|0|0|0|0|0|0|</v>
      </c>
      <c r="S717" s="25"/>
    </row>
    <row r="718" spans="1:19" s="34" customFormat="1" ht="12.75" customHeight="1" x14ac:dyDescent="0.2">
      <c r="A718" s="70" t="s">
        <v>216</v>
      </c>
      <c r="B718" s="61" t="s">
        <v>1853</v>
      </c>
      <c r="C718" s="26">
        <v>0</v>
      </c>
      <c r="D718" s="27">
        <v>0</v>
      </c>
      <c r="E718" s="28">
        <v>0</v>
      </c>
      <c r="F718" s="29">
        <v>0</v>
      </c>
      <c r="G718" s="6">
        <f t="shared" si="68"/>
        <v>0</v>
      </c>
      <c r="H718" s="7">
        <f t="shared" si="69"/>
        <v>0</v>
      </c>
      <c r="I718" s="6">
        <f t="shared" si="71"/>
        <v>0</v>
      </c>
      <c r="J718" s="7">
        <f t="shared" si="72"/>
        <v>0</v>
      </c>
      <c r="K718" s="28">
        <v>0</v>
      </c>
      <c r="L718" s="29">
        <v>0</v>
      </c>
      <c r="M718" s="6">
        <f t="shared" si="73"/>
        <v>0</v>
      </c>
      <c r="N718" s="7">
        <f t="shared" si="74"/>
        <v>0</v>
      </c>
      <c r="O718" s="35"/>
      <c r="P718" s="36"/>
      <c r="Q718" s="59"/>
      <c r="R718" s="2" t="str">
        <f t="shared" si="70"/>
        <v>45512|0|0|0|0|0|0|</v>
      </c>
      <c r="S718" s="25"/>
    </row>
    <row r="719" spans="1:19" s="34" customFormat="1" ht="12.75" customHeight="1" x14ac:dyDescent="0.2">
      <c r="A719" s="70" t="s">
        <v>217</v>
      </c>
      <c r="B719" s="61" t="s">
        <v>1854</v>
      </c>
      <c r="C719" s="26">
        <v>0</v>
      </c>
      <c r="D719" s="27">
        <v>0</v>
      </c>
      <c r="E719" s="28">
        <v>0</v>
      </c>
      <c r="F719" s="29">
        <v>0</v>
      </c>
      <c r="G719" s="6">
        <f t="shared" si="68"/>
        <v>0</v>
      </c>
      <c r="H719" s="7">
        <f t="shared" si="69"/>
        <v>0</v>
      </c>
      <c r="I719" s="6">
        <f t="shared" si="71"/>
        <v>0</v>
      </c>
      <c r="J719" s="7">
        <f t="shared" si="72"/>
        <v>0</v>
      </c>
      <c r="K719" s="28">
        <v>0</v>
      </c>
      <c r="L719" s="29">
        <v>0</v>
      </c>
      <c r="M719" s="6">
        <f t="shared" si="73"/>
        <v>0</v>
      </c>
      <c r="N719" s="7">
        <f t="shared" si="74"/>
        <v>0</v>
      </c>
      <c r="O719" s="35"/>
      <c r="P719" s="36"/>
      <c r="Q719" s="59"/>
      <c r="R719" s="2" t="str">
        <f t="shared" si="70"/>
        <v>4552|0|0|0|0|0|0|</v>
      </c>
      <c r="S719" s="25"/>
    </row>
    <row r="720" spans="1:19" s="34" customFormat="1" ht="12.75" customHeight="1" x14ac:dyDescent="0.2">
      <c r="A720" s="70" t="s">
        <v>218</v>
      </c>
      <c r="B720" s="61" t="s">
        <v>1855</v>
      </c>
      <c r="C720" s="26">
        <v>0</v>
      </c>
      <c r="D720" s="27">
        <v>0</v>
      </c>
      <c r="E720" s="28">
        <v>0</v>
      </c>
      <c r="F720" s="29">
        <v>0</v>
      </c>
      <c r="G720" s="6">
        <f t="shared" si="68"/>
        <v>0</v>
      </c>
      <c r="H720" s="7">
        <f t="shared" si="69"/>
        <v>0</v>
      </c>
      <c r="I720" s="6">
        <f t="shared" si="71"/>
        <v>0</v>
      </c>
      <c r="J720" s="7">
        <f t="shared" si="72"/>
        <v>0</v>
      </c>
      <c r="K720" s="28">
        <v>0</v>
      </c>
      <c r="L720" s="29">
        <v>0</v>
      </c>
      <c r="M720" s="6">
        <f t="shared" si="73"/>
        <v>0</v>
      </c>
      <c r="N720" s="7">
        <f t="shared" si="74"/>
        <v>0</v>
      </c>
      <c r="O720" s="35"/>
      <c r="P720" s="36"/>
      <c r="Q720" s="59"/>
      <c r="R720" s="2" t="str">
        <f t="shared" si="70"/>
        <v>45531|0|0|0|0|0|0|</v>
      </c>
      <c r="S720" s="25"/>
    </row>
    <row r="721" spans="1:19" s="34" customFormat="1" ht="12.75" customHeight="1" x14ac:dyDescent="0.2">
      <c r="A721" s="70" t="s">
        <v>725</v>
      </c>
      <c r="B721" s="61" t="s">
        <v>1856</v>
      </c>
      <c r="C721" s="26">
        <v>0</v>
      </c>
      <c r="D721" s="27">
        <v>0</v>
      </c>
      <c r="E721" s="28">
        <v>0</v>
      </c>
      <c r="F721" s="29">
        <v>0</v>
      </c>
      <c r="G721" s="6">
        <f t="shared" si="68"/>
        <v>0</v>
      </c>
      <c r="H721" s="7">
        <f t="shared" si="69"/>
        <v>0</v>
      </c>
      <c r="I721" s="6">
        <f t="shared" si="71"/>
        <v>0</v>
      </c>
      <c r="J721" s="7">
        <f t="shared" si="72"/>
        <v>0</v>
      </c>
      <c r="K721" s="28">
        <v>0</v>
      </c>
      <c r="L721" s="29">
        <v>0</v>
      </c>
      <c r="M721" s="6">
        <f t="shared" si="73"/>
        <v>0</v>
      </c>
      <c r="N721" s="7">
        <f t="shared" si="74"/>
        <v>0</v>
      </c>
      <c r="O721" s="35"/>
      <c r="P721" s="36"/>
      <c r="Q721" s="59"/>
      <c r="R721" s="2" t="str">
        <f t="shared" si="70"/>
        <v>45532|0|0|0|0|0|0|</v>
      </c>
      <c r="S721" s="25"/>
    </row>
    <row r="722" spans="1:19" s="34" customFormat="1" ht="12.75" customHeight="1" x14ac:dyDescent="0.2">
      <c r="A722" s="70" t="s">
        <v>726</v>
      </c>
      <c r="B722" s="61" t="s">
        <v>1857</v>
      </c>
      <c r="C722" s="26">
        <v>0</v>
      </c>
      <c r="D722" s="27">
        <v>0</v>
      </c>
      <c r="E722" s="28">
        <v>0</v>
      </c>
      <c r="F722" s="29">
        <v>0</v>
      </c>
      <c r="G722" s="6">
        <f t="shared" si="68"/>
        <v>0</v>
      </c>
      <c r="H722" s="7">
        <f t="shared" si="69"/>
        <v>0</v>
      </c>
      <c r="I722" s="6">
        <f t="shared" si="71"/>
        <v>0</v>
      </c>
      <c r="J722" s="7">
        <f t="shared" si="72"/>
        <v>0</v>
      </c>
      <c r="K722" s="28">
        <v>0</v>
      </c>
      <c r="L722" s="29">
        <v>0</v>
      </c>
      <c r="M722" s="6">
        <f t="shared" si="73"/>
        <v>0</v>
      </c>
      <c r="N722" s="7">
        <f t="shared" si="74"/>
        <v>0</v>
      </c>
      <c r="O722" s="35"/>
      <c r="P722" s="36"/>
      <c r="Q722" s="59"/>
      <c r="R722" s="2" t="str">
        <f t="shared" si="70"/>
        <v>45533|0|0|0|0|0|0|</v>
      </c>
      <c r="S722" s="25"/>
    </row>
    <row r="723" spans="1:19" s="34" customFormat="1" ht="12.75" customHeight="1" x14ac:dyDescent="0.2">
      <c r="A723" s="70" t="s">
        <v>727</v>
      </c>
      <c r="B723" s="61" t="s">
        <v>1858</v>
      </c>
      <c r="C723" s="26">
        <v>0</v>
      </c>
      <c r="D723" s="27">
        <v>0</v>
      </c>
      <c r="E723" s="28">
        <v>0</v>
      </c>
      <c r="F723" s="29">
        <v>0</v>
      </c>
      <c r="G723" s="6">
        <f t="shared" si="68"/>
        <v>0</v>
      </c>
      <c r="H723" s="7">
        <f t="shared" si="69"/>
        <v>0</v>
      </c>
      <c r="I723" s="6">
        <f t="shared" si="71"/>
        <v>0</v>
      </c>
      <c r="J723" s="7">
        <f t="shared" si="72"/>
        <v>0</v>
      </c>
      <c r="K723" s="28">
        <v>0</v>
      </c>
      <c r="L723" s="29">
        <v>0</v>
      </c>
      <c r="M723" s="6">
        <f t="shared" si="73"/>
        <v>0</v>
      </c>
      <c r="N723" s="7">
        <f t="shared" si="74"/>
        <v>0</v>
      </c>
      <c r="O723" s="35"/>
      <c r="P723" s="36"/>
      <c r="Q723" s="59"/>
      <c r="R723" s="2" t="str">
        <f t="shared" si="70"/>
        <v>45539|0|0|0|0|0|0|</v>
      </c>
      <c r="S723" s="25"/>
    </row>
    <row r="724" spans="1:19" s="34" customFormat="1" ht="12.75" customHeight="1" x14ac:dyDescent="0.2">
      <c r="A724" s="70" t="s">
        <v>1859</v>
      </c>
      <c r="B724" s="61" t="s">
        <v>1860</v>
      </c>
      <c r="C724" s="26">
        <v>0</v>
      </c>
      <c r="D724" s="27">
        <v>0</v>
      </c>
      <c r="E724" s="28">
        <v>0</v>
      </c>
      <c r="F724" s="29">
        <v>0</v>
      </c>
      <c r="G724" s="6">
        <f t="shared" si="68"/>
        <v>0</v>
      </c>
      <c r="H724" s="7">
        <f t="shared" si="69"/>
        <v>0</v>
      </c>
      <c r="I724" s="6">
        <f t="shared" si="71"/>
        <v>0</v>
      </c>
      <c r="J724" s="7">
        <f t="shared" si="72"/>
        <v>0</v>
      </c>
      <c r="K724" s="28">
        <v>0</v>
      </c>
      <c r="L724" s="29">
        <v>0</v>
      </c>
      <c r="M724" s="6">
        <f t="shared" si="73"/>
        <v>0</v>
      </c>
      <c r="N724" s="7">
        <f t="shared" si="74"/>
        <v>0</v>
      </c>
      <c r="O724" s="35"/>
      <c r="P724" s="36"/>
      <c r="Q724" s="59"/>
      <c r="R724" s="2" t="str">
        <f t="shared" si="70"/>
        <v>45541|0|0|0|0|0|0|</v>
      </c>
      <c r="S724" s="25"/>
    </row>
    <row r="725" spans="1:19" s="34" customFormat="1" ht="12.75" customHeight="1" x14ac:dyDescent="0.2">
      <c r="A725" s="70" t="s">
        <v>1861</v>
      </c>
      <c r="B725" s="61" t="s">
        <v>1862</v>
      </c>
      <c r="C725" s="26">
        <v>0</v>
      </c>
      <c r="D725" s="27">
        <v>0</v>
      </c>
      <c r="E725" s="28">
        <v>0</v>
      </c>
      <c r="F725" s="29">
        <v>0</v>
      </c>
      <c r="G725" s="6">
        <f t="shared" si="68"/>
        <v>0</v>
      </c>
      <c r="H725" s="7">
        <f t="shared" si="69"/>
        <v>0</v>
      </c>
      <c r="I725" s="6">
        <f t="shared" si="71"/>
        <v>0</v>
      </c>
      <c r="J725" s="7">
        <f t="shared" si="72"/>
        <v>0</v>
      </c>
      <c r="K725" s="28">
        <v>0</v>
      </c>
      <c r="L725" s="29">
        <v>0</v>
      </c>
      <c r="M725" s="6">
        <f t="shared" si="73"/>
        <v>0</v>
      </c>
      <c r="N725" s="7">
        <f t="shared" si="74"/>
        <v>0</v>
      </c>
      <c r="O725" s="35"/>
      <c r="P725" s="36"/>
      <c r="Q725" s="59"/>
      <c r="R725" s="2" t="str">
        <f t="shared" si="70"/>
        <v>45542|0|0|0|0|0|0|</v>
      </c>
      <c r="S725" s="25"/>
    </row>
    <row r="726" spans="1:19" s="34" customFormat="1" ht="12.75" customHeight="1" x14ac:dyDescent="0.2">
      <c r="A726" s="70" t="s">
        <v>1863</v>
      </c>
      <c r="B726" s="61" t="s">
        <v>1864</v>
      </c>
      <c r="C726" s="26">
        <v>0</v>
      </c>
      <c r="D726" s="27">
        <v>0</v>
      </c>
      <c r="E726" s="28">
        <v>0</v>
      </c>
      <c r="F726" s="29">
        <v>0</v>
      </c>
      <c r="G726" s="6">
        <f t="shared" si="68"/>
        <v>0</v>
      </c>
      <c r="H726" s="7">
        <f t="shared" si="69"/>
        <v>0</v>
      </c>
      <c r="I726" s="6">
        <f t="shared" si="71"/>
        <v>0</v>
      </c>
      <c r="J726" s="7">
        <f t="shared" si="72"/>
        <v>0</v>
      </c>
      <c r="K726" s="28">
        <v>0</v>
      </c>
      <c r="L726" s="29">
        <v>0</v>
      </c>
      <c r="M726" s="6">
        <f t="shared" si="73"/>
        <v>0</v>
      </c>
      <c r="N726" s="7">
        <f t="shared" si="74"/>
        <v>0</v>
      </c>
      <c r="O726" s="35"/>
      <c r="P726" s="36"/>
      <c r="Q726" s="59"/>
      <c r="R726" s="2" t="str">
        <f t="shared" si="70"/>
        <v>45543|0|0|0|0|0|0|</v>
      </c>
      <c r="S726" s="25"/>
    </row>
    <row r="727" spans="1:19" s="34" customFormat="1" ht="12.75" customHeight="1" x14ac:dyDescent="0.2">
      <c r="A727" s="70" t="s">
        <v>1865</v>
      </c>
      <c r="B727" s="61" t="s">
        <v>1866</v>
      </c>
      <c r="C727" s="26">
        <v>0</v>
      </c>
      <c r="D727" s="27">
        <v>0</v>
      </c>
      <c r="E727" s="28">
        <v>0</v>
      </c>
      <c r="F727" s="29">
        <v>0</v>
      </c>
      <c r="G727" s="6">
        <f t="shared" si="68"/>
        <v>0</v>
      </c>
      <c r="H727" s="7">
        <f t="shared" si="69"/>
        <v>0</v>
      </c>
      <c r="I727" s="6">
        <f t="shared" si="71"/>
        <v>0</v>
      </c>
      <c r="J727" s="7">
        <f t="shared" si="72"/>
        <v>0</v>
      </c>
      <c r="K727" s="28">
        <v>0</v>
      </c>
      <c r="L727" s="29">
        <v>0</v>
      </c>
      <c r="M727" s="6">
        <f t="shared" si="73"/>
        <v>0</v>
      </c>
      <c r="N727" s="7">
        <f t="shared" si="74"/>
        <v>0</v>
      </c>
      <c r="O727" s="35"/>
      <c r="P727" s="36"/>
      <c r="Q727" s="59"/>
      <c r="R727" s="2" t="str">
        <f t="shared" si="70"/>
        <v>45544|0|0|0|0|0|0|</v>
      </c>
      <c r="S727" s="25"/>
    </row>
    <row r="728" spans="1:19" s="34" customFormat="1" ht="12.75" customHeight="1" x14ac:dyDescent="0.2">
      <c r="A728" s="70" t="s">
        <v>1867</v>
      </c>
      <c r="B728" s="61" t="s">
        <v>1868</v>
      </c>
      <c r="C728" s="26">
        <v>0</v>
      </c>
      <c r="D728" s="27">
        <v>0</v>
      </c>
      <c r="E728" s="28">
        <v>0</v>
      </c>
      <c r="F728" s="29">
        <v>0</v>
      </c>
      <c r="G728" s="6">
        <f t="shared" si="68"/>
        <v>0</v>
      </c>
      <c r="H728" s="7">
        <f t="shared" si="69"/>
        <v>0</v>
      </c>
      <c r="I728" s="6">
        <f t="shared" si="71"/>
        <v>0</v>
      </c>
      <c r="J728" s="7">
        <f t="shared" si="72"/>
        <v>0</v>
      </c>
      <c r="K728" s="28">
        <v>0</v>
      </c>
      <c r="L728" s="29">
        <v>0</v>
      </c>
      <c r="M728" s="6">
        <f t="shared" si="73"/>
        <v>0</v>
      </c>
      <c r="N728" s="7">
        <f t="shared" si="74"/>
        <v>0</v>
      </c>
      <c r="O728" s="35"/>
      <c r="P728" s="36"/>
      <c r="Q728" s="59"/>
      <c r="R728" s="2" t="str">
        <f t="shared" si="70"/>
        <v>45545|0|0|0|0|0|0|</v>
      </c>
      <c r="S728" s="25"/>
    </row>
    <row r="729" spans="1:19" s="34" customFormat="1" ht="12.75" customHeight="1" x14ac:dyDescent="0.2">
      <c r="A729" s="70" t="s">
        <v>1869</v>
      </c>
      <c r="B729" s="61" t="s">
        <v>1870</v>
      </c>
      <c r="C729" s="26">
        <v>0</v>
      </c>
      <c r="D729" s="27">
        <v>0</v>
      </c>
      <c r="E729" s="28">
        <v>0</v>
      </c>
      <c r="F729" s="29">
        <v>0</v>
      </c>
      <c r="G729" s="6">
        <f t="shared" si="68"/>
        <v>0</v>
      </c>
      <c r="H729" s="7">
        <f t="shared" si="69"/>
        <v>0</v>
      </c>
      <c r="I729" s="6">
        <f t="shared" si="71"/>
        <v>0</v>
      </c>
      <c r="J729" s="7">
        <f t="shared" si="72"/>
        <v>0</v>
      </c>
      <c r="K729" s="28">
        <v>0</v>
      </c>
      <c r="L729" s="29">
        <v>0</v>
      </c>
      <c r="M729" s="6">
        <f t="shared" si="73"/>
        <v>0</v>
      </c>
      <c r="N729" s="7">
        <f t="shared" si="74"/>
        <v>0</v>
      </c>
      <c r="O729" s="35"/>
      <c r="P729" s="36"/>
      <c r="Q729" s="59"/>
      <c r="R729" s="2" t="str">
        <f t="shared" si="70"/>
        <v>45549|0|0|0|0|0|0|</v>
      </c>
      <c r="S729" s="25"/>
    </row>
    <row r="730" spans="1:19" s="34" customFormat="1" ht="12.75" customHeight="1" x14ac:dyDescent="0.2">
      <c r="A730" s="70" t="s">
        <v>728</v>
      </c>
      <c r="B730" s="61" t="s">
        <v>1871</v>
      </c>
      <c r="C730" s="26">
        <v>0</v>
      </c>
      <c r="D730" s="27">
        <v>0</v>
      </c>
      <c r="E730" s="28">
        <v>0</v>
      </c>
      <c r="F730" s="29">
        <v>0</v>
      </c>
      <c r="G730" s="6">
        <f t="shared" si="68"/>
        <v>0</v>
      </c>
      <c r="H730" s="7">
        <f t="shared" si="69"/>
        <v>0</v>
      </c>
      <c r="I730" s="6">
        <f t="shared" si="71"/>
        <v>0</v>
      </c>
      <c r="J730" s="7">
        <f t="shared" si="72"/>
        <v>0</v>
      </c>
      <c r="K730" s="28">
        <v>0</v>
      </c>
      <c r="L730" s="29">
        <v>0</v>
      </c>
      <c r="M730" s="6">
        <f t="shared" si="73"/>
        <v>0</v>
      </c>
      <c r="N730" s="7">
        <f t="shared" si="74"/>
        <v>0</v>
      </c>
      <c r="O730" s="35"/>
      <c r="P730" s="36"/>
      <c r="Q730" s="59"/>
      <c r="R730" s="2" t="str">
        <f t="shared" si="70"/>
        <v>456|0|0|0|0|0|0|</v>
      </c>
      <c r="S730" s="25"/>
    </row>
    <row r="731" spans="1:19" s="34" customFormat="1" ht="12.75" customHeight="1" x14ac:dyDescent="0.2">
      <c r="A731" s="70" t="s">
        <v>729</v>
      </c>
      <c r="B731" s="61" t="s">
        <v>1872</v>
      </c>
      <c r="C731" s="26">
        <v>0</v>
      </c>
      <c r="D731" s="27">
        <v>0</v>
      </c>
      <c r="E731" s="28">
        <v>0</v>
      </c>
      <c r="F731" s="29">
        <v>0</v>
      </c>
      <c r="G731" s="6">
        <f t="shared" si="68"/>
        <v>0</v>
      </c>
      <c r="H731" s="7">
        <f t="shared" si="69"/>
        <v>0</v>
      </c>
      <c r="I731" s="6">
        <f t="shared" si="71"/>
        <v>0</v>
      </c>
      <c r="J731" s="7">
        <f t="shared" si="72"/>
        <v>0</v>
      </c>
      <c r="K731" s="28">
        <v>0</v>
      </c>
      <c r="L731" s="29">
        <v>0</v>
      </c>
      <c r="M731" s="6">
        <f t="shared" si="73"/>
        <v>0</v>
      </c>
      <c r="N731" s="7">
        <f t="shared" si="74"/>
        <v>0</v>
      </c>
      <c r="O731" s="35"/>
      <c r="P731" s="36"/>
      <c r="Q731" s="59"/>
      <c r="R731" s="2" t="str">
        <f t="shared" si="70"/>
        <v>461|0|0|0|0|0|0|</v>
      </c>
      <c r="S731" s="25"/>
    </row>
    <row r="732" spans="1:19" s="34" customFormat="1" ht="12.75" customHeight="1" x14ac:dyDescent="0.2">
      <c r="A732" s="70" t="s">
        <v>730</v>
      </c>
      <c r="B732" s="61" t="s">
        <v>1873</v>
      </c>
      <c r="C732" s="26">
        <v>0</v>
      </c>
      <c r="D732" s="27">
        <v>0</v>
      </c>
      <c r="E732" s="28">
        <v>0</v>
      </c>
      <c r="F732" s="29">
        <v>0</v>
      </c>
      <c r="G732" s="6">
        <f t="shared" si="68"/>
        <v>0</v>
      </c>
      <c r="H732" s="7">
        <f t="shared" si="69"/>
        <v>0</v>
      </c>
      <c r="I732" s="6">
        <f t="shared" si="71"/>
        <v>0</v>
      </c>
      <c r="J732" s="7">
        <f t="shared" si="72"/>
        <v>0</v>
      </c>
      <c r="K732" s="28">
        <v>0</v>
      </c>
      <c r="L732" s="29">
        <v>0</v>
      </c>
      <c r="M732" s="6">
        <f t="shared" si="73"/>
        <v>0</v>
      </c>
      <c r="N732" s="7">
        <f t="shared" si="74"/>
        <v>0</v>
      </c>
      <c r="O732" s="35"/>
      <c r="P732" s="36"/>
      <c r="Q732" s="59"/>
      <c r="R732" s="2" t="str">
        <f t="shared" si="70"/>
        <v>4641|0|0|0|0|0|0|</v>
      </c>
      <c r="S732" s="25"/>
    </row>
    <row r="733" spans="1:19" s="34" customFormat="1" ht="12.75" customHeight="1" x14ac:dyDescent="0.2">
      <c r="A733" s="70" t="s">
        <v>1874</v>
      </c>
      <c r="B733" s="61" t="s">
        <v>1875</v>
      </c>
      <c r="C733" s="26">
        <v>0</v>
      </c>
      <c r="D733" s="27">
        <v>0</v>
      </c>
      <c r="E733" s="28">
        <v>0</v>
      </c>
      <c r="F733" s="29">
        <v>0</v>
      </c>
      <c r="G733" s="6">
        <f t="shared" si="68"/>
        <v>0</v>
      </c>
      <c r="H733" s="7">
        <f t="shared" si="69"/>
        <v>0</v>
      </c>
      <c r="I733" s="6">
        <f t="shared" si="71"/>
        <v>0</v>
      </c>
      <c r="J733" s="7">
        <f t="shared" si="72"/>
        <v>0</v>
      </c>
      <c r="K733" s="28">
        <v>0</v>
      </c>
      <c r="L733" s="29">
        <v>0</v>
      </c>
      <c r="M733" s="6">
        <f t="shared" si="73"/>
        <v>0</v>
      </c>
      <c r="N733" s="7">
        <f t="shared" si="74"/>
        <v>0</v>
      </c>
      <c r="O733" s="35"/>
      <c r="P733" s="36"/>
      <c r="Q733" s="59"/>
      <c r="R733" s="2" t="str">
        <f t="shared" si="70"/>
        <v>46421|0|0|0|0|0|0|</v>
      </c>
      <c r="S733" s="25"/>
    </row>
    <row r="734" spans="1:19" s="34" customFormat="1" ht="12.75" customHeight="1" x14ac:dyDescent="0.2">
      <c r="A734" s="72" t="s">
        <v>1876</v>
      </c>
      <c r="B734" s="61" t="s">
        <v>1877</v>
      </c>
      <c r="C734" s="26">
        <v>0</v>
      </c>
      <c r="D734" s="27">
        <v>0</v>
      </c>
      <c r="E734" s="28">
        <v>0</v>
      </c>
      <c r="F734" s="29">
        <v>0</v>
      </c>
      <c r="G734" s="6">
        <f t="shared" si="68"/>
        <v>0</v>
      </c>
      <c r="H734" s="7">
        <f t="shared" si="69"/>
        <v>0</v>
      </c>
      <c r="I734" s="6">
        <f t="shared" si="71"/>
        <v>0</v>
      </c>
      <c r="J734" s="7">
        <f t="shared" si="72"/>
        <v>0</v>
      </c>
      <c r="K734" s="28">
        <v>0</v>
      </c>
      <c r="L734" s="29">
        <v>0</v>
      </c>
      <c r="M734" s="6">
        <f t="shared" si="73"/>
        <v>0</v>
      </c>
      <c r="N734" s="7">
        <f t="shared" si="74"/>
        <v>0</v>
      </c>
      <c r="O734" s="35"/>
      <c r="P734" s="36"/>
      <c r="Q734" s="59"/>
      <c r="R734" s="2" t="str">
        <f t="shared" si="70"/>
        <v>46422|0|0|0|0|0|0|</v>
      </c>
      <c r="S734" s="25"/>
    </row>
    <row r="735" spans="1:19" s="34" customFormat="1" ht="12.75" customHeight="1" x14ac:dyDescent="0.2">
      <c r="A735" s="72" t="s">
        <v>1878</v>
      </c>
      <c r="B735" s="61" t="s">
        <v>1879</v>
      </c>
      <c r="C735" s="26">
        <v>0</v>
      </c>
      <c r="D735" s="27">
        <v>0</v>
      </c>
      <c r="E735" s="28">
        <v>0</v>
      </c>
      <c r="F735" s="29">
        <v>0</v>
      </c>
      <c r="G735" s="6">
        <f t="shared" si="68"/>
        <v>0</v>
      </c>
      <c r="H735" s="7">
        <f t="shared" si="69"/>
        <v>0</v>
      </c>
      <c r="I735" s="6">
        <f t="shared" si="71"/>
        <v>0</v>
      </c>
      <c r="J735" s="7">
        <f t="shared" si="72"/>
        <v>0</v>
      </c>
      <c r="K735" s="28">
        <v>0</v>
      </c>
      <c r="L735" s="29">
        <v>0</v>
      </c>
      <c r="M735" s="6">
        <f t="shared" si="73"/>
        <v>0</v>
      </c>
      <c r="N735" s="7">
        <f t="shared" si="74"/>
        <v>0</v>
      </c>
      <c r="O735" s="35"/>
      <c r="P735" s="36"/>
      <c r="Q735" s="59"/>
      <c r="R735" s="2" t="str">
        <f t="shared" si="70"/>
        <v>4651|0|0|0|0|0|0|</v>
      </c>
      <c r="S735" s="25"/>
    </row>
    <row r="736" spans="1:19" s="34" customFormat="1" ht="12.75" customHeight="1" x14ac:dyDescent="0.2">
      <c r="A736" s="72" t="s">
        <v>1880</v>
      </c>
      <c r="B736" s="61" t="s">
        <v>1881</v>
      </c>
      <c r="C736" s="26">
        <v>0</v>
      </c>
      <c r="D736" s="27">
        <v>0</v>
      </c>
      <c r="E736" s="28">
        <v>0</v>
      </c>
      <c r="F736" s="29">
        <v>0</v>
      </c>
      <c r="G736" s="6">
        <f t="shared" si="68"/>
        <v>0</v>
      </c>
      <c r="H736" s="7">
        <f t="shared" si="69"/>
        <v>0</v>
      </c>
      <c r="I736" s="6">
        <f t="shared" si="71"/>
        <v>0</v>
      </c>
      <c r="J736" s="7">
        <f t="shared" si="72"/>
        <v>0</v>
      </c>
      <c r="K736" s="28">
        <v>0</v>
      </c>
      <c r="L736" s="29">
        <v>0</v>
      </c>
      <c r="M736" s="6">
        <f t="shared" si="73"/>
        <v>0</v>
      </c>
      <c r="N736" s="7">
        <f t="shared" si="74"/>
        <v>0</v>
      </c>
      <c r="O736" s="35"/>
      <c r="P736" s="36"/>
      <c r="Q736" s="59"/>
      <c r="R736" s="2" t="str">
        <f t="shared" si="70"/>
        <v>4652|0|0|0|0|0|0|</v>
      </c>
      <c r="S736" s="25"/>
    </row>
    <row r="737" spans="1:19" s="34" customFormat="1" ht="12.75" customHeight="1" x14ac:dyDescent="0.2">
      <c r="A737" s="72" t="s">
        <v>1882</v>
      </c>
      <c r="B737" s="61" t="s">
        <v>1883</v>
      </c>
      <c r="C737" s="26">
        <v>0</v>
      </c>
      <c r="D737" s="27">
        <v>0</v>
      </c>
      <c r="E737" s="28">
        <v>0</v>
      </c>
      <c r="F737" s="29">
        <v>0</v>
      </c>
      <c r="G737" s="6">
        <f t="shared" si="68"/>
        <v>0</v>
      </c>
      <c r="H737" s="7">
        <f t="shared" si="69"/>
        <v>0</v>
      </c>
      <c r="I737" s="6">
        <f t="shared" si="71"/>
        <v>0</v>
      </c>
      <c r="J737" s="7">
        <f t="shared" si="72"/>
        <v>0</v>
      </c>
      <c r="K737" s="28">
        <v>0</v>
      </c>
      <c r="L737" s="29">
        <v>0</v>
      </c>
      <c r="M737" s="6">
        <f t="shared" si="73"/>
        <v>0</v>
      </c>
      <c r="N737" s="7">
        <f t="shared" si="74"/>
        <v>0</v>
      </c>
      <c r="O737" s="35"/>
      <c r="P737" s="36"/>
      <c r="Q737" s="59"/>
      <c r="R737" s="2" t="str">
        <f t="shared" si="70"/>
        <v>4653|0|0|0|0|0|0|</v>
      </c>
      <c r="S737" s="25"/>
    </row>
    <row r="738" spans="1:19" s="34" customFormat="1" ht="12.75" customHeight="1" x14ac:dyDescent="0.2">
      <c r="A738" s="72" t="s">
        <v>1884</v>
      </c>
      <c r="B738" s="61" t="s">
        <v>1885</v>
      </c>
      <c r="C738" s="26">
        <v>0</v>
      </c>
      <c r="D738" s="27">
        <v>0</v>
      </c>
      <c r="E738" s="28">
        <v>0</v>
      </c>
      <c r="F738" s="29">
        <v>0</v>
      </c>
      <c r="G738" s="6">
        <f t="shared" si="68"/>
        <v>0</v>
      </c>
      <c r="H738" s="7">
        <f t="shared" si="69"/>
        <v>0</v>
      </c>
      <c r="I738" s="6">
        <f t="shared" si="71"/>
        <v>0</v>
      </c>
      <c r="J738" s="7">
        <f t="shared" si="72"/>
        <v>0</v>
      </c>
      <c r="K738" s="28">
        <v>0</v>
      </c>
      <c r="L738" s="29">
        <v>0</v>
      </c>
      <c r="M738" s="6">
        <f t="shared" si="73"/>
        <v>0</v>
      </c>
      <c r="N738" s="7">
        <f t="shared" si="74"/>
        <v>0</v>
      </c>
      <c r="O738" s="35"/>
      <c r="P738" s="36"/>
      <c r="Q738" s="59"/>
      <c r="R738" s="2" t="str">
        <f t="shared" si="70"/>
        <v>4654|0|0|0|0|0|0|</v>
      </c>
      <c r="S738" s="25"/>
    </row>
    <row r="739" spans="1:19" s="34" customFormat="1" ht="12.75" customHeight="1" x14ac:dyDescent="0.2">
      <c r="A739" s="72" t="s">
        <v>1886</v>
      </c>
      <c r="B739" s="61" t="s">
        <v>1887</v>
      </c>
      <c r="C739" s="26">
        <v>0</v>
      </c>
      <c r="D739" s="27">
        <v>0</v>
      </c>
      <c r="E739" s="28">
        <v>0</v>
      </c>
      <c r="F739" s="29">
        <v>0</v>
      </c>
      <c r="G739" s="6">
        <f t="shared" si="68"/>
        <v>0</v>
      </c>
      <c r="H739" s="7">
        <f t="shared" si="69"/>
        <v>0</v>
      </c>
      <c r="I739" s="6">
        <f t="shared" si="71"/>
        <v>0</v>
      </c>
      <c r="J739" s="7">
        <f t="shared" si="72"/>
        <v>0</v>
      </c>
      <c r="K739" s="28">
        <v>0</v>
      </c>
      <c r="L739" s="29">
        <v>0</v>
      </c>
      <c r="M739" s="6">
        <f t="shared" si="73"/>
        <v>0</v>
      </c>
      <c r="N739" s="7">
        <f t="shared" si="74"/>
        <v>0</v>
      </c>
      <c r="O739" s="35"/>
      <c r="P739" s="36"/>
      <c r="Q739" s="59"/>
      <c r="R739" s="2" t="str">
        <f t="shared" si="70"/>
        <v>4655|0|0|0|0|0|0|</v>
      </c>
      <c r="S739" s="25"/>
    </row>
    <row r="740" spans="1:19" s="34" customFormat="1" ht="12.75" customHeight="1" x14ac:dyDescent="0.2">
      <c r="A740" s="72" t="s">
        <v>1888</v>
      </c>
      <c r="B740" s="61" t="s">
        <v>1889</v>
      </c>
      <c r="C740" s="26">
        <v>0</v>
      </c>
      <c r="D740" s="27">
        <v>0</v>
      </c>
      <c r="E740" s="28">
        <v>0</v>
      </c>
      <c r="F740" s="29">
        <v>0</v>
      </c>
      <c r="G740" s="6">
        <f t="shared" si="68"/>
        <v>0</v>
      </c>
      <c r="H740" s="7">
        <f t="shared" si="69"/>
        <v>0</v>
      </c>
      <c r="I740" s="6">
        <f t="shared" si="71"/>
        <v>0</v>
      </c>
      <c r="J740" s="7">
        <f t="shared" si="72"/>
        <v>0</v>
      </c>
      <c r="K740" s="28">
        <v>0</v>
      </c>
      <c r="L740" s="29">
        <v>0</v>
      </c>
      <c r="M740" s="6">
        <f t="shared" si="73"/>
        <v>0</v>
      </c>
      <c r="N740" s="7">
        <f t="shared" si="74"/>
        <v>0</v>
      </c>
      <c r="O740" s="35"/>
      <c r="P740" s="36"/>
      <c r="Q740" s="59"/>
      <c r="R740" s="2" t="str">
        <f t="shared" si="70"/>
        <v>4656|0|0|0|0|0|0|</v>
      </c>
      <c r="S740" s="25"/>
    </row>
    <row r="741" spans="1:19" s="34" customFormat="1" ht="12.75" customHeight="1" x14ac:dyDescent="0.2">
      <c r="A741" s="72" t="s">
        <v>731</v>
      </c>
      <c r="B741" s="61" t="s">
        <v>1890</v>
      </c>
      <c r="C741" s="26">
        <v>0</v>
      </c>
      <c r="D741" s="27">
        <v>0</v>
      </c>
      <c r="E741" s="28">
        <v>0</v>
      </c>
      <c r="F741" s="29">
        <v>0</v>
      </c>
      <c r="G741" s="6">
        <f t="shared" si="68"/>
        <v>0</v>
      </c>
      <c r="H741" s="7">
        <f t="shared" si="69"/>
        <v>0</v>
      </c>
      <c r="I741" s="6">
        <f t="shared" si="71"/>
        <v>0</v>
      </c>
      <c r="J741" s="7">
        <f t="shared" si="72"/>
        <v>0</v>
      </c>
      <c r="K741" s="28">
        <v>0</v>
      </c>
      <c r="L741" s="29">
        <v>0</v>
      </c>
      <c r="M741" s="6">
        <f t="shared" si="73"/>
        <v>0</v>
      </c>
      <c r="N741" s="7">
        <f t="shared" si="74"/>
        <v>0</v>
      </c>
      <c r="O741" s="35"/>
      <c r="P741" s="36"/>
      <c r="Q741" s="59"/>
      <c r="R741" s="2" t="str">
        <f t="shared" si="70"/>
        <v>467|0|0|0|0|0|0|</v>
      </c>
      <c r="S741" s="25"/>
    </row>
    <row r="742" spans="1:19" s="34" customFormat="1" ht="12.75" customHeight="1" x14ac:dyDescent="0.2">
      <c r="A742" s="72" t="s">
        <v>732</v>
      </c>
      <c r="B742" s="61" t="s">
        <v>1891</v>
      </c>
      <c r="C742" s="26">
        <v>0</v>
      </c>
      <c r="D742" s="27">
        <v>0</v>
      </c>
      <c r="E742" s="28">
        <v>0</v>
      </c>
      <c r="F742" s="29">
        <v>0</v>
      </c>
      <c r="G742" s="6">
        <f t="shared" ref="G742:G805" si="75">+C742+E742</f>
        <v>0</v>
      </c>
      <c r="H742" s="7">
        <f t="shared" ref="H742:H805" si="76">+D742+F742</f>
        <v>0</v>
      </c>
      <c r="I742" s="6">
        <f t="shared" si="71"/>
        <v>0</v>
      </c>
      <c r="J742" s="7">
        <f t="shared" si="72"/>
        <v>0</v>
      </c>
      <c r="K742" s="28">
        <v>0</v>
      </c>
      <c r="L742" s="29">
        <v>0</v>
      </c>
      <c r="M742" s="6">
        <f t="shared" si="73"/>
        <v>0</v>
      </c>
      <c r="N742" s="7">
        <f t="shared" si="74"/>
        <v>0</v>
      </c>
      <c r="O742" s="35"/>
      <c r="P742" s="36"/>
      <c r="Q742" s="59"/>
      <c r="R742" s="2" t="str">
        <f t="shared" si="70"/>
        <v>4691|0|0|0|0|0|0|</v>
      </c>
      <c r="S742" s="25"/>
    </row>
    <row r="743" spans="1:19" s="34" customFormat="1" ht="12.75" customHeight="1" x14ac:dyDescent="0.2">
      <c r="A743" s="72" t="s">
        <v>1892</v>
      </c>
      <c r="B743" s="61" t="s">
        <v>1893</v>
      </c>
      <c r="C743" s="26">
        <v>0</v>
      </c>
      <c r="D743" s="27">
        <v>0</v>
      </c>
      <c r="E743" s="28">
        <v>0</v>
      </c>
      <c r="F743" s="29">
        <v>0</v>
      </c>
      <c r="G743" s="6">
        <f t="shared" si="75"/>
        <v>0</v>
      </c>
      <c r="H743" s="7">
        <f t="shared" si="76"/>
        <v>0</v>
      </c>
      <c r="I743" s="6">
        <f t="shared" si="71"/>
        <v>0</v>
      </c>
      <c r="J743" s="7">
        <f t="shared" si="72"/>
        <v>0</v>
      </c>
      <c r="K743" s="28">
        <v>0</v>
      </c>
      <c r="L743" s="29">
        <v>0</v>
      </c>
      <c r="M743" s="6">
        <f t="shared" si="73"/>
        <v>0</v>
      </c>
      <c r="N743" s="7">
        <f t="shared" si="74"/>
        <v>0</v>
      </c>
      <c r="O743" s="35"/>
      <c r="P743" s="36"/>
      <c r="Q743" s="59"/>
      <c r="R743" s="2" t="str">
        <f t="shared" si="70"/>
        <v>4692|0|0|0|0|0|0|</v>
      </c>
      <c r="S743" s="25"/>
    </row>
    <row r="744" spans="1:19" s="34" customFormat="1" ht="12.75" customHeight="1" x14ac:dyDescent="0.2">
      <c r="A744" s="72" t="s">
        <v>1894</v>
      </c>
      <c r="B744" s="61" t="s">
        <v>1895</v>
      </c>
      <c r="C744" s="26">
        <v>0</v>
      </c>
      <c r="D744" s="27">
        <v>0</v>
      </c>
      <c r="E744" s="28">
        <v>0</v>
      </c>
      <c r="F744" s="29">
        <v>0</v>
      </c>
      <c r="G744" s="6">
        <f t="shared" si="75"/>
        <v>0</v>
      </c>
      <c r="H744" s="7">
        <f t="shared" si="76"/>
        <v>0</v>
      </c>
      <c r="I744" s="6">
        <f t="shared" si="71"/>
        <v>0</v>
      </c>
      <c r="J744" s="7">
        <f t="shared" si="72"/>
        <v>0</v>
      </c>
      <c r="K744" s="28">
        <v>0</v>
      </c>
      <c r="L744" s="29">
        <v>0</v>
      </c>
      <c r="M744" s="6">
        <f t="shared" si="73"/>
        <v>0</v>
      </c>
      <c r="N744" s="7">
        <f t="shared" si="74"/>
        <v>0</v>
      </c>
      <c r="O744" s="35"/>
      <c r="P744" s="36"/>
      <c r="Q744" s="59"/>
      <c r="R744" s="2" t="str">
        <f t="shared" si="70"/>
        <v>4699|0|0|0|0|0|0|</v>
      </c>
      <c r="S744" s="25"/>
    </row>
    <row r="745" spans="1:19" s="34" customFormat="1" ht="12.75" customHeight="1" x14ac:dyDescent="0.2">
      <c r="A745" s="72" t="s">
        <v>733</v>
      </c>
      <c r="B745" s="61" t="s">
        <v>1896</v>
      </c>
      <c r="C745" s="26">
        <v>0</v>
      </c>
      <c r="D745" s="27">
        <v>0</v>
      </c>
      <c r="E745" s="28">
        <v>0</v>
      </c>
      <c r="F745" s="29">
        <v>0</v>
      </c>
      <c r="G745" s="6">
        <f t="shared" si="75"/>
        <v>0</v>
      </c>
      <c r="H745" s="7">
        <f t="shared" si="76"/>
        <v>0</v>
      </c>
      <c r="I745" s="6">
        <f t="shared" si="71"/>
        <v>0</v>
      </c>
      <c r="J745" s="7">
        <f t="shared" si="72"/>
        <v>0</v>
      </c>
      <c r="K745" s="28">
        <v>0</v>
      </c>
      <c r="L745" s="29">
        <v>0</v>
      </c>
      <c r="M745" s="6">
        <f t="shared" si="73"/>
        <v>0</v>
      </c>
      <c r="N745" s="7">
        <f t="shared" si="74"/>
        <v>0</v>
      </c>
      <c r="O745" s="35"/>
      <c r="P745" s="36"/>
      <c r="Q745" s="59"/>
      <c r="R745" s="2" t="str">
        <f t="shared" si="70"/>
        <v>4711|0|0|0|0|0|0|</v>
      </c>
      <c r="S745" s="25"/>
    </row>
    <row r="746" spans="1:19" s="34" customFormat="1" ht="12.75" customHeight="1" x14ac:dyDescent="0.2">
      <c r="A746" s="72" t="s">
        <v>734</v>
      </c>
      <c r="B746" s="61" t="s">
        <v>1897</v>
      </c>
      <c r="C746" s="26">
        <v>0</v>
      </c>
      <c r="D746" s="27">
        <v>0</v>
      </c>
      <c r="E746" s="28">
        <v>0</v>
      </c>
      <c r="F746" s="29">
        <v>0</v>
      </c>
      <c r="G746" s="6">
        <f t="shared" si="75"/>
        <v>0</v>
      </c>
      <c r="H746" s="7">
        <f t="shared" si="76"/>
        <v>0</v>
      </c>
      <c r="I746" s="6">
        <f t="shared" si="71"/>
        <v>0</v>
      </c>
      <c r="J746" s="7">
        <f t="shared" si="72"/>
        <v>0</v>
      </c>
      <c r="K746" s="28">
        <v>0</v>
      </c>
      <c r="L746" s="29">
        <v>0</v>
      </c>
      <c r="M746" s="6">
        <f t="shared" si="73"/>
        <v>0</v>
      </c>
      <c r="N746" s="7">
        <f t="shared" si="74"/>
        <v>0</v>
      </c>
      <c r="O746" s="35"/>
      <c r="P746" s="36"/>
      <c r="Q746" s="59"/>
      <c r="R746" s="2" t="str">
        <f t="shared" si="70"/>
        <v>4712|0|0|0|0|0|0|</v>
      </c>
      <c r="S746" s="25"/>
    </row>
    <row r="747" spans="1:19" s="34" customFormat="1" ht="12.75" customHeight="1" x14ac:dyDescent="0.2">
      <c r="A747" s="72" t="s">
        <v>735</v>
      </c>
      <c r="B747" s="61" t="s">
        <v>1898</v>
      </c>
      <c r="C747" s="26">
        <v>0</v>
      </c>
      <c r="D747" s="27">
        <v>0</v>
      </c>
      <c r="E747" s="28">
        <v>0</v>
      </c>
      <c r="F747" s="29">
        <v>0</v>
      </c>
      <c r="G747" s="6">
        <f t="shared" si="75"/>
        <v>0</v>
      </c>
      <c r="H747" s="7">
        <f t="shared" si="76"/>
        <v>0</v>
      </c>
      <c r="I747" s="6">
        <f t="shared" si="71"/>
        <v>0</v>
      </c>
      <c r="J747" s="7">
        <f t="shared" si="72"/>
        <v>0</v>
      </c>
      <c r="K747" s="28">
        <v>0</v>
      </c>
      <c r="L747" s="29">
        <v>0</v>
      </c>
      <c r="M747" s="6">
        <f t="shared" si="73"/>
        <v>0</v>
      </c>
      <c r="N747" s="7">
        <f t="shared" si="74"/>
        <v>0</v>
      </c>
      <c r="O747" s="35"/>
      <c r="P747" s="36"/>
      <c r="Q747" s="59"/>
      <c r="R747" s="2" t="str">
        <f t="shared" si="70"/>
        <v>4713|0|0|0|0|0|0|</v>
      </c>
      <c r="S747" s="25"/>
    </row>
    <row r="748" spans="1:19" s="34" customFormat="1" ht="12.75" customHeight="1" x14ac:dyDescent="0.2">
      <c r="A748" s="72" t="s">
        <v>736</v>
      </c>
      <c r="B748" s="61" t="s">
        <v>1899</v>
      </c>
      <c r="C748" s="26">
        <v>0</v>
      </c>
      <c r="D748" s="27">
        <v>0</v>
      </c>
      <c r="E748" s="28">
        <v>0</v>
      </c>
      <c r="F748" s="29">
        <v>0</v>
      </c>
      <c r="G748" s="6">
        <f t="shared" si="75"/>
        <v>0</v>
      </c>
      <c r="H748" s="7">
        <f t="shared" si="76"/>
        <v>0</v>
      </c>
      <c r="I748" s="6">
        <f t="shared" si="71"/>
        <v>0</v>
      </c>
      <c r="J748" s="7">
        <f t="shared" si="72"/>
        <v>0</v>
      </c>
      <c r="K748" s="28">
        <v>0</v>
      </c>
      <c r="L748" s="29">
        <v>0</v>
      </c>
      <c r="M748" s="6">
        <f t="shared" si="73"/>
        <v>0</v>
      </c>
      <c r="N748" s="7">
        <f t="shared" si="74"/>
        <v>0</v>
      </c>
      <c r="O748" s="35"/>
      <c r="P748" s="36"/>
      <c r="Q748" s="59"/>
      <c r="R748" s="2" t="str">
        <f t="shared" si="70"/>
        <v>4714|0|0|0|0|0|0|</v>
      </c>
      <c r="S748" s="25"/>
    </row>
    <row r="749" spans="1:19" s="34" customFormat="1" ht="12.75" customHeight="1" x14ac:dyDescent="0.2">
      <c r="A749" s="72" t="s">
        <v>1900</v>
      </c>
      <c r="B749" s="61" t="s">
        <v>1901</v>
      </c>
      <c r="C749" s="26">
        <v>0</v>
      </c>
      <c r="D749" s="27">
        <v>0</v>
      </c>
      <c r="E749" s="28">
        <v>0</v>
      </c>
      <c r="F749" s="29">
        <v>0</v>
      </c>
      <c r="G749" s="6">
        <f t="shared" si="75"/>
        <v>0</v>
      </c>
      <c r="H749" s="7">
        <f t="shared" si="76"/>
        <v>0</v>
      </c>
      <c r="I749" s="6">
        <f t="shared" si="71"/>
        <v>0</v>
      </c>
      <c r="J749" s="7">
        <f t="shared" si="72"/>
        <v>0</v>
      </c>
      <c r="K749" s="28">
        <v>0</v>
      </c>
      <c r="L749" s="29">
        <v>0</v>
      </c>
      <c r="M749" s="6">
        <f t="shared" si="73"/>
        <v>0</v>
      </c>
      <c r="N749" s="7">
        <f t="shared" si="74"/>
        <v>0</v>
      </c>
      <c r="O749" s="35"/>
      <c r="P749" s="36"/>
      <c r="Q749" s="59"/>
      <c r="R749" s="2" t="str">
        <f t="shared" si="70"/>
        <v>4715|0|0|0|0|0|0|</v>
      </c>
      <c r="S749" s="25"/>
    </row>
    <row r="750" spans="1:19" s="34" customFormat="1" ht="12.75" customHeight="1" x14ac:dyDescent="0.2">
      <c r="A750" s="72" t="s">
        <v>737</v>
      </c>
      <c r="B750" s="61" t="s">
        <v>1902</v>
      </c>
      <c r="C750" s="26">
        <v>0</v>
      </c>
      <c r="D750" s="27">
        <v>0</v>
      </c>
      <c r="E750" s="28">
        <v>0</v>
      </c>
      <c r="F750" s="29">
        <v>0</v>
      </c>
      <c r="G750" s="6">
        <f t="shared" si="75"/>
        <v>0</v>
      </c>
      <c r="H750" s="7">
        <f t="shared" si="76"/>
        <v>0</v>
      </c>
      <c r="I750" s="6">
        <f t="shared" si="71"/>
        <v>0</v>
      </c>
      <c r="J750" s="7">
        <f t="shared" si="72"/>
        <v>0</v>
      </c>
      <c r="K750" s="28">
        <v>0</v>
      </c>
      <c r="L750" s="29">
        <v>0</v>
      </c>
      <c r="M750" s="6">
        <f t="shared" si="73"/>
        <v>0</v>
      </c>
      <c r="N750" s="7">
        <f t="shared" si="74"/>
        <v>0</v>
      </c>
      <c r="O750" s="35"/>
      <c r="P750" s="36"/>
      <c r="Q750" s="59"/>
      <c r="R750" s="2" t="str">
        <f t="shared" si="70"/>
        <v>4721|0|0|0|0|0|0|</v>
      </c>
      <c r="S750" s="25"/>
    </row>
    <row r="751" spans="1:19" s="34" customFormat="1" ht="12.75" customHeight="1" x14ac:dyDescent="0.2">
      <c r="A751" s="72" t="s">
        <v>738</v>
      </c>
      <c r="B751" s="61" t="s">
        <v>1903</v>
      </c>
      <c r="C751" s="26">
        <v>0</v>
      </c>
      <c r="D751" s="27">
        <v>0</v>
      </c>
      <c r="E751" s="28">
        <v>0</v>
      </c>
      <c r="F751" s="29">
        <v>0</v>
      </c>
      <c r="G751" s="6">
        <f t="shared" si="75"/>
        <v>0</v>
      </c>
      <c r="H751" s="7">
        <f t="shared" si="76"/>
        <v>0</v>
      </c>
      <c r="I751" s="6">
        <f t="shared" si="71"/>
        <v>0</v>
      </c>
      <c r="J751" s="7">
        <f t="shared" si="72"/>
        <v>0</v>
      </c>
      <c r="K751" s="28">
        <v>0</v>
      </c>
      <c r="L751" s="29">
        <v>0</v>
      </c>
      <c r="M751" s="6">
        <f t="shared" si="73"/>
        <v>0</v>
      </c>
      <c r="N751" s="7">
        <f t="shared" si="74"/>
        <v>0</v>
      </c>
      <c r="O751" s="35"/>
      <c r="P751" s="36"/>
      <c r="Q751" s="59"/>
      <c r="R751" s="2" t="str">
        <f t="shared" si="70"/>
        <v>4722|0|0|0|0|0|0|</v>
      </c>
      <c r="S751" s="25"/>
    </row>
    <row r="752" spans="1:19" s="34" customFormat="1" ht="12.75" customHeight="1" x14ac:dyDescent="0.2">
      <c r="A752" s="72" t="s">
        <v>739</v>
      </c>
      <c r="B752" s="61" t="s">
        <v>1904</v>
      </c>
      <c r="C752" s="26">
        <v>0</v>
      </c>
      <c r="D752" s="27">
        <v>0</v>
      </c>
      <c r="E752" s="28">
        <v>0</v>
      </c>
      <c r="F752" s="29">
        <v>0</v>
      </c>
      <c r="G752" s="6">
        <f t="shared" si="75"/>
        <v>0</v>
      </c>
      <c r="H752" s="7">
        <f t="shared" si="76"/>
        <v>0</v>
      </c>
      <c r="I752" s="6">
        <f t="shared" si="71"/>
        <v>0</v>
      </c>
      <c r="J752" s="7">
        <f t="shared" si="72"/>
        <v>0</v>
      </c>
      <c r="K752" s="28">
        <v>0</v>
      </c>
      <c r="L752" s="29">
        <v>0</v>
      </c>
      <c r="M752" s="6">
        <f t="shared" si="73"/>
        <v>0</v>
      </c>
      <c r="N752" s="7">
        <f t="shared" si="74"/>
        <v>0</v>
      </c>
      <c r="O752" s="35"/>
      <c r="P752" s="36"/>
      <c r="Q752" s="59"/>
      <c r="R752" s="2" t="str">
        <f t="shared" si="70"/>
        <v>4723|0|0|0|0|0|0|</v>
      </c>
      <c r="S752" s="25"/>
    </row>
    <row r="753" spans="1:19" s="34" customFormat="1" ht="12.75" customHeight="1" x14ac:dyDescent="0.2">
      <c r="A753" s="72" t="s">
        <v>740</v>
      </c>
      <c r="B753" s="61" t="s">
        <v>1905</v>
      </c>
      <c r="C753" s="26">
        <v>0</v>
      </c>
      <c r="D753" s="27">
        <v>0</v>
      </c>
      <c r="E753" s="28">
        <v>0</v>
      </c>
      <c r="F753" s="29">
        <v>0</v>
      </c>
      <c r="G753" s="6">
        <f t="shared" si="75"/>
        <v>0</v>
      </c>
      <c r="H753" s="7">
        <f t="shared" si="76"/>
        <v>0</v>
      </c>
      <c r="I753" s="6">
        <f t="shared" si="71"/>
        <v>0</v>
      </c>
      <c r="J753" s="7">
        <f t="shared" si="72"/>
        <v>0</v>
      </c>
      <c r="K753" s="28">
        <v>0</v>
      </c>
      <c r="L753" s="29">
        <v>0</v>
      </c>
      <c r="M753" s="6">
        <f t="shared" si="73"/>
        <v>0</v>
      </c>
      <c r="N753" s="7">
        <f t="shared" si="74"/>
        <v>0</v>
      </c>
      <c r="O753" s="35"/>
      <c r="P753" s="36"/>
      <c r="Q753" s="59"/>
      <c r="R753" s="2" t="str">
        <f t="shared" si="70"/>
        <v>4724|0|0|0|0|0|0|</v>
      </c>
      <c r="S753" s="25"/>
    </row>
    <row r="754" spans="1:19" s="34" customFormat="1" ht="12.75" customHeight="1" x14ac:dyDescent="0.2">
      <c r="A754" s="72" t="s">
        <v>1906</v>
      </c>
      <c r="B754" s="61" t="s">
        <v>1907</v>
      </c>
      <c r="C754" s="26">
        <v>0</v>
      </c>
      <c r="D754" s="27">
        <v>0</v>
      </c>
      <c r="E754" s="28">
        <v>0</v>
      </c>
      <c r="F754" s="29">
        <v>0</v>
      </c>
      <c r="G754" s="6">
        <f t="shared" si="75"/>
        <v>0</v>
      </c>
      <c r="H754" s="7">
        <f t="shared" si="76"/>
        <v>0</v>
      </c>
      <c r="I754" s="6">
        <f t="shared" si="71"/>
        <v>0</v>
      </c>
      <c r="J754" s="7">
        <f t="shared" si="72"/>
        <v>0</v>
      </c>
      <c r="K754" s="28">
        <v>0</v>
      </c>
      <c r="L754" s="29">
        <v>0</v>
      </c>
      <c r="M754" s="6">
        <f t="shared" si="73"/>
        <v>0</v>
      </c>
      <c r="N754" s="7">
        <f t="shared" si="74"/>
        <v>0</v>
      </c>
      <c r="O754" s="35"/>
      <c r="P754" s="36"/>
      <c r="Q754" s="59"/>
      <c r="R754" s="2" t="str">
        <f t="shared" si="70"/>
        <v>4725|0|0|0|0|0|0|</v>
      </c>
      <c r="S754" s="25"/>
    </row>
    <row r="755" spans="1:19" s="34" customFormat="1" ht="12.75" customHeight="1" x14ac:dyDescent="0.2">
      <c r="A755" s="72" t="s">
        <v>741</v>
      </c>
      <c r="B755" s="61" t="s">
        <v>1908</v>
      </c>
      <c r="C755" s="26">
        <v>0</v>
      </c>
      <c r="D755" s="27">
        <v>0</v>
      </c>
      <c r="E755" s="28">
        <v>0</v>
      </c>
      <c r="F755" s="29">
        <v>0</v>
      </c>
      <c r="G755" s="6">
        <f t="shared" si="75"/>
        <v>0</v>
      </c>
      <c r="H755" s="7">
        <f t="shared" si="76"/>
        <v>0</v>
      </c>
      <c r="I755" s="6">
        <f t="shared" si="71"/>
        <v>0</v>
      </c>
      <c r="J755" s="7">
        <f t="shared" si="72"/>
        <v>0</v>
      </c>
      <c r="K755" s="28">
        <v>0</v>
      </c>
      <c r="L755" s="29">
        <v>0</v>
      </c>
      <c r="M755" s="6">
        <f t="shared" si="73"/>
        <v>0</v>
      </c>
      <c r="N755" s="7">
        <f t="shared" si="74"/>
        <v>0</v>
      </c>
      <c r="O755" s="35"/>
      <c r="P755" s="36"/>
      <c r="Q755" s="59"/>
      <c r="R755" s="2" t="str">
        <f t="shared" si="70"/>
        <v>4731|0|0|0|0|0|0|</v>
      </c>
      <c r="S755" s="25"/>
    </row>
    <row r="756" spans="1:19" s="34" customFormat="1" ht="12.75" customHeight="1" x14ac:dyDescent="0.2">
      <c r="A756" s="72" t="s">
        <v>742</v>
      </c>
      <c r="B756" s="61" t="s">
        <v>1909</v>
      </c>
      <c r="C756" s="26">
        <v>0</v>
      </c>
      <c r="D756" s="27">
        <v>0</v>
      </c>
      <c r="E756" s="28">
        <v>0</v>
      </c>
      <c r="F756" s="29">
        <v>0</v>
      </c>
      <c r="G756" s="6">
        <f t="shared" si="75"/>
        <v>0</v>
      </c>
      <c r="H756" s="7">
        <f t="shared" si="76"/>
        <v>0</v>
      </c>
      <c r="I756" s="6">
        <f t="shared" si="71"/>
        <v>0</v>
      </c>
      <c r="J756" s="7">
        <f t="shared" si="72"/>
        <v>0</v>
      </c>
      <c r="K756" s="28">
        <v>0</v>
      </c>
      <c r="L756" s="29">
        <v>0</v>
      </c>
      <c r="M756" s="6">
        <f t="shared" si="73"/>
        <v>0</v>
      </c>
      <c r="N756" s="7">
        <f t="shared" si="74"/>
        <v>0</v>
      </c>
      <c r="O756" s="35"/>
      <c r="P756" s="36"/>
      <c r="Q756" s="59"/>
      <c r="R756" s="2" t="str">
        <f t="shared" si="70"/>
        <v>4732|0|0|0|0|0|0|</v>
      </c>
      <c r="S756" s="25"/>
    </row>
    <row r="757" spans="1:19" s="34" customFormat="1" ht="12.75" customHeight="1" x14ac:dyDescent="0.2">
      <c r="A757" s="72" t="s">
        <v>743</v>
      </c>
      <c r="B757" s="61" t="s">
        <v>1910</v>
      </c>
      <c r="C757" s="26">
        <v>0</v>
      </c>
      <c r="D757" s="27">
        <v>0</v>
      </c>
      <c r="E757" s="28">
        <v>0</v>
      </c>
      <c r="F757" s="29">
        <v>0</v>
      </c>
      <c r="G757" s="6">
        <f t="shared" si="75"/>
        <v>0</v>
      </c>
      <c r="H757" s="7">
        <f t="shared" si="76"/>
        <v>0</v>
      </c>
      <c r="I757" s="6">
        <f t="shared" si="71"/>
        <v>0</v>
      </c>
      <c r="J757" s="7">
        <f t="shared" si="72"/>
        <v>0</v>
      </c>
      <c r="K757" s="28">
        <v>0</v>
      </c>
      <c r="L757" s="29">
        <v>0</v>
      </c>
      <c r="M757" s="6">
        <f t="shared" si="73"/>
        <v>0</v>
      </c>
      <c r="N757" s="7">
        <f t="shared" si="74"/>
        <v>0</v>
      </c>
      <c r="O757" s="35"/>
      <c r="P757" s="36"/>
      <c r="Q757" s="59"/>
      <c r="R757" s="2" t="str">
        <f t="shared" si="70"/>
        <v>4733|0|0|0|0|0|0|</v>
      </c>
      <c r="S757" s="25"/>
    </row>
    <row r="758" spans="1:19" s="34" customFormat="1" ht="12.75" customHeight="1" x14ac:dyDescent="0.2">
      <c r="A758" s="72" t="s">
        <v>744</v>
      </c>
      <c r="B758" s="61" t="s">
        <v>1911</v>
      </c>
      <c r="C758" s="26">
        <v>0</v>
      </c>
      <c r="D758" s="27">
        <v>0</v>
      </c>
      <c r="E758" s="28">
        <v>0</v>
      </c>
      <c r="F758" s="29">
        <v>0</v>
      </c>
      <c r="G758" s="6">
        <f t="shared" si="75"/>
        <v>0</v>
      </c>
      <c r="H758" s="7">
        <f t="shared" si="76"/>
        <v>0</v>
      </c>
      <c r="I758" s="6">
        <f t="shared" si="71"/>
        <v>0</v>
      </c>
      <c r="J758" s="7">
        <f t="shared" si="72"/>
        <v>0</v>
      </c>
      <c r="K758" s="28">
        <v>0</v>
      </c>
      <c r="L758" s="29">
        <v>0</v>
      </c>
      <c r="M758" s="6">
        <f t="shared" si="73"/>
        <v>0</v>
      </c>
      <c r="N758" s="7">
        <f t="shared" si="74"/>
        <v>0</v>
      </c>
      <c r="O758" s="35"/>
      <c r="P758" s="36"/>
      <c r="Q758" s="59"/>
      <c r="R758" s="2" t="str">
        <f t="shared" si="70"/>
        <v>4734|0|0|0|0|0|0|</v>
      </c>
      <c r="S758" s="25"/>
    </row>
    <row r="759" spans="1:19" s="34" customFormat="1" ht="12.75" customHeight="1" x14ac:dyDescent="0.2">
      <c r="A759" s="72" t="s">
        <v>1912</v>
      </c>
      <c r="B759" s="61" t="s">
        <v>1913</v>
      </c>
      <c r="C759" s="26">
        <v>0</v>
      </c>
      <c r="D759" s="27">
        <v>0</v>
      </c>
      <c r="E759" s="28">
        <v>0</v>
      </c>
      <c r="F759" s="29">
        <v>0</v>
      </c>
      <c r="G759" s="6">
        <f t="shared" si="75"/>
        <v>0</v>
      </c>
      <c r="H759" s="7">
        <f t="shared" si="76"/>
        <v>0</v>
      </c>
      <c r="I759" s="6">
        <f t="shared" si="71"/>
        <v>0</v>
      </c>
      <c r="J759" s="7">
        <f t="shared" si="72"/>
        <v>0</v>
      </c>
      <c r="K759" s="28">
        <v>0</v>
      </c>
      <c r="L759" s="29">
        <v>0</v>
      </c>
      <c r="M759" s="6">
        <f t="shared" si="73"/>
        <v>0</v>
      </c>
      <c r="N759" s="7">
        <f t="shared" si="74"/>
        <v>0</v>
      </c>
      <c r="O759" s="35"/>
      <c r="P759" s="36"/>
      <c r="Q759" s="59"/>
      <c r="R759" s="2" t="str">
        <f t="shared" si="70"/>
        <v>4735|0|0|0|0|0|0|</v>
      </c>
      <c r="S759" s="25"/>
    </row>
    <row r="760" spans="1:19" s="34" customFormat="1" ht="12.75" customHeight="1" x14ac:dyDescent="0.2">
      <c r="A760" s="72" t="s">
        <v>745</v>
      </c>
      <c r="B760" s="61" t="s">
        <v>1914</v>
      </c>
      <c r="C760" s="26">
        <v>0</v>
      </c>
      <c r="D760" s="27">
        <v>0</v>
      </c>
      <c r="E760" s="28">
        <v>0</v>
      </c>
      <c r="F760" s="29">
        <v>0</v>
      </c>
      <c r="G760" s="6">
        <f t="shared" si="75"/>
        <v>0</v>
      </c>
      <c r="H760" s="7">
        <f t="shared" si="76"/>
        <v>0</v>
      </c>
      <c r="I760" s="6">
        <f t="shared" si="71"/>
        <v>0</v>
      </c>
      <c r="J760" s="7">
        <f t="shared" si="72"/>
        <v>0</v>
      </c>
      <c r="K760" s="28">
        <v>0</v>
      </c>
      <c r="L760" s="29">
        <v>0</v>
      </c>
      <c r="M760" s="6">
        <f t="shared" si="73"/>
        <v>0</v>
      </c>
      <c r="N760" s="7">
        <f t="shared" si="74"/>
        <v>0</v>
      </c>
      <c r="O760" s="35"/>
      <c r="P760" s="36"/>
      <c r="Q760" s="59"/>
      <c r="R760" s="2" t="str">
        <f t="shared" si="70"/>
        <v>4741|0|0|0|0|0|0|</v>
      </c>
      <c r="S760" s="25"/>
    </row>
    <row r="761" spans="1:19" s="34" customFormat="1" ht="12.75" customHeight="1" x14ac:dyDescent="0.2">
      <c r="A761" s="72" t="s">
        <v>746</v>
      </c>
      <c r="B761" s="61" t="s">
        <v>1915</v>
      </c>
      <c r="C761" s="26">
        <v>0</v>
      </c>
      <c r="D761" s="27">
        <v>0</v>
      </c>
      <c r="E761" s="28">
        <v>0</v>
      </c>
      <c r="F761" s="29">
        <v>0</v>
      </c>
      <c r="G761" s="6">
        <f t="shared" si="75"/>
        <v>0</v>
      </c>
      <c r="H761" s="7">
        <f t="shared" si="76"/>
        <v>0</v>
      </c>
      <c r="I761" s="6">
        <f t="shared" si="71"/>
        <v>0</v>
      </c>
      <c r="J761" s="7">
        <f t="shared" si="72"/>
        <v>0</v>
      </c>
      <c r="K761" s="28">
        <v>0</v>
      </c>
      <c r="L761" s="29">
        <v>0</v>
      </c>
      <c r="M761" s="6">
        <f t="shared" si="73"/>
        <v>0</v>
      </c>
      <c r="N761" s="7">
        <f t="shared" si="74"/>
        <v>0</v>
      </c>
      <c r="O761" s="35"/>
      <c r="P761" s="36"/>
      <c r="Q761" s="59"/>
      <c r="R761" s="2" t="str">
        <f t="shared" si="70"/>
        <v>4742|0|0|0|0|0|0|</v>
      </c>
      <c r="S761" s="25"/>
    </row>
    <row r="762" spans="1:19" s="34" customFormat="1" ht="12.75" customHeight="1" x14ac:dyDescent="0.2">
      <c r="A762" s="72" t="s">
        <v>747</v>
      </c>
      <c r="B762" s="61" t="s">
        <v>1916</v>
      </c>
      <c r="C762" s="26">
        <v>0</v>
      </c>
      <c r="D762" s="27">
        <v>0</v>
      </c>
      <c r="E762" s="28">
        <v>0</v>
      </c>
      <c r="F762" s="29">
        <v>0</v>
      </c>
      <c r="G762" s="6">
        <f t="shared" si="75"/>
        <v>0</v>
      </c>
      <c r="H762" s="7">
        <f t="shared" si="76"/>
        <v>0</v>
      </c>
      <c r="I762" s="6">
        <f t="shared" si="71"/>
        <v>0</v>
      </c>
      <c r="J762" s="7">
        <f t="shared" si="72"/>
        <v>0</v>
      </c>
      <c r="K762" s="28">
        <v>0</v>
      </c>
      <c r="L762" s="29">
        <v>0</v>
      </c>
      <c r="M762" s="6">
        <f t="shared" si="73"/>
        <v>0</v>
      </c>
      <c r="N762" s="7">
        <f t="shared" si="74"/>
        <v>0</v>
      </c>
      <c r="O762" s="35"/>
      <c r="P762" s="36"/>
      <c r="Q762" s="59"/>
      <c r="R762" s="2" t="str">
        <f t="shared" si="70"/>
        <v>4743|0|0|0|0|0|0|</v>
      </c>
      <c r="S762" s="25"/>
    </row>
    <row r="763" spans="1:19" s="34" customFormat="1" ht="12.75" customHeight="1" x14ac:dyDescent="0.2">
      <c r="A763" s="72" t="s">
        <v>748</v>
      </c>
      <c r="B763" s="61" t="s">
        <v>1917</v>
      </c>
      <c r="C763" s="26">
        <v>0</v>
      </c>
      <c r="D763" s="27">
        <v>0</v>
      </c>
      <c r="E763" s="28">
        <v>0</v>
      </c>
      <c r="F763" s="29">
        <v>0</v>
      </c>
      <c r="G763" s="6">
        <f t="shared" si="75"/>
        <v>0</v>
      </c>
      <c r="H763" s="7">
        <f t="shared" si="76"/>
        <v>0</v>
      </c>
      <c r="I763" s="6">
        <f t="shared" si="71"/>
        <v>0</v>
      </c>
      <c r="J763" s="7">
        <f t="shared" si="72"/>
        <v>0</v>
      </c>
      <c r="K763" s="28">
        <v>0</v>
      </c>
      <c r="L763" s="29">
        <v>0</v>
      </c>
      <c r="M763" s="6">
        <f t="shared" si="73"/>
        <v>0</v>
      </c>
      <c r="N763" s="7">
        <f t="shared" si="74"/>
        <v>0</v>
      </c>
      <c r="O763" s="35"/>
      <c r="P763" s="36"/>
      <c r="Q763" s="59"/>
      <c r="R763" s="2" t="str">
        <f t="shared" si="70"/>
        <v>4744|0|0|0|0|0|0|</v>
      </c>
      <c r="S763" s="25"/>
    </row>
    <row r="764" spans="1:19" s="34" customFormat="1" ht="12.75" customHeight="1" x14ac:dyDescent="0.2">
      <c r="A764" s="72" t="s">
        <v>1918</v>
      </c>
      <c r="B764" s="61" t="s">
        <v>1919</v>
      </c>
      <c r="C764" s="26">
        <v>0</v>
      </c>
      <c r="D764" s="27">
        <v>0</v>
      </c>
      <c r="E764" s="28">
        <v>0</v>
      </c>
      <c r="F764" s="29">
        <v>0</v>
      </c>
      <c r="G764" s="6">
        <f t="shared" si="75"/>
        <v>0</v>
      </c>
      <c r="H764" s="7">
        <f t="shared" si="76"/>
        <v>0</v>
      </c>
      <c r="I764" s="6">
        <f t="shared" si="71"/>
        <v>0</v>
      </c>
      <c r="J764" s="7">
        <f t="shared" si="72"/>
        <v>0</v>
      </c>
      <c r="K764" s="28">
        <v>0</v>
      </c>
      <c r="L764" s="29">
        <v>0</v>
      </c>
      <c r="M764" s="6">
        <f t="shared" si="73"/>
        <v>0</v>
      </c>
      <c r="N764" s="7">
        <f t="shared" si="74"/>
        <v>0</v>
      </c>
      <c r="O764" s="35"/>
      <c r="P764" s="36"/>
      <c r="Q764" s="59"/>
      <c r="R764" s="2" t="str">
        <f t="shared" si="70"/>
        <v>4745|0|0|0|0|0|0|</v>
      </c>
      <c r="S764" s="25"/>
    </row>
    <row r="765" spans="1:19" s="34" customFormat="1" ht="12.75" customHeight="1" x14ac:dyDescent="0.2">
      <c r="A765" s="72" t="s">
        <v>749</v>
      </c>
      <c r="B765" s="61" t="s">
        <v>1920</v>
      </c>
      <c r="C765" s="26">
        <v>0</v>
      </c>
      <c r="D765" s="27">
        <v>0</v>
      </c>
      <c r="E765" s="28">
        <v>0</v>
      </c>
      <c r="F765" s="29">
        <v>0</v>
      </c>
      <c r="G765" s="6">
        <f t="shared" si="75"/>
        <v>0</v>
      </c>
      <c r="H765" s="7">
        <f t="shared" si="76"/>
        <v>0</v>
      </c>
      <c r="I765" s="6">
        <f t="shared" si="71"/>
        <v>0</v>
      </c>
      <c r="J765" s="7">
        <f t="shared" si="72"/>
        <v>0</v>
      </c>
      <c r="K765" s="28">
        <v>0</v>
      </c>
      <c r="L765" s="29">
        <v>0</v>
      </c>
      <c r="M765" s="6">
        <f t="shared" si="73"/>
        <v>0</v>
      </c>
      <c r="N765" s="7">
        <f t="shared" si="74"/>
        <v>0</v>
      </c>
      <c r="O765" s="35"/>
      <c r="P765" s="36"/>
      <c r="Q765" s="59"/>
      <c r="R765" s="2" t="str">
        <f t="shared" si="70"/>
        <v>4751|0|0|0|0|0|0|</v>
      </c>
      <c r="S765" s="25"/>
    </row>
    <row r="766" spans="1:19" s="34" customFormat="1" ht="12.75" customHeight="1" x14ac:dyDescent="0.2">
      <c r="A766" s="72" t="s">
        <v>750</v>
      </c>
      <c r="B766" s="61" t="s">
        <v>1921</v>
      </c>
      <c r="C766" s="26">
        <v>0</v>
      </c>
      <c r="D766" s="27">
        <v>0</v>
      </c>
      <c r="E766" s="28">
        <v>0</v>
      </c>
      <c r="F766" s="29">
        <v>0</v>
      </c>
      <c r="G766" s="6">
        <f t="shared" si="75"/>
        <v>0</v>
      </c>
      <c r="H766" s="7">
        <f t="shared" si="76"/>
        <v>0</v>
      </c>
      <c r="I766" s="6">
        <f t="shared" si="71"/>
        <v>0</v>
      </c>
      <c r="J766" s="7">
        <f t="shared" si="72"/>
        <v>0</v>
      </c>
      <c r="K766" s="28">
        <v>0</v>
      </c>
      <c r="L766" s="29">
        <v>0</v>
      </c>
      <c r="M766" s="6">
        <f t="shared" si="73"/>
        <v>0</v>
      </c>
      <c r="N766" s="7">
        <f t="shared" si="74"/>
        <v>0</v>
      </c>
      <c r="O766" s="35"/>
      <c r="P766" s="36"/>
      <c r="Q766" s="59"/>
      <c r="R766" s="2" t="str">
        <f t="shared" si="70"/>
        <v>4752|0|0|0|0|0|0|</v>
      </c>
      <c r="S766" s="25"/>
    </row>
    <row r="767" spans="1:19" s="34" customFormat="1" ht="12.75" customHeight="1" x14ac:dyDescent="0.2">
      <c r="A767" s="72" t="s">
        <v>751</v>
      </c>
      <c r="B767" s="61" t="s">
        <v>1922</v>
      </c>
      <c r="C767" s="26">
        <v>0</v>
      </c>
      <c r="D767" s="27">
        <v>0</v>
      </c>
      <c r="E767" s="28">
        <v>0</v>
      </c>
      <c r="F767" s="29">
        <v>0</v>
      </c>
      <c r="G767" s="6">
        <f t="shared" si="75"/>
        <v>0</v>
      </c>
      <c r="H767" s="7">
        <f t="shared" si="76"/>
        <v>0</v>
      </c>
      <c r="I767" s="6">
        <f t="shared" si="71"/>
        <v>0</v>
      </c>
      <c r="J767" s="7">
        <f t="shared" si="72"/>
        <v>0</v>
      </c>
      <c r="K767" s="28">
        <v>0</v>
      </c>
      <c r="L767" s="29">
        <v>0</v>
      </c>
      <c r="M767" s="6">
        <f t="shared" si="73"/>
        <v>0</v>
      </c>
      <c r="N767" s="7">
        <f t="shared" si="74"/>
        <v>0</v>
      </c>
      <c r="O767" s="35"/>
      <c r="P767" s="36"/>
      <c r="Q767" s="59"/>
      <c r="R767" s="2" t="str">
        <f t="shared" si="70"/>
        <v>4753|0|0|0|0|0|0|</v>
      </c>
      <c r="S767" s="25"/>
    </row>
    <row r="768" spans="1:19" s="34" customFormat="1" ht="12.75" customHeight="1" x14ac:dyDescent="0.2">
      <c r="A768" s="72" t="s">
        <v>752</v>
      </c>
      <c r="B768" s="61" t="s">
        <v>1923</v>
      </c>
      <c r="C768" s="26">
        <v>0</v>
      </c>
      <c r="D768" s="27">
        <v>0</v>
      </c>
      <c r="E768" s="28">
        <v>0</v>
      </c>
      <c r="F768" s="29">
        <v>0</v>
      </c>
      <c r="G768" s="6">
        <f t="shared" si="75"/>
        <v>0</v>
      </c>
      <c r="H768" s="7">
        <f t="shared" si="76"/>
        <v>0</v>
      </c>
      <c r="I768" s="6">
        <f t="shared" si="71"/>
        <v>0</v>
      </c>
      <c r="J768" s="7">
        <f t="shared" si="72"/>
        <v>0</v>
      </c>
      <c r="K768" s="28">
        <v>0</v>
      </c>
      <c r="L768" s="29">
        <v>0</v>
      </c>
      <c r="M768" s="6">
        <f t="shared" si="73"/>
        <v>0</v>
      </c>
      <c r="N768" s="7">
        <f t="shared" si="74"/>
        <v>0</v>
      </c>
      <c r="O768" s="35"/>
      <c r="P768" s="36"/>
      <c r="Q768" s="59"/>
      <c r="R768" s="2" t="str">
        <f t="shared" si="70"/>
        <v>4754|0|0|0|0|0|0|</v>
      </c>
      <c r="S768" s="25"/>
    </row>
    <row r="769" spans="1:19" s="34" customFormat="1" ht="12.75" customHeight="1" x14ac:dyDescent="0.2">
      <c r="A769" s="72" t="s">
        <v>1924</v>
      </c>
      <c r="B769" s="61" t="s">
        <v>1925</v>
      </c>
      <c r="C769" s="26">
        <v>0</v>
      </c>
      <c r="D769" s="27">
        <v>0</v>
      </c>
      <c r="E769" s="28">
        <v>0</v>
      </c>
      <c r="F769" s="29">
        <v>0</v>
      </c>
      <c r="G769" s="6">
        <f t="shared" si="75"/>
        <v>0</v>
      </c>
      <c r="H769" s="7">
        <f t="shared" si="76"/>
        <v>0</v>
      </c>
      <c r="I769" s="6">
        <f t="shared" si="71"/>
        <v>0</v>
      </c>
      <c r="J769" s="7">
        <f t="shared" si="72"/>
        <v>0</v>
      </c>
      <c r="K769" s="28">
        <v>0</v>
      </c>
      <c r="L769" s="29">
        <v>0</v>
      </c>
      <c r="M769" s="6">
        <f t="shared" si="73"/>
        <v>0</v>
      </c>
      <c r="N769" s="7">
        <f t="shared" si="74"/>
        <v>0</v>
      </c>
      <c r="O769" s="35"/>
      <c r="P769" s="36"/>
      <c r="Q769" s="59"/>
      <c r="R769" s="2" t="str">
        <f t="shared" si="70"/>
        <v>4755|0|0|0|0|0|0|</v>
      </c>
      <c r="S769" s="25"/>
    </row>
    <row r="770" spans="1:19" s="34" customFormat="1" ht="12.75" customHeight="1" x14ac:dyDescent="0.2">
      <c r="A770" s="72" t="s">
        <v>1926</v>
      </c>
      <c r="B770" s="61" t="s">
        <v>1927</v>
      </c>
      <c r="C770" s="26">
        <v>0</v>
      </c>
      <c r="D770" s="27">
        <v>0</v>
      </c>
      <c r="E770" s="28">
        <v>0</v>
      </c>
      <c r="F770" s="29">
        <v>0</v>
      </c>
      <c r="G770" s="6">
        <f t="shared" si="75"/>
        <v>0</v>
      </c>
      <c r="H770" s="7">
        <f t="shared" si="76"/>
        <v>0</v>
      </c>
      <c r="I770" s="6">
        <f t="shared" si="71"/>
        <v>0</v>
      </c>
      <c r="J770" s="7">
        <f t="shared" si="72"/>
        <v>0</v>
      </c>
      <c r="K770" s="28">
        <v>0</v>
      </c>
      <c r="L770" s="29">
        <v>0</v>
      </c>
      <c r="M770" s="6">
        <f t="shared" si="73"/>
        <v>0</v>
      </c>
      <c r="N770" s="7">
        <f t="shared" si="74"/>
        <v>0</v>
      </c>
      <c r="O770" s="35"/>
      <c r="P770" s="36"/>
      <c r="Q770" s="59"/>
      <c r="R770" s="2" t="str">
        <f t="shared" si="70"/>
        <v>47711|0|0|0|0|0|0|</v>
      </c>
      <c r="S770" s="25"/>
    </row>
    <row r="771" spans="1:19" s="34" customFormat="1" ht="12.75" customHeight="1" x14ac:dyDescent="0.2">
      <c r="A771" s="72" t="s">
        <v>1928</v>
      </c>
      <c r="B771" s="61" t="s">
        <v>1929</v>
      </c>
      <c r="C771" s="26">
        <v>0</v>
      </c>
      <c r="D771" s="27">
        <v>0</v>
      </c>
      <c r="E771" s="28">
        <v>0</v>
      </c>
      <c r="F771" s="29">
        <v>0</v>
      </c>
      <c r="G771" s="6">
        <f t="shared" si="75"/>
        <v>0</v>
      </c>
      <c r="H771" s="7">
        <f t="shared" si="76"/>
        <v>0</v>
      </c>
      <c r="I771" s="6">
        <f t="shared" si="71"/>
        <v>0</v>
      </c>
      <c r="J771" s="7">
        <f t="shared" si="72"/>
        <v>0</v>
      </c>
      <c r="K771" s="28">
        <v>0</v>
      </c>
      <c r="L771" s="29">
        <v>0</v>
      </c>
      <c r="M771" s="6">
        <f t="shared" si="73"/>
        <v>0</v>
      </c>
      <c r="N771" s="7">
        <f t="shared" si="74"/>
        <v>0</v>
      </c>
      <c r="O771" s="35"/>
      <c r="P771" s="36"/>
      <c r="Q771" s="59"/>
      <c r="R771" s="2" t="str">
        <f t="shared" si="70"/>
        <v>47712|0|0|0|0|0|0|</v>
      </c>
      <c r="S771" s="25"/>
    </row>
    <row r="772" spans="1:19" s="34" customFormat="1" ht="12.75" customHeight="1" x14ac:dyDescent="0.2">
      <c r="A772" s="72" t="s">
        <v>1930</v>
      </c>
      <c r="B772" s="61" t="s">
        <v>1931</v>
      </c>
      <c r="C772" s="26">
        <v>0</v>
      </c>
      <c r="D772" s="27">
        <v>0</v>
      </c>
      <c r="E772" s="28">
        <v>0</v>
      </c>
      <c r="F772" s="29">
        <v>0</v>
      </c>
      <c r="G772" s="6">
        <f t="shared" si="75"/>
        <v>0</v>
      </c>
      <c r="H772" s="7">
        <f t="shared" si="76"/>
        <v>0</v>
      </c>
      <c r="I772" s="6">
        <f t="shared" si="71"/>
        <v>0</v>
      </c>
      <c r="J772" s="7">
        <f t="shared" si="72"/>
        <v>0</v>
      </c>
      <c r="K772" s="28">
        <v>0</v>
      </c>
      <c r="L772" s="29">
        <v>0</v>
      </c>
      <c r="M772" s="6">
        <f t="shared" si="73"/>
        <v>0</v>
      </c>
      <c r="N772" s="7">
        <f t="shared" si="74"/>
        <v>0</v>
      </c>
      <c r="O772" s="35"/>
      <c r="P772" s="36"/>
      <c r="Q772" s="59"/>
      <c r="R772" s="2" t="str">
        <f t="shared" si="70"/>
        <v>47713|0|0|0|0|0|0|</v>
      </c>
      <c r="S772" s="25"/>
    </row>
    <row r="773" spans="1:19" s="34" customFormat="1" ht="12.75" customHeight="1" x14ac:dyDescent="0.2">
      <c r="A773" s="72" t="s">
        <v>1932</v>
      </c>
      <c r="B773" s="61" t="s">
        <v>1933</v>
      </c>
      <c r="C773" s="26">
        <v>0</v>
      </c>
      <c r="D773" s="27">
        <v>0</v>
      </c>
      <c r="E773" s="28">
        <v>0</v>
      </c>
      <c r="F773" s="29">
        <v>0</v>
      </c>
      <c r="G773" s="6">
        <f t="shared" si="75"/>
        <v>0</v>
      </c>
      <c r="H773" s="7">
        <f t="shared" si="76"/>
        <v>0</v>
      </c>
      <c r="I773" s="6">
        <f t="shared" si="71"/>
        <v>0</v>
      </c>
      <c r="J773" s="7">
        <f t="shared" si="72"/>
        <v>0</v>
      </c>
      <c r="K773" s="28">
        <v>0</v>
      </c>
      <c r="L773" s="29">
        <v>0</v>
      </c>
      <c r="M773" s="6">
        <f t="shared" si="73"/>
        <v>0</v>
      </c>
      <c r="N773" s="7">
        <f t="shared" si="74"/>
        <v>0</v>
      </c>
      <c r="O773" s="35"/>
      <c r="P773" s="36"/>
      <c r="Q773" s="59"/>
      <c r="R773" s="2" t="str">
        <f t="shared" ref="R773:R836" si="77">CONCATENATE(A773,"|",C773,"|",D773,"|",E773,"|",F773,"|",K773,"|",L773,"|")</f>
        <v>47714|0|0|0|0|0|0|</v>
      </c>
      <c r="S773" s="25"/>
    </row>
    <row r="774" spans="1:19" s="34" customFormat="1" ht="12.75" customHeight="1" x14ac:dyDescent="0.2">
      <c r="A774" s="72" t="s">
        <v>1934</v>
      </c>
      <c r="B774" s="61" t="s">
        <v>1935</v>
      </c>
      <c r="C774" s="26">
        <v>0</v>
      </c>
      <c r="D774" s="27">
        <v>0</v>
      </c>
      <c r="E774" s="28">
        <v>0</v>
      </c>
      <c r="F774" s="29">
        <v>0</v>
      </c>
      <c r="G774" s="6">
        <f t="shared" si="75"/>
        <v>0</v>
      </c>
      <c r="H774" s="7">
        <f t="shared" si="76"/>
        <v>0</v>
      </c>
      <c r="I774" s="6">
        <f t="shared" si="71"/>
        <v>0</v>
      </c>
      <c r="J774" s="7">
        <f t="shared" si="72"/>
        <v>0</v>
      </c>
      <c r="K774" s="28">
        <v>0</v>
      </c>
      <c r="L774" s="29">
        <v>0</v>
      </c>
      <c r="M774" s="6">
        <f t="shared" si="73"/>
        <v>0</v>
      </c>
      <c r="N774" s="7">
        <f t="shared" si="74"/>
        <v>0</v>
      </c>
      <c r="O774" s="35"/>
      <c r="P774" s="36"/>
      <c r="Q774" s="59"/>
      <c r="R774" s="2" t="str">
        <f t="shared" si="77"/>
        <v>47715|0|0|0|0|0|0|</v>
      </c>
      <c r="S774" s="25"/>
    </row>
    <row r="775" spans="1:19" s="34" customFormat="1" ht="12.75" customHeight="1" x14ac:dyDescent="0.2">
      <c r="A775" s="72" t="s">
        <v>1936</v>
      </c>
      <c r="B775" s="61" t="s">
        <v>1937</v>
      </c>
      <c r="C775" s="26">
        <v>0</v>
      </c>
      <c r="D775" s="27">
        <v>0</v>
      </c>
      <c r="E775" s="28">
        <v>0</v>
      </c>
      <c r="F775" s="29">
        <v>0</v>
      </c>
      <c r="G775" s="6">
        <f t="shared" si="75"/>
        <v>0</v>
      </c>
      <c r="H775" s="7">
        <f t="shared" si="76"/>
        <v>0</v>
      </c>
      <c r="I775" s="6">
        <f t="shared" ref="I775:I838" si="78">IF($G775-$H775&gt;=0,$G775-$H775,0)</f>
        <v>0</v>
      </c>
      <c r="J775" s="7">
        <f t="shared" ref="J775:J838" si="79">IF($G775-$H775&lt;0,-$G775+$H775,0)</f>
        <v>0</v>
      </c>
      <c r="K775" s="28">
        <v>0</v>
      </c>
      <c r="L775" s="29">
        <v>0</v>
      </c>
      <c r="M775" s="6">
        <f t="shared" ref="M775:M838" si="80">IF($I775-$J775+$K775-$L775&gt;=0,$I775-$J775+$K775-$L775,0)</f>
        <v>0</v>
      </c>
      <c r="N775" s="7">
        <f t="shared" ref="N775:N838" si="81">IF($I775-$J775+$K775-$L775&lt;0,-($I775-$J775+$K775-$L775),0)</f>
        <v>0</v>
      </c>
      <c r="O775" s="35"/>
      <c r="P775" s="36"/>
      <c r="Q775" s="59"/>
      <c r="R775" s="2" t="str">
        <f t="shared" si="77"/>
        <v>47721|0|0|0|0|0|0|</v>
      </c>
      <c r="S775" s="25"/>
    </row>
    <row r="776" spans="1:19" s="34" customFormat="1" ht="12.75" customHeight="1" x14ac:dyDescent="0.2">
      <c r="A776" s="72" t="s">
        <v>1938</v>
      </c>
      <c r="B776" s="61" t="s">
        <v>1939</v>
      </c>
      <c r="C776" s="26">
        <v>0</v>
      </c>
      <c r="D776" s="27">
        <v>0</v>
      </c>
      <c r="E776" s="28">
        <v>0</v>
      </c>
      <c r="F776" s="29">
        <v>0</v>
      </c>
      <c r="G776" s="6">
        <f t="shared" si="75"/>
        <v>0</v>
      </c>
      <c r="H776" s="7">
        <f t="shared" si="76"/>
        <v>0</v>
      </c>
      <c r="I776" s="6">
        <f t="shared" si="78"/>
        <v>0</v>
      </c>
      <c r="J776" s="7">
        <f t="shared" si="79"/>
        <v>0</v>
      </c>
      <c r="K776" s="28">
        <v>0</v>
      </c>
      <c r="L776" s="29">
        <v>0</v>
      </c>
      <c r="M776" s="6">
        <f t="shared" si="80"/>
        <v>0</v>
      </c>
      <c r="N776" s="7">
        <f t="shared" si="81"/>
        <v>0</v>
      </c>
      <c r="O776" s="35"/>
      <c r="P776" s="36"/>
      <c r="Q776" s="59"/>
      <c r="R776" s="2" t="str">
        <f t="shared" si="77"/>
        <v>47722|0|0|0|0|0|0|</v>
      </c>
      <c r="S776" s="25"/>
    </row>
    <row r="777" spans="1:19" s="34" customFormat="1" ht="12.75" customHeight="1" x14ac:dyDescent="0.2">
      <c r="A777" s="72" t="s">
        <v>1940</v>
      </c>
      <c r="B777" s="61" t="s">
        <v>1941</v>
      </c>
      <c r="C777" s="26">
        <v>0</v>
      </c>
      <c r="D777" s="27">
        <v>0</v>
      </c>
      <c r="E777" s="28">
        <v>0</v>
      </c>
      <c r="F777" s="29">
        <v>0</v>
      </c>
      <c r="G777" s="6">
        <f t="shared" si="75"/>
        <v>0</v>
      </c>
      <c r="H777" s="7">
        <f t="shared" si="76"/>
        <v>0</v>
      </c>
      <c r="I777" s="6">
        <f t="shared" si="78"/>
        <v>0</v>
      </c>
      <c r="J777" s="7">
        <f t="shared" si="79"/>
        <v>0</v>
      </c>
      <c r="K777" s="28">
        <v>0</v>
      </c>
      <c r="L777" s="29">
        <v>0</v>
      </c>
      <c r="M777" s="6">
        <f t="shared" si="80"/>
        <v>0</v>
      </c>
      <c r="N777" s="7">
        <f t="shared" si="81"/>
        <v>0</v>
      </c>
      <c r="O777" s="35"/>
      <c r="P777" s="36"/>
      <c r="Q777" s="59"/>
      <c r="R777" s="2" t="str">
        <f t="shared" si="77"/>
        <v>47723|0|0|0|0|0|0|</v>
      </c>
      <c r="S777" s="25"/>
    </row>
    <row r="778" spans="1:19" s="34" customFormat="1" ht="12.75" customHeight="1" x14ac:dyDescent="0.2">
      <c r="A778" s="72" t="s">
        <v>1942</v>
      </c>
      <c r="B778" s="61" t="s">
        <v>1943</v>
      </c>
      <c r="C778" s="26">
        <v>0</v>
      </c>
      <c r="D778" s="27">
        <v>0</v>
      </c>
      <c r="E778" s="28">
        <v>0</v>
      </c>
      <c r="F778" s="29">
        <v>0</v>
      </c>
      <c r="G778" s="6">
        <f t="shared" si="75"/>
        <v>0</v>
      </c>
      <c r="H778" s="7">
        <f t="shared" si="76"/>
        <v>0</v>
      </c>
      <c r="I778" s="6">
        <f t="shared" si="78"/>
        <v>0</v>
      </c>
      <c r="J778" s="7">
        <f t="shared" si="79"/>
        <v>0</v>
      </c>
      <c r="K778" s="28">
        <v>0</v>
      </c>
      <c r="L778" s="29">
        <v>0</v>
      </c>
      <c r="M778" s="6">
        <f t="shared" si="80"/>
        <v>0</v>
      </c>
      <c r="N778" s="7">
        <f t="shared" si="81"/>
        <v>0</v>
      </c>
      <c r="O778" s="35"/>
      <c r="P778" s="36"/>
      <c r="Q778" s="59"/>
      <c r="R778" s="2" t="str">
        <f t="shared" si="77"/>
        <v>47724|0|0|0|0|0|0|</v>
      </c>
      <c r="S778" s="25"/>
    </row>
    <row r="779" spans="1:19" s="34" customFormat="1" ht="12.75" customHeight="1" x14ac:dyDescent="0.2">
      <c r="A779" s="72" t="s">
        <v>1944</v>
      </c>
      <c r="B779" s="61" t="s">
        <v>1945</v>
      </c>
      <c r="C779" s="26">
        <v>0</v>
      </c>
      <c r="D779" s="27">
        <v>0</v>
      </c>
      <c r="E779" s="28">
        <v>0</v>
      </c>
      <c r="F779" s="29">
        <v>0</v>
      </c>
      <c r="G779" s="6">
        <f t="shared" si="75"/>
        <v>0</v>
      </c>
      <c r="H779" s="7">
        <f t="shared" si="76"/>
        <v>0</v>
      </c>
      <c r="I779" s="6">
        <f t="shared" si="78"/>
        <v>0</v>
      </c>
      <c r="J779" s="7">
        <f t="shared" si="79"/>
        <v>0</v>
      </c>
      <c r="K779" s="28">
        <v>0</v>
      </c>
      <c r="L779" s="29">
        <v>0</v>
      </c>
      <c r="M779" s="6">
        <f t="shared" si="80"/>
        <v>0</v>
      </c>
      <c r="N779" s="7">
        <f t="shared" si="81"/>
        <v>0</v>
      </c>
      <c r="O779" s="35"/>
      <c r="P779" s="36"/>
      <c r="Q779" s="59"/>
      <c r="R779" s="2" t="str">
        <f t="shared" si="77"/>
        <v>47725|0|0|0|0|0|0|</v>
      </c>
      <c r="S779" s="25"/>
    </row>
    <row r="780" spans="1:19" s="34" customFormat="1" ht="12.75" customHeight="1" x14ac:dyDescent="0.2">
      <c r="A780" s="72" t="s">
        <v>1946</v>
      </c>
      <c r="B780" s="61" t="s">
        <v>1947</v>
      </c>
      <c r="C780" s="26">
        <v>0</v>
      </c>
      <c r="D780" s="27">
        <v>0</v>
      </c>
      <c r="E780" s="28">
        <v>0</v>
      </c>
      <c r="F780" s="29">
        <v>0</v>
      </c>
      <c r="G780" s="6">
        <f t="shared" si="75"/>
        <v>0</v>
      </c>
      <c r="H780" s="7">
        <f t="shared" si="76"/>
        <v>0</v>
      </c>
      <c r="I780" s="6">
        <f t="shared" si="78"/>
        <v>0</v>
      </c>
      <c r="J780" s="7">
        <f t="shared" si="79"/>
        <v>0</v>
      </c>
      <c r="K780" s="28">
        <v>0</v>
      </c>
      <c r="L780" s="29">
        <v>0</v>
      </c>
      <c r="M780" s="6">
        <f t="shared" si="80"/>
        <v>0</v>
      </c>
      <c r="N780" s="7">
        <f t="shared" si="81"/>
        <v>0</v>
      </c>
      <c r="O780" s="35"/>
      <c r="P780" s="36"/>
      <c r="Q780" s="59"/>
      <c r="R780" s="2" t="str">
        <f t="shared" si="77"/>
        <v>47731|0|0|0|0|0|0|</v>
      </c>
      <c r="S780" s="25"/>
    </row>
    <row r="781" spans="1:19" s="34" customFormat="1" ht="12.75" customHeight="1" x14ac:dyDescent="0.2">
      <c r="A781" s="72" t="s">
        <v>1948</v>
      </c>
      <c r="B781" s="61" t="s">
        <v>1949</v>
      </c>
      <c r="C781" s="26">
        <v>0</v>
      </c>
      <c r="D781" s="27">
        <v>0</v>
      </c>
      <c r="E781" s="28">
        <v>0</v>
      </c>
      <c r="F781" s="29">
        <v>0</v>
      </c>
      <c r="G781" s="6">
        <f t="shared" si="75"/>
        <v>0</v>
      </c>
      <c r="H781" s="7">
        <f t="shared" si="76"/>
        <v>0</v>
      </c>
      <c r="I781" s="6">
        <f t="shared" si="78"/>
        <v>0</v>
      </c>
      <c r="J781" s="7">
        <f t="shared" si="79"/>
        <v>0</v>
      </c>
      <c r="K781" s="28">
        <v>0</v>
      </c>
      <c r="L781" s="29">
        <v>0</v>
      </c>
      <c r="M781" s="6">
        <f t="shared" si="80"/>
        <v>0</v>
      </c>
      <c r="N781" s="7">
        <f t="shared" si="81"/>
        <v>0</v>
      </c>
      <c r="O781" s="35"/>
      <c r="P781" s="36"/>
      <c r="Q781" s="59"/>
      <c r="R781" s="2" t="str">
        <f t="shared" si="77"/>
        <v>47732|0|0|0|0|0|0|</v>
      </c>
      <c r="S781" s="25"/>
    </row>
    <row r="782" spans="1:19" s="34" customFormat="1" ht="12.75" customHeight="1" x14ac:dyDescent="0.2">
      <c r="A782" s="72" t="s">
        <v>1950</v>
      </c>
      <c r="B782" s="61" t="s">
        <v>1951</v>
      </c>
      <c r="C782" s="26">
        <v>0</v>
      </c>
      <c r="D782" s="27">
        <v>0</v>
      </c>
      <c r="E782" s="28">
        <v>0</v>
      </c>
      <c r="F782" s="29">
        <v>0</v>
      </c>
      <c r="G782" s="6">
        <f t="shared" si="75"/>
        <v>0</v>
      </c>
      <c r="H782" s="7">
        <f t="shared" si="76"/>
        <v>0</v>
      </c>
      <c r="I782" s="6">
        <f t="shared" si="78"/>
        <v>0</v>
      </c>
      <c r="J782" s="7">
        <f t="shared" si="79"/>
        <v>0</v>
      </c>
      <c r="K782" s="28">
        <v>0</v>
      </c>
      <c r="L782" s="29">
        <v>0</v>
      </c>
      <c r="M782" s="6">
        <f t="shared" si="80"/>
        <v>0</v>
      </c>
      <c r="N782" s="7">
        <f t="shared" si="81"/>
        <v>0</v>
      </c>
      <c r="O782" s="35"/>
      <c r="P782" s="36"/>
      <c r="Q782" s="59"/>
      <c r="R782" s="2" t="str">
        <f t="shared" si="77"/>
        <v>47733|0|0|0|0|0|0|</v>
      </c>
      <c r="S782" s="25"/>
    </row>
    <row r="783" spans="1:19" s="34" customFormat="1" ht="12.75" customHeight="1" x14ac:dyDescent="0.2">
      <c r="A783" s="72" t="s">
        <v>1952</v>
      </c>
      <c r="B783" s="61" t="s">
        <v>1953</v>
      </c>
      <c r="C783" s="26">
        <v>0</v>
      </c>
      <c r="D783" s="27">
        <v>0</v>
      </c>
      <c r="E783" s="28">
        <v>0</v>
      </c>
      <c r="F783" s="29">
        <v>0</v>
      </c>
      <c r="G783" s="6">
        <f t="shared" si="75"/>
        <v>0</v>
      </c>
      <c r="H783" s="7">
        <f t="shared" si="76"/>
        <v>0</v>
      </c>
      <c r="I783" s="6">
        <f t="shared" si="78"/>
        <v>0</v>
      </c>
      <c r="J783" s="7">
        <f t="shared" si="79"/>
        <v>0</v>
      </c>
      <c r="K783" s="28">
        <v>0</v>
      </c>
      <c r="L783" s="29">
        <v>0</v>
      </c>
      <c r="M783" s="6">
        <f t="shared" si="80"/>
        <v>0</v>
      </c>
      <c r="N783" s="7">
        <f t="shared" si="81"/>
        <v>0</v>
      </c>
      <c r="O783" s="35"/>
      <c r="P783" s="36"/>
      <c r="Q783" s="59"/>
      <c r="R783" s="2" t="str">
        <f t="shared" si="77"/>
        <v>47734|0|0|0|0|0|0|</v>
      </c>
      <c r="S783" s="25"/>
    </row>
    <row r="784" spans="1:19" s="34" customFormat="1" ht="12.75" customHeight="1" x14ac:dyDescent="0.2">
      <c r="A784" s="72" t="s">
        <v>1954</v>
      </c>
      <c r="B784" s="61" t="s">
        <v>1955</v>
      </c>
      <c r="C784" s="26">
        <v>0</v>
      </c>
      <c r="D784" s="27">
        <v>0</v>
      </c>
      <c r="E784" s="28">
        <v>0</v>
      </c>
      <c r="F784" s="29">
        <v>0</v>
      </c>
      <c r="G784" s="6">
        <f t="shared" si="75"/>
        <v>0</v>
      </c>
      <c r="H784" s="7">
        <f t="shared" si="76"/>
        <v>0</v>
      </c>
      <c r="I784" s="6">
        <f t="shared" si="78"/>
        <v>0</v>
      </c>
      <c r="J784" s="7">
        <f t="shared" si="79"/>
        <v>0</v>
      </c>
      <c r="K784" s="28">
        <v>0</v>
      </c>
      <c r="L784" s="29">
        <v>0</v>
      </c>
      <c r="M784" s="6">
        <f t="shared" si="80"/>
        <v>0</v>
      </c>
      <c r="N784" s="7">
        <f t="shared" si="81"/>
        <v>0</v>
      </c>
      <c r="O784" s="35"/>
      <c r="P784" s="36"/>
      <c r="Q784" s="59"/>
      <c r="R784" s="2" t="str">
        <f t="shared" si="77"/>
        <v>47735|0|0|0|0|0|0|</v>
      </c>
      <c r="S784" s="25"/>
    </row>
    <row r="785" spans="1:19" s="34" customFormat="1" ht="12.75" customHeight="1" x14ac:dyDescent="0.2">
      <c r="A785" s="72" t="s">
        <v>1956</v>
      </c>
      <c r="B785" s="61" t="s">
        <v>1957</v>
      </c>
      <c r="C785" s="26">
        <v>0</v>
      </c>
      <c r="D785" s="27">
        <v>0</v>
      </c>
      <c r="E785" s="28">
        <v>0</v>
      </c>
      <c r="F785" s="29">
        <v>0</v>
      </c>
      <c r="G785" s="6">
        <f t="shared" si="75"/>
        <v>0</v>
      </c>
      <c r="H785" s="7">
        <f t="shared" si="76"/>
        <v>0</v>
      </c>
      <c r="I785" s="6">
        <f t="shared" si="78"/>
        <v>0</v>
      </c>
      <c r="J785" s="7">
        <f t="shared" si="79"/>
        <v>0</v>
      </c>
      <c r="K785" s="28">
        <v>0</v>
      </c>
      <c r="L785" s="29">
        <v>0</v>
      </c>
      <c r="M785" s="6">
        <f t="shared" si="80"/>
        <v>0</v>
      </c>
      <c r="N785" s="7">
        <f t="shared" si="81"/>
        <v>0</v>
      </c>
      <c r="O785" s="35"/>
      <c r="P785" s="36"/>
      <c r="Q785" s="59"/>
      <c r="R785" s="2" t="str">
        <f t="shared" si="77"/>
        <v>47741|0|0|0|0|0|0|</v>
      </c>
      <c r="S785" s="25"/>
    </row>
    <row r="786" spans="1:19" s="34" customFormat="1" ht="12.75" customHeight="1" x14ac:dyDescent="0.2">
      <c r="A786" s="72" t="s">
        <v>1958</v>
      </c>
      <c r="B786" s="61" t="s">
        <v>1959</v>
      </c>
      <c r="C786" s="26">
        <v>0</v>
      </c>
      <c r="D786" s="27">
        <v>0</v>
      </c>
      <c r="E786" s="28">
        <v>0</v>
      </c>
      <c r="F786" s="29">
        <v>0</v>
      </c>
      <c r="G786" s="6">
        <f t="shared" si="75"/>
        <v>0</v>
      </c>
      <c r="H786" s="7">
        <f t="shared" si="76"/>
        <v>0</v>
      </c>
      <c r="I786" s="6">
        <f t="shared" si="78"/>
        <v>0</v>
      </c>
      <c r="J786" s="7">
        <f t="shared" si="79"/>
        <v>0</v>
      </c>
      <c r="K786" s="28">
        <v>0</v>
      </c>
      <c r="L786" s="29">
        <v>0</v>
      </c>
      <c r="M786" s="6">
        <f t="shared" si="80"/>
        <v>0</v>
      </c>
      <c r="N786" s="7">
        <f t="shared" si="81"/>
        <v>0</v>
      </c>
      <c r="O786" s="35"/>
      <c r="P786" s="36"/>
      <c r="Q786" s="59"/>
      <c r="R786" s="2" t="str">
        <f t="shared" si="77"/>
        <v>47742|0|0|0|0|0|0|</v>
      </c>
      <c r="S786" s="25"/>
    </row>
    <row r="787" spans="1:19" s="34" customFormat="1" ht="12.75" customHeight="1" x14ac:dyDescent="0.2">
      <c r="A787" s="72" t="s">
        <v>1960</v>
      </c>
      <c r="B787" s="61" t="s">
        <v>1961</v>
      </c>
      <c r="C787" s="26">
        <v>0</v>
      </c>
      <c r="D787" s="27">
        <v>0</v>
      </c>
      <c r="E787" s="28">
        <v>0</v>
      </c>
      <c r="F787" s="29">
        <v>0</v>
      </c>
      <c r="G787" s="6">
        <f t="shared" si="75"/>
        <v>0</v>
      </c>
      <c r="H787" s="7">
        <f t="shared" si="76"/>
        <v>0</v>
      </c>
      <c r="I787" s="6">
        <f t="shared" si="78"/>
        <v>0</v>
      </c>
      <c r="J787" s="7">
        <f t="shared" si="79"/>
        <v>0</v>
      </c>
      <c r="K787" s="28">
        <v>0</v>
      </c>
      <c r="L787" s="29">
        <v>0</v>
      </c>
      <c r="M787" s="6">
        <f t="shared" si="80"/>
        <v>0</v>
      </c>
      <c r="N787" s="7">
        <f t="shared" si="81"/>
        <v>0</v>
      </c>
      <c r="O787" s="35"/>
      <c r="P787" s="36"/>
      <c r="Q787" s="59"/>
      <c r="R787" s="2" t="str">
        <f t="shared" si="77"/>
        <v>47743|0|0|0|0|0|0|</v>
      </c>
      <c r="S787" s="25"/>
    </row>
    <row r="788" spans="1:19" s="34" customFormat="1" ht="12.75" customHeight="1" x14ac:dyDescent="0.2">
      <c r="A788" s="72" t="s">
        <v>1962</v>
      </c>
      <c r="B788" s="61" t="s">
        <v>1963</v>
      </c>
      <c r="C788" s="26">
        <v>0</v>
      </c>
      <c r="D788" s="27">
        <v>0</v>
      </c>
      <c r="E788" s="28">
        <v>0</v>
      </c>
      <c r="F788" s="29">
        <v>0</v>
      </c>
      <c r="G788" s="6">
        <f t="shared" si="75"/>
        <v>0</v>
      </c>
      <c r="H788" s="7">
        <f t="shared" si="76"/>
        <v>0</v>
      </c>
      <c r="I788" s="6">
        <f t="shared" si="78"/>
        <v>0</v>
      </c>
      <c r="J788" s="7">
        <f t="shared" si="79"/>
        <v>0</v>
      </c>
      <c r="K788" s="28">
        <v>0</v>
      </c>
      <c r="L788" s="29">
        <v>0</v>
      </c>
      <c r="M788" s="6">
        <f t="shared" si="80"/>
        <v>0</v>
      </c>
      <c r="N788" s="7">
        <f t="shared" si="81"/>
        <v>0</v>
      </c>
      <c r="O788" s="35"/>
      <c r="P788" s="36"/>
      <c r="Q788" s="59"/>
      <c r="R788" s="2" t="str">
        <f t="shared" si="77"/>
        <v>47744|0|0|0|0|0|0|</v>
      </c>
      <c r="S788" s="25"/>
    </row>
    <row r="789" spans="1:19" s="34" customFormat="1" ht="12.75" customHeight="1" x14ac:dyDescent="0.2">
      <c r="A789" s="72" t="s">
        <v>1964</v>
      </c>
      <c r="B789" s="61" t="s">
        <v>1965</v>
      </c>
      <c r="C789" s="26">
        <v>0</v>
      </c>
      <c r="D789" s="27">
        <v>0</v>
      </c>
      <c r="E789" s="28">
        <v>0</v>
      </c>
      <c r="F789" s="29">
        <v>0</v>
      </c>
      <c r="G789" s="6">
        <f t="shared" si="75"/>
        <v>0</v>
      </c>
      <c r="H789" s="7">
        <f t="shared" si="76"/>
        <v>0</v>
      </c>
      <c r="I789" s="6">
        <f t="shared" si="78"/>
        <v>0</v>
      </c>
      <c r="J789" s="7">
        <f t="shared" si="79"/>
        <v>0</v>
      </c>
      <c r="K789" s="28">
        <v>0</v>
      </c>
      <c r="L789" s="29">
        <v>0</v>
      </c>
      <c r="M789" s="6">
        <f t="shared" si="80"/>
        <v>0</v>
      </c>
      <c r="N789" s="7">
        <f t="shared" si="81"/>
        <v>0</v>
      </c>
      <c r="O789" s="35"/>
      <c r="P789" s="36"/>
      <c r="Q789" s="59"/>
      <c r="R789" s="2" t="str">
        <f t="shared" si="77"/>
        <v>47745|0|0|0|0|0|0|</v>
      </c>
      <c r="S789" s="25"/>
    </row>
    <row r="790" spans="1:19" s="34" customFormat="1" ht="12.75" customHeight="1" x14ac:dyDescent="0.2">
      <c r="A790" s="72" t="s">
        <v>1966</v>
      </c>
      <c r="B790" s="61" t="s">
        <v>1967</v>
      </c>
      <c r="C790" s="26">
        <v>0</v>
      </c>
      <c r="D790" s="27">
        <v>0</v>
      </c>
      <c r="E790" s="28">
        <v>0</v>
      </c>
      <c r="F790" s="29">
        <v>0</v>
      </c>
      <c r="G790" s="6">
        <f t="shared" si="75"/>
        <v>0</v>
      </c>
      <c r="H790" s="7">
        <f t="shared" si="76"/>
        <v>0</v>
      </c>
      <c r="I790" s="6">
        <f t="shared" si="78"/>
        <v>0</v>
      </c>
      <c r="J790" s="7">
        <f t="shared" si="79"/>
        <v>0</v>
      </c>
      <c r="K790" s="28">
        <v>0</v>
      </c>
      <c r="L790" s="29">
        <v>0</v>
      </c>
      <c r="M790" s="6">
        <f t="shared" si="80"/>
        <v>0</v>
      </c>
      <c r="N790" s="7">
        <f t="shared" si="81"/>
        <v>0</v>
      </c>
      <c r="O790" s="35"/>
      <c r="P790" s="36"/>
      <c r="Q790" s="59"/>
      <c r="R790" s="2" t="str">
        <f t="shared" si="77"/>
        <v>47751|0|0|0|0|0|0|</v>
      </c>
      <c r="S790" s="25"/>
    </row>
    <row r="791" spans="1:19" s="34" customFormat="1" ht="12.75" customHeight="1" x14ac:dyDescent="0.2">
      <c r="A791" s="72" t="s">
        <v>1968</v>
      </c>
      <c r="B791" s="61" t="s">
        <v>1969</v>
      </c>
      <c r="C791" s="26">
        <v>0</v>
      </c>
      <c r="D791" s="27">
        <v>0</v>
      </c>
      <c r="E791" s="28">
        <v>0</v>
      </c>
      <c r="F791" s="29">
        <v>0</v>
      </c>
      <c r="G791" s="6">
        <f t="shared" si="75"/>
        <v>0</v>
      </c>
      <c r="H791" s="7">
        <f t="shared" si="76"/>
        <v>0</v>
      </c>
      <c r="I791" s="6">
        <f t="shared" si="78"/>
        <v>0</v>
      </c>
      <c r="J791" s="7">
        <f t="shared" si="79"/>
        <v>0</v>
      </c>
      <c r="K791" s="28">
        <v>0</v>
      </c>
      <c r="L791" s="29">
        <v>0</v>
      </c>
      <c r="M791" s="6">
        <f t="shared" si="80"/>
        <v>0</v>
      </c>
      <c r="N791" s="7">
        <f t="shared" si="81"/>
        <v>0</v>
      </c>
      <c r="O791" s="35"/>
      <c r="P791" s="36"/>
      <c r="Q791" s="59"/>
      <c r="R791" s="2" t="str">
        <f t="shared" si="77"/>
        <v>47752|0|0|0|0|0|0|</v>
      </c>
      <c r="S791" s="25"/>
    </row>
    <row r="792" spans="1:19" s="34" customFormat="1" ht="12.75" customHeight="1" x14ac:dyDescent="0.2">
      <c r="A792" s="72" t="s">
        <v>1970</v>
      </c>
      <c r="B792" s="61" t="s">
        <v>1971</v>
      </c>
      <c r="C792" s="26">
        <v>0</v>
      </c>
      <c r="D792" s="27">
        <v>0</v>
      </c>
      <c r="E792" s="28">
        <v>0</v>
      </c>
      <c r="F792" s="29">
        <v>0</v>
      </c>
      <c r="G792" s="6">
        <f t="shared" si="75"/>
        <v>0</v>
      </c>
      <c r="H792" s="7">
        <f t="shared" si="76"/>
        <v>0</v>
      </c>
      <c r="I792" s="6">
        <f t="shared" si="78"/>
        <v>0</v>
      </c>
      <c r="J792" s="7">
        <f t="shared" si="79"/>
        <v>0</v>
      </c>
      <c r="K792" s="28">
        <v>0</v>
      </c>
      <c r="L792" s="29">
        <v>0</v>
      </c>
      <c r="M792" s="6">
        <f t="shared" si="80"/>
        <v>0</v>
      </c>
      <c r="N792" s="7">
        <f t="shared" si="81"/>
        <v>0</v>
      </c>
      <c r="O792" s="35"/>
      <c r="P792" s="36"/>
      <c r="Q792" s="59"/>
      <c r="R792" s="2" t="str">
        <f t="shared" si="77"/>
        <v>47753|0|0|0|0|0|0|</v>
      </c>
      <c r="S792" s="25"/>
    </row>
    <row r="793" spans="1:19" s="34" customFormat="1" ht="12.75" customHeight="1" x14ac:dyDescent="0.2">
      <c r="A793" s="72" t="s">
        <v>1972</v>
      </c>
      <c r="B793" s="61" t="s">
        <v>1973</v>
      </c>
      <c r="C793" s="26">
        <v>0</v>
      </c>
      <c r="D793" s="27">
        <v>0</v>
      </c>
      <c r="E793" s="28">
        <v>0</v>
      </c>
      <c r="F793" s="29">
        <v>0</v>
      </c>
      <c r="G793" s="6">
        <f t="shared" si="75"/>
        <v>0</v>
      </c>
      <c r="H793" s="7">
        <f t="shared" si="76"/>
        <v>0</v>
      </c>
      <c r="I793" s="6">
        <f t="shared" si="78"/>
        <v>0</v>
      </c>
      <c r="J793" s="7">
        <f t="shared" si="79"/>
        <v>0</v>
      </c>
      <c r="K793" s="28">
        <v>0</v>
      </c>
      <c r="L793" s="29">
        <v>0</v>
      </c>
      <c r="M793" s="6">
        <f t="shared" si="80"/>
        <v>0</v>
      </c>
      <c r="N793" s="7">
        <f t="shared" si="81"/>
        <v>0</v>
      </c>
      <c r="O793" s="35"/>
      <c r="P793" s="36"/>
      <c r="Q793" s="59"/>
      <c r="R793" s="2" t="str">
        <f t="shared" si="77"/>
        <v>47754|0|0|0|0|0|0|</v>
      </c>
      <c r="S793" s="25"/>
    </row>
    <row r="794" spans="1:19" s="34" customFormat="1" ht="12.75" customHeight="1" x14ac:dyDescent="0.2">
      <c r="A794" s="72" t="s">
        <v>1974</v>
      </c>
      <c r="B794" s="61" t="s">
        <v>1975</v>
      </c>
      <c r="C794" s="26">
        <v>0</v>
      </c>
      <c r="D794" s="27">
        <v>0</v>
      </c>
      <c r="E794" s="28">
        <v>0</v>
      </c>
      <c r="F794" s="29">
        <v>0</v>
      </c>
      <c r="G794" s="6">
        <f t="shared" si="75"/>
        <v>0</v>
      </c>
      <c r="H794" s="7">
        <f t="shared" si="76"/>
        <v>0</v>
      </c>
      <c r="I794" s="6">
        <f t="shared" si="78"/>
        <v>0</v>
      </c>
      <c r="J794" s="7">
        <f t="shared" si="79"/>
        <v>0</v>
      </c>
      <c r="K794" s="28">
        <v>0</v>
      </c>
      <c r="L794" s="29">
        <v>0</v>
      </c>
      <c r="M794" s="6">
        <f t="shared" si="80"/>
        <v>0</v>
      </c>
      <c r="N794" s="7">
        <f t="shared" si="81"/>
        <v>0</v>
      </c>
      <c r="O794" s="35"/>
      <c r="P794" s="36"/>
      <c r="Q794" s="59"/>
      <c r="R794" s="2" t="str">
        <f t="shared" si="77"/>
        <v>47755|0|0|0|0|0|0|</v>
      </c>
      <c r="S794" s="25"/>
    </row>
    <row r="795" spans="1:19" s="34" customFormat="1" ht="12.75" customHeight="1" x14ac:dyDescent="0.2">
      <c r="A795" s="72" t="s">
        <v>1976</v>
      </c>
      <c r="B795" s="61" t="s">
        <v>1977</v>
      </c>
      <c r="C795" s="26">
        <v>0</v>
      </c>
      <c r="D795" s="27">
        <v>0</v>
      </c>
      <c r="E795" s="28">
        <v>0</v>
      </c>
      <c r="F795" s="29">
        <v>0</v>
      </c>
      <c r="G795" s="6">
        <f t="shared" si="75"/>
        <v>0</v>
      </c>
      <c r="H795" s="7">
        <f t="shared" si="76"/>
        <v>0</v>
      </c>
      <c r="I795" s="6">
        <f t="shared" si="78"/>
        <v>0</v>
      </c>
      <c r="J795" s="7">
        <f t="shared" si="79"/>
        <v>0</v>
      </c>
      <c r="K795" s="28">
        <v>0</v>
      </c>
      <c r="L795" s="29">
        <v>0</v>
      </c>
      <c r="M795" s="6">
        <f t="shared" si="80"/>
        <v>0</v>
      </c>
      <c r="N795" s="7">
        <f t="shared" si="81"/>
        <v>0</v>
      </c>
      <c r="O795" s="35"/>
      <c r="P795" s="36"/>
      <c r="Q795" s="59"/>
      <c r="R795" s="2" t="str">
        <f t="shared" si="77"/>
        <v>47761|0|0|0|0|0|0|</v>
      </c>
      <c r="S795" s="25"/>
    </row>
    <row r="796" spans="1:19" s="34" customFormat="1" ht="12.75" customHeight="1" x14ac:dyDescent="0.2">
      <c r="A796" s="72" t="s">
        <v>1978</v>
      </c>
      <c r="B796" s="61" t="s">
        <v>1979</v>
      </c>
      <c r="C796" s="26">
        <v>0</v>
      </c>
      <c r="D796" s="27">
        <v>0</v>
      </c>
      <c r="E796" s="28">
        <v>0</v>
      </c>
      <c r="F796" s="29">
        <v>0</v>
      </c>
      <c r="G796" s="6">
        <f t="shared" si="75"/>
        <v>0</v>
      </c>
      <c r="H796" s="7">
        <f t="shared" si="76"/>
        <v>0</v>
      </c>
      <c r="I796" s="6">
        <f t="shared" si="78"/>
        <v>0</v>
      </c>
      <c r="J796" s="7">
        <f t="shared" si="79"/>
        <v>0</v>
      </c>
      <c r="K796" s="28">
        <v>0</v>
      </c>
      <c r="L796" s="29">
        <v>0</v>
      </c>
      <c r="M796" s="6">
        <f t="shared" si="80"/>
        <v>0</v>
      </c>
      <c r="N796" s="7">
        <f t="shared" si="81"/>
        <v>0</v>
      </c>
      <c r="O796" s="35"/>
      <c r="P796" s="36"/>
      <c r="Q796" s="59"/>
      <c r="R796" s="2" t="str">
        <f t="shared" si="77"/>
        <v>47762|0|0|0|0|0|0|</v>
      </c>
      <c r="S796" s="25"/>
    </row>
    <row r="797" spans="1:19" s="34" customFormat="1" ht="12.75" customHeight="1" x14ac:dyDescent="0.2">
      <c r="A797" s="72" t="s">
        <v>1980</v>
      </c>
      <c r="B797" s="61" t="s">
        <v>1981</v>
      </c>
      <c r="C797" s="26">
        <v>0</v>
      </c>
      <c r="D797" s="27">
        <v>0</v>
      </c>
      <c r="E797" s="28">
        <v>0</v>
      </c>
      <c r="F797" s="29">
        <v>0</v>
      </c>
      <c r="G797" s="6">
        <f t="shared" si="75"/>
        <v>0</v>
      </c>
      <c r="H797" s="7">
        <f t="shared" si="76"/>
        <v>0</v>
      </c>
      <c r="I797" s="6">
        <f t="shared" si="78"/>
        <v>0</v>
      </c>
      <c r="J797" s="7">
        <f t="shared" si="79"/>
        <v>0</v>
      </c>
      <c r="K797" s="28">
        <v>0</v>
      </c>
      <c r="L797" s="29">
        <v>0</v>
      </c>
      <c r="M797" s="6">
        <f t="shared" si="80"/>
        <v>0</v>
      </c>
      <c r="N797" s="7">
        <f t="shared" si="81"/>
        <v>0</v>
      </c>
      <c r="O797" s="35"/>
      <c r="P797" s="36"/>
      <c r="Q797" s="59"/>
      <c r="R797" s="2" t="str">
        <f t="shared" si="77"/>
        <v>47763|0|0|0|0|0|0|</v>
      </c>
      <c r="S797" s="25"/>
    </row>
    <row r="798" spans="1:19" s="34" customFormat="1" ht="12.75" customHeight="1" x14ac:dyDescent="0.2">
      <c r="A798" s="72" t="s">
        <v>1982</v>
      </c>
      <c r="B798" s="61" t="s">
        <v>1983</v>
      </c>
      <c r="C798" s="26">
        <v>0</v>
      </c>
      <c r="D798" s="27">
        <v>0</v>
      </c>
      <c r="E798" s="28">
        <v>0</v>
      </c>
      <c r="F798" s="29">
        <v>0</v>
      </c>
      <c r="G798" s="6">
        <f t="shared" si="75"/>
        <v>0</v>
      </c>
      <c r="H798" s="7">
        <f t="shared" si="76"/>
        <v>0</v>
      </c>
      <c r="I798" s="6">
        <f t="shared" si="78"/>
        <v>0</v>
      </c>
      <c r="J798" s="7">
        <f t="shared" si="79"/>
        <v>0</v>
      </c>
      <c r="K798" s="28">
        <v>0</v>
      </c>
      <c r="L798" s="29">
        <v>0</v>
      </c>
      <c r="M798" s="6">
        <f t="shared" si="80"/>
        <v>0</v>
      </c>
      <c r="N798" s="7">
        <f t="shared" si="81"/>
        <v>0</v>
      </c>
      <c r="O798" s="35"/>
      <c r="P798" s="36"/>
      <c r="Q798" s="59"/>
      <c r="R798" s="2" t="str">
        <f t="shared" si="77"/>
        <v>47764|0|0|0|0|0|0|</v>
      </c>
      <c r="S798" s="25"/>
    </row>
    <row r="799" spans="1:19" s="34" customFormat="1" ht="12.75" customHeight="1" x14ac:dyDescent="0.2">
      <c r="A799" s="72" t="s">
        <v>1984</v>
      </c>
      <c r="B799" s="61" t="s">
        <v>1985</v>
      </c>
      <c r="C799" s="26">
        <v>0</v>
      </c>
      <c r="D799" s="27">
        <v>0</v>
      </c>
      <c r="E799" s="28">
        <v>0</v>
      </c>
      <c r="F799" s="29">
        <v>0</v>
      </c>
      <c r="G799" s="6">
        <f t="shared" si="75"/>
        <v>0</v>
      </c>
      <c r="H799" s="7">
        <f t="shared" si="76"/>
        <v>0</v>
      </c>
      <c r="I799" s="6">
        <f t="shared" si="78"/>
        <v>0</v>
      </c>
      <c r="J799" s="7">
        <f t="shared" si="79"/>
        <v>0</v>
      </c>
      <c r="K799" s="28">
        <v>0</v>
      </c>
      <c r="L799" s="29">
        <v>0</v>
      </c>
      <c r="M799" s="6">
        <f t="shared" si="80"/>
        <v>0</v>
      </c>
      <c r="N799" s="7">
        <f t="shared" si="81"/>
        <v>0</v>
      </c>
      <c r="O799" s="35"/>
      <c r="P799" s="36"/>
      <c r="Q799" s="59"/>
      <c r="R799" s="2" t="str">
        <f t="shared" si="77"/>
        <v>47765|0|0|0|0|0|0|</v>
      </c>
      <c r="S799" s="25"/>
    </row>
    <row r="800" spans="1:19" s="34" customFormat="1" ht="12.75" customHeight="1" x14ac:dyDescent="0.2">
      <c r="A800" s="72" t="s">
        <v>1986</v>
      </c>
      <c r="B800" s="61" t="s">
        <v>1987</v>
      </c>
      <c r="C800" s="26">
        <v>0</v>
      </c>
      <c r="D800" s="27">
        <v>0</v>
      </c>
      <c r="E800" s="28">
        <v>0</v>
      </c>
      <c r="F800" s="29">
        <v>0</v>
      </c>
      <c r="G800" s="6">
        <f t="shared" si="75"/>
        <v>0</v>
      </c>
      <c r="H800" s="7">
        <f t="shared" si="76"/>
        <v>0</v>
      </c>
      <c r="I800" s="6">
        <f t="shared" si="78"/>
        <v>0</v>
      </c>
      <c r="J800" s="7">
        <f t="shared" si="79"/>
        <v>0</v>
      </c>
      <c r="K800" s="28">
        <v>0</v>
      </c>
      <c r="L800" s="29">
        <v>0</v>
      </c>
      <c r="M800" s="6">
        <f t="shared" si="80"/>
        <v>0</v>
      </c>
      <c r="N800" s="7">
        <f t="shared" si="81"/>
        <v>0</v>
      </c>
      <c r="O800" s="35"/>
      <c r="P800" s="36"/>
      <c r="Q800" s="59"/>
      <c r="R800" s="2" t="str">
        <f t="shared" si="77"/>
        <v>47911|0|0|0|0|0|0|</v>
      </c>
      <c r="S800" s="25"/>
    </row>
    <row r="801" spans="1:19" s="34" customFormat="1" ht="12.75" customHeight="1" x14ac:dyDescent="0.2">
      <c r="A801" s="72" t="s">
        <v>1988</v>
      </c>
      <c r="B801" s="61" t="s">
        <v>1989</v>
      </c>
      <c r="C801" s="26">
        <v>0</v>
      </c>
      <c r="D801" s="27">
        <v>0</v>
      </c>
      <c r="E801" s="28">
        <v>0</v>
      </c>
      <c r="F801" s="29">
        <v>0</v>
      </c>
      <c r="G801" s="6">
        <f t="shared" si="75"/>
        <v>0</v>
      </c>
      <c r="H801" s="7">
        <f t="shared" si="76"/>
        <v>0</v>
      </c>
      <c r="I801" s="6">
        <f t="shared" si="78"/>
        <v>0</v>
      </c>
      <c r="J801" s="7">
        <f t="shared" si="79"/>
        <v>0</v>
      </c>
      <c r="K801" s="28">
        <v>0</v>
      </c>
      <c r="L801" s="29">
        <v>0</v>
      </c>
      <c r="M801" s="6">
        <f t="shared" si="80"/>
        <v>0</v>
      </c>
      <c r="N801" s="7">
        <f t="shared" si="81"/>
        <v>0</v>
      </c>
      <c r="O801" s="35"/>
      <c r="P801" s="36"/>
      <c r="Q801" s="59"/>
      <c r="R801" s="2" t="str">
        <f t="shared" si="77"/>
        <v>47912|0|0|0|0|0|0|</v>
      </c>
      <c r="S801" s="25"/>
    </row>
    <row r="802" spans="1:19" s="34" customFormat="1" ht="12.75" customHeight="1" x14ac:dyDescent="0.2">
      <c r="A802" s="72" t="s">
        <v>1990</v>
      </c>
      <c r="B802" s="61" t="s">
        <v>1991</v>
      </c>
      <c r="C802" s="26">
        <v>0</v>
      </c>
      <c r="D802" s="27">
        <v>0</v>
      </c>
      <c r="E802" s="28">
        <v>0</v>
      </c>
      <c r="F802" s="29">
        <v>0</v>
      </c>
      <c r="G802" s="6">
        <f t="shared" si="75"/>
        <v>0</v>
      </c>
      <c r="H802" s="7">
        <f t="shared" si="76"/>
        <v>0</v>
      </c>
      <c r="I802" s="6">
        <f t="shared" si="78"/>
        <v>0</v>
      </c>
      <c r="J802" s="7">
        <f t="shared" si="79"/>
        <v>0</v>
      </c>
      <c r="K802" s="28">
        <v>0</v>
      </c>
      <c r="L802" s="29">
        <v>0</v>
      </c>
      <c r="M802" s="6">
        <f t="shared" si="80"/>
        <v>0</v>
      </c>
      <c r="N802" s="7">
        <f t="shared" si="81"/>
        <v>0</v>
      </c>
      <c r="O802" s="35"/>
      <c r="P802" s="36"/>
      <c r="Q802" s="59"/>
      <c r="R802" s="2" t="str">
        <f t="shared" si="77"/>
        <v>47913|0|0|0|0|0|0|</v>
      </c>
      <c r="S802" s="25"/>
    </row>
    <row r="803" spans="1:19" s="34" customFormat="1" ht="12.75" customHeight="1" x14ac:dyDescent="0.2">
      <c r="A803" s="72" t="s">
        <v>1992</v>
      </c>
      <c r="B803" s="61" t="s">
        <v>1993</v>
      </c>
      <c r="C803" s="26">
        <v>0</v>
      </c>
      <c r="D803" s="27">
        <v>0</v>
      </c>
      <c r="E803" s="28">
        <v>0</v>
      </c>
      <c r="F803" s="29">
        <v>0</v>
      </c>
      <c r="G803" s="6">
        <f t="shared" si="75"/>
        <v>0</v>
      </c>
      <c r="H803" s="7">
        <f t="shared" si="76"/>
        <v>0</v>
      </c>
      <c r="I803" s="6">
        <f t="shared" si="78"/>
        <v>0</v>
      </c>
      <c r="J803" s="7">
        <f t="shared" si="79"/>
        <v>0</v>
      </c>
      <c r="K803" s="28">
        <v>0</v>
      </c>
      <c r="L803" s="29">
        <v>0</v>
      </c>
      <c r="M803" s="6">
        <f t="shared" si="80"/>
        <v>0</v>
      </c>
      <c r="N803" s="7">
        <f t="shared" si="81"/>
        <v>0</v>
      </c>
      <c r="O803" s="35"/>
      <c r="P803" s="36"/>
      <c r="Q803" s="59"/>
      <c r="R803" s="2" t="str">
        <f t="shared" si="77"/>
        <v>47914|0|0|0|0|0|0|</v>
      </c>
      <c r="S803" s="25"/>
    </row>
    <row r="804" spans="1:19" s="34" customFormat="1" ht="12.75" customHeight="1" x14ac:dyDescent="0.2">
      <c r="A804" s="72" t="s">
        <v>1994</v>
      </c>
      <c r="B804" s="61" t="s">
        <v>1995</v>
      </c>
      <c r="C804" s="26">
        <v>0</v>
      </c>
      <c r="D804" s="27">
        <v>0</v>
      </c>
      <c r="E804" s="28">
        <v>0</v>
      </c>
      <c r="F804" s="29">
        <v>0</v>
      </c>
      <c r="G804" s="6">
        <f t="shared" si="75"/>
        <v>0</v>
      </c>
      <c r="H804" s="7">
        <f t="shared" si="76"/>
        <v>0</v>
      </c>
      <c r="I804" s="6">
        <f t="shared" si="78"/>
        <v>0</v>
      </c>
      <c r="J804" s="7">
        <f t="shared" si="79"/>
        <v>0</v>
      </c>
      <c r="K804" s="28">
        <v>0</v>
      </c>
      <c r="L804" s="29">
        <v>0</v>
      </c>
      <c r="M804" s="6">
        <f t="shared" si="80"/>
        <v>0</v>
      </c>
      <c r="N804" s="7">
        <f t="shared" si="81"/>
        <v>0</v>
      </c>
      <c r="O804" s="35"/>
      <c r="P804" s="36"/>
      <c r="Q804" s="59"/>
      <c r="R804" s="2" t="str">
        <f t="shared" si="77"/>
        <v>47915|0|0|0|0|0|0|</v>
      </c>
      <c r="S804" s="25"/>
    </row>
    <row r="805" spans="1:19" s="34" customFormat="1" ht="12.75" customHeight="1" x14ac:dyDescent="0.2">
      <c r="A805" s="72" t="s">
        <v>753</v>
      </c>
      <c r="B805" s="61" t="s">
        <v>1996</v>
      </c>
      <c r="C805" s="26">
        <v>0</v>
      </c>
      <c r="D805" s="27">
        <v>0</v>
      </c>
      <c r="E805" s="28">
        <v>0</v>
      </c>
      <c r="F805" s="29">
        <v>0</v>
      </c>
      <c r="G805" s="6">
        <f t="shared" si="75"/>
        <v>0</v>
      </c>
      <c r="H805" s="7">
        <f t="shared" si="76"/>
        <v>0</v>
      </c>
      <c r="I805" s="6">
        <f t="shared" si="78"/>
        <v>0</v>
      </c>
      <c r="J805" s="7">
        <f t="shared" si="79"/>
        <v>0</v>
      </c>
      <c r="K805" s="28">
        <v>0</v>
      </c>
      <c r="L805" s="29">
        <v>0</v>
      </c>
      <c r="M805" s="6">
        <f t="shared" si="80"/>
        <v>0</v>
      </c>
      <c r="N805" s="7">
        <f t="shared" si="81"/>
        <v>0</v>
      </c>
      <c r="O805" s="35"/>
      <c r="P805" s="36"/>
      <c r="Q805" s="59"/>
      <c r="R805" s="2" t="str">
        <f t="shared" si="77"/>
        <v>481|0|0|0|0|0|0|</v>
      </c>
      <c r="S805" s="25"/>
    </row>
    <row r="806" spans="1:19" s="34" customFormat="1" ht="12.75" customHeight="1" x14ac:dyDescent="0.2">
      <c r="A806" s="72" t="s">
        <v>754</v>
      </c>
      <c r="B806" s="61" t="s">
        <v>1997</v>
      </c>
      <c r="C806" s="26">
        <v>0</v>
      </c>
      <c r="D806" s="27">
        <v>0</v>
      </c>
      <c r="E806" s="28">
        <v>0</v>
      </c>
      <c r="F806" s="29">
        <v>0</v>
      </c>
      <c r="G806" s="6">
        <f t="shared" ref="G806:G853" si="82">+C806+E806</f>
        <v>0</v>
      </c>
      <c r="H806" s="7">
        <f t="shared" ref="H806:H853" si="83">+D806+F806</f>
        <v>0</v>
      </c>
      <c r="I806" s="6">
        <f t="shared" si="78"/>
        <v>0</v>
      </c>
      <c r="J806" s="7">
        <f t="shared" si="79"/>
        <v>0</v>
      </c>
      <c r="K806" s="28">
        <v>0</v>
      </c>
      <c r="L806" s="29">
        <v>0</v>
      </c>
      <c r="M806" s="6">
        <f t="shared" si="80"/>
        <v>0</v>
      </c>
      <c r="N806" s="7">
        <f t="shared" si="81"/>
        <v>0</v>
      </c>
      <c r="O806" s="35"/>
      <c r="P806" s="36"/>
      <c r="Q806" s="59"/>
      <c r="R806" s="2" t="str">
        <f t="shared" si="77"/>
        <v>482|0|0|0|0|0|0|</v>
      </c>
      <c r="S806" s="25"/>
    </row>
    <row r="807" spans="1:19" s="34" customFormat="1" ht="12.75" customHeight="1" x14ac:dyDescent="0.2">
      <c r="A807" s="72" t="s">
        <v>755</v>
      </c>
      <c r="B807" s="61" t="s">
        <v>1998</v>
      </c>
      <c r="C807" s="26">
        <v>0</v>
      </c>
      <c r="D807" s="27">
        <v>0</v>
      </c>
      <c r="E807" s="28">
        <v>0</v>
      </c>
      <c r="F807" s="29">
        <v>0</v>
      </c>
      <c r="G807" s="6">
        <f t="shared" si="82"/>
        <v>0</v>
      </c>
      <c r="H807" s="7">
        <f t="shared" si="83"/>
        <v>0</v>
      </c>
      <c r="I807" s="6">
        <f t="shared" si="78"/>
        <v>0</v>
      </c>
      <c r="J807" s="7">
        <f t="shared" si="79"/>
        <v>0</v>
      </c>
      <c r="K807" s="28">
        <v>0</v>
      </c>
      <c r="L807" s="29">
        <v>0</v>
      </c>
      <c r="M807" s="6">
        <f t="shared" si="80"/>
        <v>0</v>
      </c>
      <c r="N807" s="7">
        <f t="shared" si="81"/>
        <v>0</v>
      </c>
      <c r="O807" s="35"/>
      <c r="P807" s="36"/>
      <c r="Q807" s="59"/>
      <c r="R807" s="2" t="str">
        <f t="shared" si="77"/>
        <v>483|0|0|0|0|0|0|</v>
      </c>
      <c r="S807" s="25"/>
    </row>
    <row r="808" spans="1:19" s="34" customFormat="1" ht="12.75" customHeight="1" x14ac:dyDescent="0.2">
      <c r="A808" s="72" t="s">
        <v>756</v>
      </c>
      <c r="B808" s="61" t="s">
        <v>1999</v>
      </c>
      <c r="C808" s="26">
        <v>0</v>
      </c>
      <c r="D808" s="27">
        <v>0</v>
      </c>
      <c r="E808" s="28">
        <v>0</v>
      </c>
      <c r="F808" s="29">
        <v>0</v>
      </c>
      <c r="G808" s="6">
        <f t="shared" si="82"/>
        <v>0</v>
      </c>
      <c r="H808" s="7">
        <f t="shared" si="83"/>
        <v>0</v>
      </c>
      <c r="I808" s="6">
        <f t="shared" si="78"/>
        <v>0</v>
      </c>
      <c r="J808" s="7">
        <f t="shared" si="79"/>
        <v>0</v>
      </c>
      <c r="K808" s="28">
        <v>0</v>
      </c>
      <c r="L808" s="29">
        <v>0</v>
      </c>
      <c r="M808" s="6">
        <f t="shared" si="80"/>
        <v>0</v>
      </c>
      <c r="N808" s="7">
        <f t="shared" si="81"/>
        <v>0</v>
      </c>
      <c r="O808" s="35"/>
      <c r="P808" s="36"/>
      <c r="Q808" s="59"/>
      <c r="R808" s="2" t="str">
        <f t="shared" si="77"/>
        <v>484|0|0|0|0|0|0|</v>
      </c>
      <c r="S808" s="25"/>
    </row>
    <row r="809" spans="1:19" s="34" customFormat="1" ht="12.75" customHeight="1" x14ac:dyDescent="0.2">
      <c r="A809" s="72" t="s">
        <v>757</v>
      </c>
      <c r="B809" s="61" t="s">
        <v>2000</v>
      </c>
      <c r="C809" s="26">
        <v>0</v>
      </c>
      <c r="D809" s="27">
        <v>0</v>
      </c>
      <c r="E809" s="28">
        <v>0</v>
      </c>
      <c r="F809" s="29">
        <v>0</v>
      </c>
      <c r="G809" s="6">
        <f t="shared" si="82"/>
        <v>0</v>
      </c>
      <c r="H809" s="7">
        <f t="shared" si="83"/>
        <v>0</v>
      </c>
      <c r="I809" s="6">
        <f t="shared" si="78"/>
        <v>0</v>
      </c>
      <c r="J809" s="7">
        <f t="shared" si="79"/>
        <v>0</v>
      </c>
      <c r="K809" s="28">
        <v>0</v>
      </c>
      <c r="L809" s="29">
        <v>0</v>
      </c>
      <c r="M809" s="6">
        <f t="shared" si="80"/>
        <v>0</v>
      </c>
      <c r="N809" s="7">
        <f t="shared" si="81"/>
        <v>0</v>
      </c>
      <c r="O809" s="35"/>
      <c r="P809" s="36"/>
      <c r="Q809" s="59"/>
      <c r="R809" s="2" t="str">
        <f t="shared" si="77"/>
        <v>485|0|0|0|0|0|0|</v>
      </c>
      <c r="S809" s="25"/>
    </row>
    <row r="810" spans="1:19" s="34" customFormat="1" ht="12.75" customHeight="1" x14ac:dyDescent="0.2">
      <c r="A810" s="72" t="s">
        <v>2001</v>
      </c>
      <c r="B810" s="61" t="s">
        <v>2002</v>
      </c>
      <c r="C810" s="26">
        <v>0</v>
      </c>
      <c r="D810" s="27">
        <v>0</v>
      </c>
      <c r="E810" s="28">
        <v>0</v>
      </c>
      <c r="F810" s="29">
        <v>0</v>
      </c>
      <c r="G810" s="6">
        <f t="shared" si="82"/>
        <v>0</v>
      </c>
      <c r="H810" s="7">
        <f t="shared" si="83"/>
        <v>0</v>
      </c>
      <c r="I810" s="6">
        <f t="shared" si="78"/>
        <v>0</v>
      </c>
      <c r="J810" s="7">
        <f t="shared" si="79"/>
        <v>0</v>
      </c>
      <c r="K810" s="28">
        <v>0</v>
      </c>
      <c r="L810" s="29">
        <v>0</v>
      </c>
      <c r="M810" s="6">
        <f t="shared" si="80"/>
        <v>0</v>
      </c>
      <c r="N810" s="7">
        <f t="shared" si="81"/>
        <v>0</v>
      </c>
      <c r="O810" s="35"/>
      <c r="P810" s="36"/>
      <c r="Q810" s="59"/>
      <c r="R810" s="2" t="str">
        <f t="shared" si="77"/>
        <v>486|0|0|0|0|0|0|</v>
      </c>
      <c r="S810" s="25"/>
    </row>
    <row r="811" spans="1:19" s="34" customFormat="1" ht="12.75" customHeight="1" x14ac:dyDescent="0.2">
      <c r="A811" s="72" t="s">
        <v>758</v>
      </c>
      <c r="B811" s="61" t="s">
        <v>2003</v>
      </c>
      <c r="C811" s="26">
        <v>0</v>
      </c>
      <c r="D811" s="27">
        <v>0</v>
      </c>
      <c r="E811" s="28">
        <v>0</v>
      </c>
      <c r="F811" s="29">
        <v>0</v>
      </c>
      <c r="G811" s="6">
        <f t="shared" si="82"/>
        <v>0</v>
      </c>
      <c r="H811" s="7">
        <f t="shared" si="83"/>
        <v>0</v>
      </c>
      <c r="I811" s="6">
        <f t="shared" si="78"/>
        <v>0</v>
      </c>
      <c r="J811" s="7">
        <f t="shared" si="79"/>
        <v>0</v>
      </c>
      <c r="K811" s="28">
        <v>0</v>
      </c>
      <c r="L811" s="29">
        <v>0</v>
      </c>
      <c r="M811" s="6">
        <f t="shared" si="80"/>
        <v>0</v>
      </c>
      <c r="N811" s="7">
        <f t="shared" si="81"/>
        <v>0</v>
      </c>
      <c r="O811" s="35"/>
      <c r="P811" s="36"/>
      <c r="Q811" s="59"/>
      <c r="R811" s="2" t="str">
        <f t="shared" si="77"/>
        <v>489|0|0|0|0|0|0|</v>
      </c>
      <c r="S811" s="25"/>
    </row>
    <row r="812" spans="1:19" s="34" customFormat="1" ht="12.75" customHeight="1" x14ac:dyDescent="0.2">
      <c r="A812" s="72" t="s">
        <v>759</v>
      </c>
      <c r="B812" s="61" t="s">
        <v>2004</v>
      </c>
      <c r="C812" s="26">
        <v>0</v>
      </c>
      <c r="D812" s="27">
        <v>0</v>
      </c>
      <c r="E812" s="28">
        <v>0</v>
      </c>
      <c r="F812" s="29">
        <v>0</v>
      </c>
      <c r="G812" s="6">
        <f t="shared" si="82"/>
        <v>0</v>
      </c>
      <c r="H812" s="7">
        <f t="shared" si="83"/>
        <v>0</v>
      </c>
      <c r="I812" s="6">
        <f t="shared" si="78"/>
        <v>0</v>
      </c>
      <c r="J812" s="7">
        <f t="shared" si="79"/>
        <v>0</v>
      </c>
      <c r="K812" s="28">
        <v>0</v>
      </c>
      <c r="L812" s="29">
        <v>0</v>
      </c>
      <c r="M812" s="6">
        <f t="shared" si="80"/>
        <v>0</v>
      </c>
      <c r="N812" s="7">
        <f t="shared" si="81"/>
        <v>0</v>
      </c>
      <c r="O812" s="35"/>
      <c r="P812" s="36"/>
      <c r="Q812" s="59"/>
      <c r="R812" s="2" t="str">
        <f t="shared" si="77"/>
        <v>4911|0|0|0|0|0|0|</v>
      </c>
      <c r="S812" s="25"/>
    </row>
    <row r="813" spans="1:19" s="34" customFormat="1" ht="12.75" customHeight="1" x14ac:dyDescent="0.2">
      <c r="A813" s="72" t="s">
        <v>760</v>
      </c>
      <c r="B813" s="61" t="s">
        <v>2005</v>
      </c>
      <c r="C813" s="26">
        <v>0</v>
      </c>
      <c r="D813" s="27">
        <v>0</v>
      </c>
      <c r="E813" s="28">
        <v>0</v>
      </c>
      <c r="F813" s="29">
        <v>0</v>
      </c>
      <c r="G813" s="6">
        <f t="shared" si="82"/>
        <v>0</v>
      </c>
      <c r="H813" s="7">
        <f t="shared" si="83"/>
        <v>0</v>
      </c>
      <c r="I813" s="6">
        <f t="shared" si="78"/>
        <v>0</v>
      </c>
      <c r="J813" s="7">
        <f t="shared" si="79"/>
        <v>0</v>
      </c>
      <c r="K813" s="28">
        <v>0</v>
      </c>
      <c r="L813" s="29">
        <v>0</v>
      </c>
      <c r="M813" s="6">
        <f t="shared" si="80"/>
        <v>0</v>
      </c>
      <c r="N813" s="7">
        <f t="shared" si="81"/>
        <v>0</v>
      </c>
      <c r="O813" s="35"/>
      <c r="P813" s="36"/>
      <c r="Q813" s="59"/>
      <c r="R813" s="2" t="str">
        <f t="shared" si="77"/>
        <v>4912|0|0|0|0|0|0|</v>
      </c>
      <c r="S813" s="25"/>
    </row>
    <row r="814" spans="1:19" s="34" customFormat="1" ht="12.75" customHeight="1" x14ac:dyDescent="0.2">
      <c r="A814" s="72" t="s">
        <v>761</v>
      </c>
      <c r="B814" s="61" t="s">
        <v>2006</v>
      </c>
      <c r="C814" s="26">
        <v>0</v>
      </c>
      <c r="D814" s="27">
        <v>0</v>
      </c>
      <c r="E814" s="28">
        <v>0</v>
      </c>
      <c r="F814" s="29">
        <v>0</v>
      </c>
      <c r="G814" s="6">
        <f t="shared" si="82"/>
        <v>0</v>
      </c>
      <c r="H814" s="7">
        <f t="shared" si="83"/>
        <v>0</v>
      </c>
      <c r="I814" s="6">
        <f t="shared" si="78"/>
        <v>0</v>
      </c>
      <c r="J814" s="7">
        <f t="shared" si="79"/>
        <v>0</v>
      </c>
      <c r="K814" s="28">
        <v>0</v>
      </c>
      <c r="L814" s="29">
        <v>0</v>
      </c>
      <c r="M814" s="6">
        <f t="shared" si="80"/>
        <v>0</v>
      </c>
      <c r="N814" s="7">
        <f t="shared" si="81"/>
        <v>0</v>
      </c>
      <c r="O814" s="35"/>
      <c r="P814" s="36"/>
      <c r="Q814" s="59"/>
      <c r="R814" s="2" t="str">
        <f t="shared" si="77"/>
        <v>4921|0|0|0|0|0|0|</v>
      </c>
      <c r="S814" s="25"/>
    </row>
    <row r="815" spans="1:19" s="34" customFormat="1" ht="12.75" customHeight="1" x14ac:dyDescent="0.2">
      <c r="A815" s="72" t="s">
        <v>762</v>
      </c>
      <c r="B815" s="61" t="s">
        <v>2007</v>
      </c>
      <c r="C815" s="26">
        <v>0</v>
      </c>
      <c r="D815" s="27">
        <v>0</v>
      </c>
      <c r="E815" s="28">
        <v>0</v>
      </c>
      <c r="F815" s="29">
        <v>0</v>
      </c>
      <c r="G815" s="6">
        <f t="shared" si="82"/>
        <v>0</v>
      </c>
      <c r="H815" s="7">
        <f t="shared" si="83"/>
        <v>0</v>
      </c>
      <c r="I815" s="6">
        <f t="shared" si="78"/>
        <v>0</v>
      </c>
      <c r="J815" s="7">
        <f t="shared" si="79"/>
        <v>0</v>
      </c>
      <c r="K815" s="28">
        <v>0</v>
      </c>
      <c r="L815" s="29">
        <v>0</v>
      </c>
      <c r="M815" s="6">
        <f t="shared" si="80"/>
        <v>0</v>
      </c>
      <c r="N815" s="7">
        <f t="shared" si="81"/>
        <v>0</v>
      </c>
      <c r="O815" s="35"/>
      <c r="P815" s="36"/>
      <c r="Q815" s="59"/>
      <c r="R815" s="2" t="str">
        <f t="shared" si="77"/>
        <v>4922|0|0|0|0|0|0|</v>
      </c>
      <c r="S815" s="25"/>
    </row>
    <row r="816" spans="1:19" s="34" customFormat="1" ht="12.75" customHeight="1" x14ac:dyDescent="0.2">
      <c r="A816" s="72" t="s">
        <v>763</v>
      </c>
      <c r="B816" s="61" t="s">
        <v>2008</v>
      </c>
      <c r="C816" s="26">
        <v>0</v>
      </c>
      <c r="D816" s="27">
        <v>0</v>
      </c>
      <c r="E816" s="28">
        <v>0</v>
      </c>
      <c r="F816" s="29">
        <v>0</v>
      </c>
      <c r="G816" s="6">
        <f t="shared" si="82"/>
        <v>0</v>
      </c>
      <c r="H816" s="7">
        <f t="shared" si="83"/>
        <v>0</v>
      </c>
      <c r="I816" s="6">
        <f t="shared" si="78"/>
        <v>0</v>
      </c>
      <c r="J816" s="7">
        <f t="shared" si="79"/>
        <v>0</v>
      </c>
      <c r="K816" s="28">
        <v>0</v>
      </c>
      <c r="L816" s="29">
        <v>0</v>
      </c>
      <c r="M816" s="6">
        <f t="shared" si="80"/>
        <v>0</v>
      </c>
      <c r="N816" s="7">
        <f t="shared" si="81"/>
        <v>0</v>
      </c>
      <c r="O816" s="35"/>
      <c r="P816" s="36"/>
      <c r="Q816" s="59"/>
      <c r="R816" s="2" t="str">
        <f t="shared" si="77"/>
        <v>4931|0|0|0|0|0|0|</v>
      </c>
      <c r="S816" s="25"/>
    </row>
    <row r="817" spans="1:19" s="34" customFormat="1" ht="12.75" customHeight="1" x14ac:dyDescent="0.2">
      <c r="A817" s="72" t="s">
        <v>764</v>
      </c>
      <c r="B817" s="61" t="s">
        <v>2009</v>
      </c>
      <c r="C817" s="26">
        <v>0</v>
      </c>
      <c r="D817" s="27">
        <v>0</v>
      </c>
      <c r="E817" s="28">
        <v>0</v>
      </c>
      <c r="F817" s="29">
        <v>0</v>
      </c>
      <c r="G817" s="6">
        <f t="shared" si="82"/>
        <v>0</v>
      </c>
      <c r="H817" s="7">
        <f t="shared" si="83"/>
        <v>0</v>
      </c>
      <c r="I817" s="6">
        <f t="shared" si="78"/>
        <v>0</v>
      </c>
      <c r="J817" s="7">
        <f t="shared" si="79"/>
        <v>0</v>
      </c>
      <c r="K817" s="28">
        <v>0</v>
      </c>
      <c r="L817" s="29">
        <v>0</v>
      </c>
      <c r="M817" s="6">
        <f t="shared" si="80"/>
        <v>0</v>
      </c>
      <c r="N817" s="7">
        <f t="shared" si="81"/>
        <v>0</v>
      </c>
      <c r="O817" s="35"/>
      <c r="P817" s="36"/>
      <c r="Q817" s="59"/>
      <c r="R817" s="2" t="str">
        <f t="shared" si="77"/>
        <v>4932|0|0|0|0|0|0|</v>
      </c>
      <c r="S817" s="25"/>
    </row>
    <row r="818" spans="1:19" s="34" customFormat="1" ht="12.75" customHeight="1" x14ac:dyDescent="0.2">
      <c r="A818" s="72" t="s">
        <v>2010</v>
      </c>
      <c r="B818" s="61" t="s">
        <v>2011</v>
      </c>
      <c r="C818" s="26">
        <v>0</v>
      </c>
      <c r="D818" s="27">
        <v>0</v>
      </c>
      <c r="E818" s="28">
        <v>0</v>
      </c>
      <c r="F818" s="29">
        <v>0</v>
      </c>
      <c r="G818" s="6">
        <f t="shared" si="82"/>
        <v>0</v>
      </c>
      <c r="H818" s="7">
        <f t="shared" si="83"/>
        <v>0</v>
      </c>
      <c r="I818" s="6">
        <f t="shared" si="78"/>
        <v>0</v>
      </c>
      <c r="J818" s="7">
        <f t="shared" si="79"/>
        <v>0</v>
      </c>
      <c r="K818" s="28">
        <v>0</v>
      </c>
      <c r="L818" s="29">
        <v>0</v>
      </c>
      <c r="M818" s="6">
        <f t="shared" si="80"/>
        <v>0</v>
      </c>
      <c r="N818" s="7">
        <f t="shared" si="81"/>
        <v>0</v>
      </c>
      <c r="O818" s="35"/>
      <c r="P818" s="36"/>
      <c r="Q818" s="59"/>
      <c r="R818" s="2" t="str">
        <f t="shared" si="77"/>
        <v>494|0|0|0|0|0|0|</v>
      </c>
      <c r="S818" s="25"/>
    </row>
    <row r="819" spans="1:19" s="34" customFormat="1" ht="12.75" customHeight="1" x14ac:dyDescent="0.2">
      <c r="A819" s="72" t="s">
        <v>2012</v>
      </c>
      <c r="B819" s="61" t="s">
        <v>2013</v>
      </c>
      <c r="C819" s="26">
        <v>0</v>
      </c>
      <c r="D819" s="27">
        <v>0</v>
      </c>
      <c r="E819" s="28">
        <v>0</v>
      </c>
      <c r="F819" s="29">
        <v>0</v>
      </c>
      <c r="G819" s="6">
        <f t="shared" si="82"/>
        <v>0</v>
      </c>
      <c r="H819" s="7">
        <f t="shared" si="83"/>
        <v>0</v>
      </c>
      <c r="I819" s="6">
        <f t="shared" si="78"/>
        <v>0</v>
      </c>
      <c r="J819" s="7">
        <f t="shared" si="79"/>
        <v>0</v>
      </c>
      <c r="K819" s="28">
        <v>0</v>
      </c>
      <c r="L819" s="29">
        <v>0</v>
      </c>
      <c r="M819" s="6">
        <f t="shared" si="80"/>
        <v>0</v>
      </c>
      <c r="N819" s="7">
        <f t="shared" si="81"/>
        <v>0</v>
      </c>
      <c r="O819" s="35"/>
      <c r="P819" s="36"/>
      <c r="Q819" s="59"/>
      <c r="R819" s="2" t="str">
        <f t="shared" si="77"/>
        <v>495|0|0|0|0|0|0|</v>
      </c>
      <c r="S819" s="25"/>
    </row>
    <row r="820" spans="1:19" s="34" customFormat="1" ht="12.75" customHeight="1" x14ac:dyDescent="0.2">
      <c r="A820" s="72" t="s">
        <v>2014</v>
      </c>
      <c r="B820" s="61" t="s">
        <v>2015</v>
      </c>
      <c r="C820" s="26">
        <v>0</v>
      </c>
      <c r="D820" s="27">
        <v>0</v>
      </c>
      <c r="E820" s="28">
        <v>0</v>
      </c>
      <c r="F820" s="29">
        <v>0</v>
      </c>
      <c r="G820" s="6">
        <f t="shared" si="82"/>
        <v>0</v>
      </c>
      <c r="H820" s="7">
        <f t="shared" si="83"/>
        <v>0</v>
      </c>
      <c r="I820" s="6">
        <f t="shared" si="78"/>
        <v>0</v>
      </c>
      <c r="J820" s="7">
        <f t="shared" si="79"/>
        <v>0</v>
      </c>
      <c r="K820" s="28">
        <v>0</v>
      </c>
      <c r="L820" s="29">
        <v>0</v>
      </c>
      <c r="M820" s="6">
        <f t="shared" si="80"/>
        <v>0</v>
      </c>
      <c r="N820" s="7">
        <f t="shared" si="81"/>
        <v>0</v>
      </c>
      <c r="O820" s="35"/>
      <c r="P820" s="36"/>
      <c r="Q820" s="59"/>
      <c r="R820" s="2" t="str">
        <f t="shared" si="77"/>
        <v>496|0|0|0|0|0|0|</v>
      </c>
      <c r="S820" s="25"/>
    </row>
    <row r="821" spans="1:19" s="34" customFormat="1" ht="12.75" customHeight="1" x14ac:dyDescent="0.2">
      <c r="A821" s="72" t="s">
        <v>2016</v>
      </c>
      <c r="B821" s="61" t="s">
        <v>2017</v>
      </c>
      <c r="C821" s="26">
        <v>0</v>
      </c>
      <c r="D821" s="27">
        <v>0</v>
      </c>
      <c r="E821" s="28">
        <v>0</v>
      </c>
      <c r="F821" s="29">
        <v>0</v>
      </c>
      <c r="G821" s="6">
        <f t="shared" si="82"/>
        <v>0</v>
      </c>
      <c r="H821" s="7">
        <f t="shared" si="83"/>
        <v>0</v>
      </c>
      <c r="I821" s="6">
        <f t="shared" si="78"/>
        <v>0</v>
      </c>
      <c r="J821" s="7">
        <f t="shared" si="79"/>
        <v>0</v>
      </c>
      <c r="K821" s="28">
        <v>0</v>
      </c>
      <c r="L821" s="29">
        <v>0</v>
      </c>
      <c r="M821" s="6">
        <f t="shared" si="80"/>
        <v>0</v>
      </c>
      <c r="N821" s="7">
        <f t="shared" si="81"/>
        <v>0</v>
      </c>
      <c r="O821" s="35"/>
      <c r="P821" s="36"/>
      <c r="Q821" s="59"/>
      <c r="R821" s="2" t="str">
        <f t="shared" si="77"/>
        <v>497|0|0|0|0|0|0|</v>
      </c>
      <c r="S821" s="25"/>
    </row>
    <row r="822" spans="1:19" s="34" customFormat="1" ht="12.75" customHeight="1" x14ac:dyDescent="0.2">
      <c r="A822" s="72" t="s">
        <v>765</v>
      </c>
      <c r="B822" s="61" t="s">
        <v>2018</v>
      </c>
      <c r="C822" s="26">
        <v>0</v>
      </c>
      <c r="D822" s="27">
        <v>0</v>
      </c>
      <c r="E822" s="28">
        <v>0</v>
      </c>
      <c r="F822" s="29">
        <v>0</v>
      </c>
      <c r="G822" s="6">
        <f t="shared" si="82"/>
        <v>0</v>
      </c>
      <c r="H822" s="7">
        <f t="shared" si="83"/>
        <v>0</v>
      </c>
      <c r="I822" s="6">
        <f t="shared" si="78"/>
        <v>0</v>
      </c>
      <c r="J822" s="7">
        <f t="shared" si="79"/>
        <v>0</v>
      </c>
      <c r="K822" s="28">
        <v>0</v>
      </c>
      <c r="L822" s="29">
        <v>0</v>
      </c>
      <c r="M822" s="6">
        <f t="shared" si="80"/>
        <v>0</v>
      </c>
      <c r="N822" s="7">
        <f t="shared" si="81"/>
        <v>0</v>
      </c>
      <c r="O822" s="35"/>
      <c r="P822" s="36"/>
      <c r="Q822" s="59"/>
      <c r="R822" s="2" t="str">
        <f t="shared" si="77"/>
        <v>5011|0|0|0|0|0|0|</v>
      </c>
      <c r="S822" s="25"/>
    </row>
    <row r="823" spans="1:19" s="34" customFormat="1" ht="12.75" customHeight="1" x14ac:dyDescent="0.2">
      <c r="A823" s="72" t="s">
        <v>766</v>
      </c>
      <c r="B823" s="61" t="s">
        <v>2019</v>
      </c>
      <c r="C823" s="26">
        <v>0</v>
      </c>
      <c r="D823" s="27">
        <v>0</v>
      </c>
      <c r="E823" s="28">
        <v>0</v>
      </c>
      <c r="F823" s="29">
        <v>0</v>
      </c>
      <c r="G823" s="6">
        <f t="shared" si="82"/>
        <v>0</v>
      </c>
      <c r="H823" s="7">
        <f t="shared" si="83"/>
        <v>0</v>
      </c>
      <c r="I823" s="6">
        <f t="shared" si="78"/>
        <v>0</v>
      </c>
      <c r="J823" s="7">
        <f t="shared" si="79"/>
        <v>0</v>
      </c>
      <c r="K823" s="28">
        <v>0</v>
      </c>
      <c r="L823" s="29">
        <v>0</v>
      </c>
      <c r="M823" s="6">
        <f t="shared" si="80"/>
        <v>0</v>
      </c>
      <c r="N823" s="7">
        <f t="shared" si="81"/>
        <v>0</v>
      </c>
      <c r="O823" s="35"/>
      <c r="P823" s="36"/>
      <c r="Q823" s="59"/>
      <c r="R823" s="2" t="str">
        <f t="shared" si="77"/>
        <v>5012|0|0|0|0|0|0|</v>
      </c>
      <c r="S823" s="25"/>
    </row>
    <row r="824" spans="1:19" s="34" customFormat="1" ht="12.75" customHeight="1" x14ac:dyDescent="0.2">
      <c r="A824" s="72" t="s">
        <v>767</v>
      </c>
      <c r="B824" s="61" t="s">
        <v>2020</v>
      </c>
      <c r="C824" s="26">
        <v>0</v>
      </c>
      <c r="D824" s="27">
        <v>0</v>
      </c>
      <c r="E824" s="28">
        <v>0</v>
      </c>
      <c r="F824" s="29">
        <v>0</v>
      </c>
      <c r="G824" s="6">
        <f t="shared" si="82"/>
        <v>0</v>
      </c>
      <c r="H824" s="7">
        <f t="shared" si="83"/>
        <v>0</v>
      </c>
      <c r="I824" s="6">
        <f t="shared" si="78"/>
        <v>0</v>
      </c>
      <c r="J824" s="7">
        <f t="shared" si="79"/>
        <v>0</v>
      </c>
      <c r="K824" s="28">
        <v>0</v>
      </c>
      <c r="L824" s="29">
        <v>0</v>
      </c>
      <c r="M824" s="6">
        <f t="shared" si="80"/>
        <v>0</v>
      </c>
      <c r="N824" s="7">
        <f t="shared" si="81"/>
        <v>0</v>
      </c>
      <c r="O824" s="35"/>
      <c r="P824" s="36"/>
      <c r="Q824" s="59"/>
      <c r="R824" s="2" t="str">
        <f t="shared" si="77"/>
        <v>502|0|0|0|0|0|0|</v>
      </c>
      <c r="S824" s="25"/>
    </row>
    <row r="825" spans="1:19" s="34" customFormat="1" ht="12.75" customHeight="1" x14ac:dyDescent="0.2">
      <c r="A825" s="72" t="s">
        <v>768</v>
      </c>
      <c r="B825" s="61" t="s">
        <v>2021</v>
      </c>
      <c r="C825" s="26">
        <v>0</v>
      </c>
      <c r="D825" s="27">
        <v>0</v>
      </c>
      <c r="E825" s="28">
        <v>0</v>
      </c>
      <c r="F825" s="29">
        <v>0</v>
      </c>
      <c r="G825" s="6">
        <f t="shared" si="82"/>
        <v>0</v>
      </c>
      <c r="H825" s="7">
        <f t="shared" si="83"/>
        <v>0</v>
      </c>
      <c r="I825" s="6">
        <f t="shared" si="78"/>
        <v>0</v>
      </c>
      <c r="J825" s="7">
        <f t="shared" si="79"/>
        <v>0</v>
      </c>
      <c r="K825" s="28">
        <v>0</v>
      </c>
      <c r="L825" s="29">
        <v>0</v>
      </c>
      <c r="M825" s="6">
        <f t="shared" si="80"/>
        <v>0</v>
      </c>
      <c r="N825" s="7">
        <f t="shared" si="81"/>
        <v>0</v>
      </c>
      <c r="O825" s="35"/>
      <c r="P825" s="36"/>
      <c r="Q825" s="59"/>
      <c r="R825" s="2" t="str">
        <f t="shared" si="77"/>
        <v>511|0|0|0|0|0|0|</v>
      </c>
      <c r="S825" s="25"/>
    </row>
    <row r="826" spans="1:19" s="34" customFormat="1" ht="12.75" customHeight="1" x14ac:dyDescent="0.2">
      <c r="A826" s="72" t="s">
        <v>769</v>
      </c>
      <c r="B826" s="61" t="s">
        <v>2022</v>
      </c>
      <c r="C826" s="26">
        <v>0</v>
      </c>
      <c r="D826" s="27">
        <v>0</v>
      </c>
      <c r="E826" s="28">
        <v>0</v>
      </c>
      <c r="F826" s="29">
        <v>0</v>
      </c>
      <c r="G826" s="6">
        <f t="shared" si="82"/>
        <v>0</v>
      </c>
      <c r="H826" s="7">
        <f t="shared" si="83"/>
        <v>0</v>
      </c>
      <c r="I826" s="6">
        <f t="shared" si="78"/>
        <v>0</v>
      </c>
      <c r="J826" s="7">
        <f t="shared" si="79"/>
        <v>0</v>
      </c>
      <c r="K826" s="28">
        <v>0</v>
      </c>
      <c r="L826" s="29">
        <v>0</v>
      </c>
      <c r="M826" s="6">
        <f t="shared" si="80"/>
        <v>0</v>
      </c>
      <c r="N826" s="7">
        <f t="shared" si="81"/>
        <v>0</v>
      </c>
      <c r="O826" s="35"/>
      <c r="P826" s="36"/>
      <c r="Q826" s="59"/>
      <c r="R826" s="2" t="str">
        <f t="shared" si="77"/>
        <v>512|0|0|0|0|0|0|</v>
      </c>
      <c r="S826" s="25"/>
    </row>
    <row r="827" spans="1:19" s="34" customFormat="1" ht="12.75" customHeight="1" x14ac:dyDescent="0.2">
      <c r="A827" s="72" t="s">
        <v>770</v>
      </c>
      <c r="B827" s="61" t="s">
        <v>2023</v>
      </c>
      <c r="C827" s="26">
        <v>0</v>
      </c>
      <c r="D827" s="27">
        <v>0</v>
      </c>
      <c r="E827" s="28">
        <v>0</v>
      </c>
      <c r="F827" s="29">
        <v>0</v>
      </c>
      <c r="G827" s="6">
        <f t="shared" si="82"/>
        <v>0</v>
      </c>
      <c r="H827" s="7">
        <f t="shared" si="83"/>
        <v>0</v>
      </c>
      <c r="I827" s="6">
        <f t="shared" si="78"/>
        <v>0</v>
      </c>
      <c r="J827" s="7">
        <f t="shared" si="79"/>
        <v>0</v>
      </c>
      <c r="K827" s="28">
        <v>0</v>
      </c>
      <c r="L827" s="29">
        <v>0</v>
      </c>
      <c r="M827" s="6">
        <f t="shared" si="80"/>
        <v>0</v>
      </c>
      <c r="N827" s="7">
        <f t="shared" si="81"/>
        <v>0</v>
      </c>
      <c r="O827" s="35"/>
      <c r="P827" s="36"/>
      <c r="Q827" s="59"/>
      <c r="R827" s="2" t="str">
        <f t="shared" si="77"/>
        <v>521|0|0|0|0|0|0|</v>
      </c>
      <c r="S827" s="25"/>
    </row>
    <row r="828" spans="1:19" s="34" customFormat="1" ht="12.75" customHeight="1" x14ac:dyDescent="0.2">
      <c r="A828" s="72" t="s">
        <v>771</v>
      </c>
      <c r="B828" s="61" t="s">
        <v>2024</v>
      </c>
      <c r="C828" s="26">
        <v>0</v>
      </c>
      <c r="D828" s="27">
        <v>0</v>
      </c>
      <c r="E828" s="28">
        <v>0</v>
      </c>
      <c r="F828" s="29">
        <v>0</v>
      </c>
      <c r="G828" s="6">
        <f t="shared" si="82"/>
        <v>0</v>
      </c>
      <c r="H828" s="7">
        <f t="shared" si="83"/>
        <v>0</v>
      </c>
      <c r="I828" s="6">
        <f t="shared" si="78"/>
        <v>0</v>
      </c>
      <c r="J828" s="7">
        <f t="shared" si="79"/>
        <v>0</v>
      </c>
      <c r="K828" s="28">
        <v>0</v>
      </c>
      <c r="L828" s="29">
        <v>0</v>
      </c>
      <c r="M828" s="6">
        <f t="shared" si="80"/>
        <v>0</v>
      </c>
      <c r="N828" s="7">
        <f t="shared" si="81"/>
        <v>0</v>
      </c>
      <c r="O828" s="35"/>
      <c r="P828" s="36"/>
      <c r="Q828" s="59"/>
      <c r="R828" s="2" t="str">
        <f t="shared" si="77"/>
        <v>5221|0|0|0|0|0|0|</v>
      </c>
      <c r="S828" s="25"/>
    </row>
    <row r="829" spans="1:19" s="34" customFormat="1" ht="12.75" customHeight="1" x14ac:dyDescent="0.2">
      <c r="A829" s="72" t="s">
        <v>772</v>
      </c>
      <c r="B829" s="61" t="s">
        <v>2025</v>
      </c>
      <c r="C829" s="26">
        <v>0</v>
      </c>
      <c r="D829" s="27">
        <v>0</v>
      </c>
      <c r="E829" s="28">
        <v>0</v>
      </c>
      <c r="F829" s="29">
        <v>0</v>
      </c>
      <c r="G829" s="6">
        <f t="shared" si="82"/>
        <v>0</v>
      </c>
      <c r="H829" s="7">
        <f t="shared" si="83"/>
        <v>0</v>
      </c>
      <c r="I829" s="6">
        <f t="shared" si="78"/>
        <v>0</v>
      </c>
      <c r="J829" s="7">
        <f t="shared" si="79"/>
        <v>0</v>
      </c>
      <c r="K829" s="28">
        <v>0</v>
      </c>
      <c r="L829" s="29">
        <v>0</v>
      </c>
      <c r="M829" s="6">
        <f t="shared" si="80"/>
        <v>0</v>
      </c>
      <c r="N829" s="7">
        <f t="shared" si="81"/>
        <v>0</v>
      </c>
      <c r="O829" s="35"/>
      <c r="P829" s="36"/>
      <c r="Q829" s="59"/>
      <c r="R829" s="2" t="str">
        <f t="shared" si="77"/>
        <v>5222|0|0|0|0|0|0|</v>
      </c>
      <c r="S829" s="25"/>
    </row>
    <row r="830" spans="1:19" s="34" customFormat="1" ht="12.75" customHeight="1" x14ac:dyDescent="0.2">
      <c r="A830" s="72" t="s">
        <v>773</v>
      </c>
      <c r="B830" s="61" t="s">
        <v>2026</v>
      </c>
      <c r="C830" s="26">
        <v>0</v>
      </c>
      <c r="D830" s="27">
        <v>0</v>
      </c>
      <c r="E830" s="28">
        <v>0</v>
      </c>
      <c r="F830" s="29">
        <v>0</v>
      </c>
      <c r="G830" s="6">
        <f t="shared" si="82"/>
        <v>0</v>
      </c>
      <c r="H830" s="7">
        <f t="shared" si="83"/>
        <v>0</v>
      </c>
      <c r="I830" s="6">
        <f t="shared" si="78"/>
        <v>0</v>
      </c>
      <c r="J830" s="7">
        <f t="shared" si="79"/>
        <v>0</v>
      </c>
      <c r="K830" s="28">
        <v>0</v>
      </c>
      <c r="L830" s="29">
        <v>0</v>
      </c>
      <c r="M830" s="6">
        <f t="shared" si="80"/>
        <v>0</v>
      </c>
      <c r="N830" s="7">
        <f t="shared" si="81"/>
        <v>0</v>
      </c>
      <c r="O830" s="35"/>
      <c r="P830" s="36"/>
      <c r="Q830" s="59"/>
      <c r="R830" s="2" t="str">
        <f t="shared" si="77"/>
        <v>5223|0|0|0|0|0|0|</v>
      </c>
      <c r="S830" s="25"/>
    </row>
    <row r="831" spans="1:19" s="34" customFormat="1" ht="12.75" customHeight="1" x14ac:dyDescent="0.2">
      <c r="A831" s="72" t="s">
        <v>774</v>
      </c>
      <c r="B831" s="61" t="s">
        <v>2027</v>
      </c>
      <c r="C831" s="26">
        <v>0</v>
      </c>
      <c r="D831" s="27">
        <v>0</v>
      </c>
      <c r="E831" s="28">
        <v>0</v>
      </c>
      <c r="F831" s="29">
        <v>0</v>
      </c>
      <c r="G831" s="6">
        <f t="shared" si="82"/>
        <v>0</v>
      </c>
      <c r="H831" s="7">
        <f t="shared" si="83"/>
        <v>0</v>
      </c>
      <c r="I831" s="6">
        <f t="shared" si="78"/>
        <v>0</v>
      </c>
      <c r="J831" s="7">
        <f t="shared" si="79"/>
        <v>0</v>
      </c>
      <c r="K831" s="28">
        <v>0</v>
      </c>
      <c r="L831" s="29">
        <v>0</v>
      </c>
      <c r="M831" s="6">
        <f t="shared" si="80"/>
        <v>0</v>
      </c>
      <c r="N831" s="7">
        <f t="shared" si="81"/>
        <v>0</v>
      </c>
      <c r="O831" s="35"/>
      <c r="P831" s="36"/>
      <c r="Q831" s="59"/>
      <c r="R831" s="2" t="str">
        <f t="shared" si="77"/>
        <v>5224|0|0|0|0|0|0|</v>
      </c>
      <c r="S831" s="25"/>
    </row>
    <row r="832" spans="1:19" s="34" customFormat="1" ht="12.75" customHeight="1" x14ac:dyDescent="0.2">
      <c r="A832" s="72" t="s">
        <v>775</v>
      </c>
      <c r="B832" s="61" t="s">
        <v>2028</v>
      </c>
      <c r="C832" s="26">
        <v>0</v>
      </c>
      <c r="D832" s="27">
        <v>0</v>
      </c>
      <c r="E832" s="28">
        <v>0</v>
      </c>
      <c r="F832" s="29">
        <v>0</v>
      </c>
      <c r="G832" s="6">
        <f t="shared" si="82"/>
        <v>0</v>
      </c>
      <c r="H832" s="7">
        <f t="shared" si="83"/>
        <v>0</v>
      </c>
      <c r="I832" s="6">
        <f t="shared" si="78"/>
        <v>0</v>
      </c>
      <c r="J832" s="7">
        <f t="shared" si="79"/>
        <v>0</v>
      </c>
      <c r="K832" s="28">
        <v>0</v>
      </c>
      <c r="L832" s="29">
        <v>0</v>
      </c>
      <c r="M832" s="6">
        <f t="shared" si="80"/>
        <v>0</v>
      </c>
      <c r="N832" s="7">
        <f t="shared" si="81"/>
        <v>0</v>
      </c>
      <c r="O832" s="35"/>
      <c r="P832" s="36"/>
      <c r="Q832" s="59"/>
      <c r="R832" s="2" t="str">
        <f t="shared" si="77"/>
        <v>523|0|0|0|0|0|0|</v>
      </c>
      <c r="S832" s="25"/>
    </row>
    <row r="833" spans="1:19" s="34" customFormat="1" ht="12.75" customHeight="1" x14ac:dyDescent="0.2">
      <c r="A833" s="72" t="s">
        <v>776</v>
      </c>
      <c r="B833" s="61" t="s">
        <v>2029</v>
      </c>
      <c r="C833" s="26">
        <v>0</v>
      </c>
      <c r="D833" s="27">
        <v>0</v>
      </c>
      <c r="E833" s="28">
        <v>0</v>
      </c>
      <c r="F833" s="29">
        <v>0</v>
      </c>
      <c r="G833" s="6">
        <f t="shared" si="82"/>
        <v>0</v>
      </c>
      <c r="H833" s="7">
        <f t="shared" si="83"/>
        <v>0</v>
      </c>
      <c r="I833" s="6">
        <f t="shared" si="78"/>
        <v>0</v>
      </c>
      <c r="J833" s="7">
        <f t="shared" si="79"/>
        <v>0</v>
      </c>
      <c r="K833" s="28">
        <v>0</v>
      </c>
      <c r="L833" s="29">
        <v>0</v>
      </c>
      <c r="M833" s="6">
        <f t="shared" si="80"/>
        <v>0</v>
      </c>
      <c r="N833" s="7">
        <f t="shared" si="81"/>
        <v>0</v>
      </c>
      <c r="O833" s="35"/>
      <c r="P833" s="36"/>
      <c r="Q833" s="59"/>
      <c r="R833" s="2" t="str">
        <f t="shared" si="77"/>
        <v>561|0|0|0|0|0|0|</v>
      </c>
      <c r="S833" s="25"/>
    </row>
    <row r="834" spans="1:19" s="34" customFormat="1" ht="12.75" customHeight="1" x14ac:dyDescent="0.2">
      <c r="A834" s="72" t="s">
        <v>777</v>
      </c>
      <c r="B834" s="61" t="s">
        <v>2030</v>
      </c>
      <c r="C834" s="26">
        <v>0</v>
      </c>
      <c r="D834" s="27">
        <v>0</v>
      </c>
      <c r="E834" s="28">
        <v>0</v>
      </c>
      <c r="F834" s="29">
        <v>0</v>
      </c>
      <c r="G834" s="6">
        <f t="shared" si="82"/>
        <v>0</v>
      </c>
      <c r="H834" s="7">
        <f t="shared" si="83"/>
        <v>0</v>
      </c>
      <c r="I834" s="6">
        <f t="shared" si="78"/>
        <v>0</v>
      </c>
      <c r="J834" s="7">
        <f t="shared" si="79"/>
        <v>0</v>
      </c>
      <c r="K834" s="28">
        <v>0</v>
      </c>
      <c r="L834" s="29">
        <v>0</v>
      </c>
      <c r="M834" s="6">
        <f t="shared" si="80"/>
        <v>0</v>
      </c>
      <c r="N834" s="7">
        <f t="shared" si="81"/>
        <v>0</v>
      </c>
      <c r="O834" s="35"/>
      <c r="P834" s="36"/>
      <c r="Q834" s="59"/>
      <c r="R834" s="2" t="str">
        <f t="shared" si="77"/>
        <v>562|0|0|0|0|0|0|</v>
      </c>
      <c r="S834" s="25"/>
    </row>
    <row r="835" spans="1:19" s="34" customFormat="1" ht="12.75" customHeight="1" x14ac:dyDescent="0.2">
      <c r="A835" s="72" t="s">
        <v>778</v>
      </c>
      <c r="B835" s="61" t="s">
        <v>2031</v>
      </c>
      <c r="C835" s="26">
        <v>0</v>
      </c>
      <c r="D835" s="27">
        <v>0</v>
      </c>
      <c r="E835" s="28">
        <v>0</v>
      </c>
      <c r="F835" s="29">
        <v>0</v>
      </c>
      <c r="G835" s="6">
        <f t="shared" si="82"/>
        <v>0</v>
      </c>
      <c r="H835" s="7">
        <f t="shared" si="83"/>
        <v>0</v>
      </c>
      <c r="I835" s="6">
        <f t="shared" si="78"/>
        <v>0</v>
      </c>
      <c r="J835" s="7">
        <f t="shared" si="79"/>
        <v>0</v>
      </c>
      <c r="K835" s="28">
        <v>0</v>
      </c>
      <c r="L835" s="29">
        <v>0</v>
      </c>
      <c r="M835" s="6">
        <f t="shared" si="80"/>
        <v>0</v>
      </c>
      <c r="N835" s="7">
        <f t="shared" si="81"/>
        <v>0</v>
      </c>
      <c r="O835" s="35"/>
      <c r="P835" s="36"/>
      <c r="Q835" s="59"/>
      <c r="R835" s="2" t="str">
        <f t="shared" si="77"/>
        <v>5631|0|0|0|0|0|0|</v>
      </c>
      <c r="S835" s="25"/>
    </row>
    <row r="836" spans="1:19" s="34" customFormat="1" ht="12.75" customHeight="1" x14ac:dyDescent="0.2">
      <c r="A836" s="72" t="s">
        <v>779</v>
      </c>
      <c r="B836" s="61" t="s">
        <v>2032</v>
      </c>
      <c r="C836" s="26">
        <v>0</v>
      </c>
      <c r="D836" s="27">
        <v>0</v>
      </c>
      <c r="E836" s="28">
        <v>0</v>
      </c>
      <c r="F836" s="29">
        <v>0</v>
      </c>
      <c r="G836" s="6">
        <f t="shared" si="82"/>
        <v>0</v>
      </c>
      <c r="H836" s="7">
        <f t="shared" si="83"/>
        <v>0</v>
      </c>
      <c r="I836" s="6">
        <f t="shared" si="78"/>
        <v>0</v>
      </c>
      <c r="J836" s="7">
        <f t="shared" si="79"/>
        <v>0</v>
      </c>
      <c r="K836" s="28">
        <v>0</v>
      </c>
      <c r="L836" s="29">
        <v>0</v>
      </c>
      <c r="M836" s="6">
        <f t="shared" si="80"/>
        <v>0</v>
      </c>
      <c r="N836" s="7">
        <f t="shared" si="81"/>
        <v>0</v>
      </c>
      <c r="O836" s="35"/>
      <c r="P836" s="36"/>
      <c r="Q836" s="59"/>
      <c r="R836" s="2" t="str">
        <f t="shared" si="77"/>
        <v>5632|0|0|0|0|0|0|</v>
      </c>
      <c r="S836" s="25"/>
    </row>
    <row r="837" spans="1:19" s="34" customFormat="1" ht="12.75" customHeight="1" x14ac:dyDescent="0.2">
      <c r="A837" s="72" t="s">
        <v>2033</v>
      </c>
      <c r="B837" s="61" t="s">
        <v>2034</v>
      </c>
      <c r="C837" s="26">
        <v>0</v>
      </c>
      <c r="D837" s="27">
        <v>0</v>
      </c>
      <c r="E837" s="28">
        <v>0</v>
      </c>
      <c r="F837" s="29">
        <v>0</v>
      </c>
      <c r="G837" s="6">
        <f t="shared" si="82"/>
        <v>0</v>
      </c>
      <c r="H837" s="7">
        <f t="shared" si="83"/>
        <v>0</v>
      </c>
      <c r="I837" s="6">
        <f t="shared" si="78"/>
        <v>0</v>
      </c>
      <c r="J837" s="7">
        <f t="shared" si="79"/>
        <v>0</v>
      </c>
      <c r="K837" s="28">
        <v>0</v>
      </c>
      <c r="L837" s="29">
        <v>0</v>
      </c>
      <c r="M837" s="6">
        <f t="shared" si="80"/>
        <v>0</v>
      </c>
      <c r="N837" s="7">
        <f t="shared" si="81"/>
        <v>0</v>
      </c>
      <c r="O837" s="35"/>
      <c r="P837" s="36"/>
      <c r="Q837" s="59"/>
      <c r="R837" s="2" t="str">
        <f t="shared" ref="R837:R900" si="84">CONCATENATE(A837,"|",C837,"|",D837,"|",E837,"|",F837,"|",K837,"|",L837,"|")</f>
        <v>5641|0|0|0|0|0|0|</v>
      </c>
      <c r="S837" s="25"/>
    </row>
    <row r="838" spans="1:19" s="34" customFormat="1" ht="12.75" customHeight="1" x14ac:dyDescent="0.2">
      <c r="A838" s="72" t="s">
        <v>2035</v>
      </c>
      <c r="B838" s="61" t="s">
        <v>2036</v>
      </c>
      <c r="C838" s="26">
        <v>0</v>
      </c>
      <c r="D838" s="27">
        <v>0</v>
      </c>
      <c r="E838" s="28">
        <v>0</v>
      </c>
      <c r="F838" s="29">
        <v>0</v>
      </c>
      <c r="G838" s="6">
        <f t="shared" si="82"/>
        <v>0</v>
      </c>
      <c r="H838" s="7">
        <f t="shared" si="83"/>
        <v>0</v>
      </c>
      <c r="I838" s="6">
        <f t="shared" si="78"/>
        <v>0</v>
      </c>
      <c r="J838" s="7">
        <f t="shared" si="79"/>
        <v>0</v>
      </c>
      <c r="K838" s="28">
        <v>0</v>
      </c>
      <c r="L838" s="29">
        <v>0</v>
      </c>
      <c r="M838" s="6">
        <f t="shared" si="80"/>
        <v>0</v>
      </c>
      <c r="N838" s="7">
        <f t="shared" si="81"/>
        <v>0</v>
      </c>
      <c r="O838" s="35"/>
      <c r="P838" s="36"/>
      <c r="Q838" s="59"/>
      <c r="R838" s="2" t="str">
        <f t="shared" si="84"/>
        <v>5642|0|0|0|0|0|0|</v>
      </c>
      <c r="S838" s="25"/>
    </row>
    <row r="839" spans="1:19" s="34" customFormat="1" ht="12.75" customHeight="1" x14ac:dyDescent="0.2">
      <c r="A839" s="72" t="s">
        <v>780</v>
      </c>
      <c r="B839" s="61" t="s">
        <v>2037</v>
      </c>
      <c r="C839" s="26">
        <v>0</v>
      </c>
      <c r="D839" s="27">
        <v>0</v>
      </c>
      <c r="E839" s="28">
        <v>0</v>
      </c>
      <c r="F839" s="29">
        <v>0</v>
      </c>
      <c r="G839" s="6">
        <f t="shared" si="82"/>
        <v>0</v>
      </c>
      <c r="H839" s="7">
        <f t="shared" si="83"/>
        <v>0</v>
      </c>
      <c r="I839" s="6">
        <f t="shared" ref="I839:I853" si="85">IF($G839-$H839&gt;=0,$G839-$H839,0)</f>
        <v>0</v>
      </c>
      <c r="J839" s="7">
        <f t="shared" ref="J839:J853" si="86">IF($G839-$H839&lt;0,-$G839+$H839,0)</f>
        <v>0</v>
      </c>
      <c r="K839" s="28">
        <v>0</v>
      </c>
      <c r="L839" s="29">
        <v>0</v>
      </c>
      <c r="M839" s="6">
        <f t="shared" ref="M839:M853" si="87">IF($I839-$J839+$K839-$L839&gt;=0,$I839-$J839+$K839-$L839,0)</f>
        <v>0</v>
      </c>
      <c r="N839" s="7">
        <f t="shared" ref="N839:N853" si="88">IF($I839-$J839+$K839-$L839&lt;0,-($I839-$J839+$K839-$L839),0)</f>
        <v>0</v>
      </c>
      <c r="O839" s="35"/>
      <c r="P839" s="36"/>
      <c r="Q839" s="59"/>
      <c r="R839" s="2" t="str">
        <f t="shared" si="84"/>
        <v>5711|0|0|0|0|0|0|</v>
      </c>
      <c r="S839" s="25"/>
    </row>
    <row r="840" spans="1:19" s="34" customFormat="1" ht="12.75" customHeight="1" x14ac:dyDescent="0.2">
      <c r="A840" s="72" t="s">
        <v>781</v>
      </c>
      <c r="B840" s="61" t="s">
        <v>2038</v>
      </c>
      <c r="C840" s="26">
        <v>0</v>
      </c>
      <c r="D840" s="27">
        <v>0</v>
      </c>
      <c r="E840" s="28">
        <v>0</v>
      </c>
      <c r="F840" s="29">
        <v>0</v>
      </c>
      <c r="G840" s="6">
        <f t="shared" si="82"/>
        <v>0</v>
      </c>
      <c r="H840" s="7">
        <f t="shared" si="83"/>
        <v>0</v>
      </c>
      <c r="I840" s="6">
        <f t="shared" si="85"/>
        <v>0</v>
      </c>
      <c r="J840" s="7">
        <f t="shared" si="86"/>
        <v>0</v>
      </c>
      <c r="K840" s="28">
        <v>0</v>
      </c>
      <c r="L840" s="29">
        <v>0</v>
      </c>
      <c r="M840" s="6">
        <f t="shared" si="87"/>
        <v>0</v>
      </c>
      <c r="N840" s="7">
        <f t="shared" si="88"/>
        <v>0</v>
      </c>
      <c r="O840" s="35"/>
      <c r="P840" s="36"/>
      <c r="Q840" s="59"/>
      <c r="R840" s="2" t="str">
        <f t="shared" si="84"/>
        <v>5712|0|0|0|0|0|0|</v>
      </c>
      <c r="S840" s="25"/>
    </row>
    <row r="841" spans="1:19" s="34" customFormat="1" ht="12.75" customHeight="1" x14ac:dyDescent="0.2">
      <c r="A841" s="72" t="s">
        <v>782</v>
      </c>
      <c r="B841" s="61" t="s">
        <v>2039</v>
      </c>
      <c r="C841" s="26">
        <v>0</v>
      </c>
      <c r="D841" s="27">
        <v>0</v>
      </c>
      <c r="E841" s="28">
        <v>0</v>
      </c>
      <c r="F841" s="29">
        <v>0</v>
      </c>
      <c r="G841" s="6">
        <f t="shared" si="82"/>
        <v>0</v>
      </c>
      <c r="H841" s="7">
        <f t="shared" si="83"/>
        <v>0</v>
      </c>
      <c r="I841" s="6">
        <f t="shared" si="85"/>
        <v>0</v>
      </c>
      <c r="J841" s="7">
        <f t="shared" si="86"/>
        <v>0</v>
      </c>
      <c r="K841" s="28">
        <v>0</v>
      </c>
      <c r="L841" s="29">
        <v>0</v>
      </c>
      <c r="M841" s="6">
        <f t="shared" si="87"/>
        <v>0</v>
      </c>
      <c r="N841" s="7">
        <f t="shared" si="88"/>
        <v>0</v>
      </c>
      <c r="O841" s="35"/>
      <c r="P841" s="36"/>
      <c r="Q841" s="59"/>
      <c r="R841" s="2" t="str">
        <f t="shared" si="84"/>
        <v>5713|0|0|0|0|0|0|</v>
      </c>
      <c r="S841" s="25"/>
    </row>
    <row r="842" spans="1:19" s="34" customFormat="1" ht="12.75" customHeight="1" x14ac:dyDescent="0.2">
      <c r="A842" s="72" t="s">
        <v>783</v>
      </c>
      <c r="B842" s="61" t="s">
        <v>2040</v>
      </c>
      <c r="C842" s="26">
        <v>0</v>
      </c>
      <c r="D842" s="27">
        <v>0</v>
      </c>
      <c r="E842" s="28">
        <v>0</v>
      </c>
      <c r="F842" s="29">
        <v>0</v>
      </c>
      <c r="G842" s="6">
        <f t="shared" si="82"/>
        <v>0</v>
      </c>
      <c r="H842" s="7">
        <f t="shared" si="83"/>
        <v>0</v>
      </c>
      <c r="I842" s="6">
        <f t="shared" si="85"/>
        <v>0</v>
      </c>
      <c r="J842" s="7">
        <f t="shared" si="86"/>
        <v>0</v>
      </c>
      <c r="K842" s="28">
        <v>0</v>
      </c>
      <c r="L842" s="29">
        <v>0</v>
      </c>
      <c r="M842" s="6">
        <f t="shared" si="87"/>
        <v>0</v>
      </c>
      <c r="N842" s="7">
        <f t="shared" si="88"/>
        <v>0</v>
      </c>
      <c r="O842" s="35"/>
      <c r="P842" s="36"/>
      <c r="Q842" s="59"/>
      <c r="R842" s="2" t="str">
        <f t="shared" si="84"/>
        <v>572|0|0|0|0|0|0|</v>
      </c>
      <c r="S842" s="25"/>
    </row>
    <row r="843" spans="1:19" s="34" customFormat="1" ht="12.75" customHeight="1" x14ac:dyDescent="0.2">
      <c r="A843" s="72" t="s">
        <v>784</v>
      </c>
      <c r="B843" s="61" t="s">
        <v>2041</v>
      </c>
      <c r="C843" s="26">
        <v>0</v>
      </c>
      <c r="D843" s="27">
        <v>0</v>
      </c>
      <c r="E843" s="28">
        <v>0</v>
      </c>
      <c r="F843" s="29">
        <v>0</v>
      </c>
      <c r="G843" s="6">
        <f t="shared" si="82"/>
        <v>0</v>
      </c>
      <c r="H843" s="7">
        <f t="shared" si="83"/>
        <v>0</v>
      </c>
      <c r="I843" s="6">
        <f t="shared" si="85"/>
        <v>0</v>
      </c>
      <c r="J843" s="7">
        <f t="shared" si="86"/>
        <v>0</v>
      </c>
      <c r="K843" s="28">
        <v>0</v>
      </c>
      <c r="L843" s="29">
        <v>0</v>
      </c>
      <c r="M843" s="6">
        <f t="shared" si="87"/>
        <v>0</v>
      </c>
      <c r="N843" s="7">
        <f t="shared" si="88"/>
        <v>0</v>
      </c>
      <c r="O843" s="35"/>
      <c r="P843" s="36"/>
      <c r="Q843" s="59"/>
      <c r="R843" s="2" t="str">
        <f t="shared" si="84"/>
        <v>573|0|0|0|0|0|0|</v>
      </c>
      <c r="S843" s="25"/>
    </row>
    <row r="844" spans="1:19" s="34" customFormat="1" ht="12.75" customHeight="1" x14ac:dyDescent="0.2">
      <c r="A844" s="72" t="s">
        <v>785</v>
      </c>
      <c r="B844" s="61" t="s">
        <v>2042</v>
      </c>
      <c r="C844" s="26">
        <v>0</v>
      </c>
      <c r="D844" s="27">
        <v>0</v>
      </c>
      <c r="E844" s="28">
        <v>0</v>
      </c>
      <c r="F844" s="29">
        <v>0</v>
      </c>
      <c r="G844" s="6">
        <f t="shared" si="82"/>
        <v>0</v>
      </c>
      <c r="H844" s="7">
        <f t="shared" si="83"/>
        <v>0</v>
      </c>
      <c r="I844" s="6">
        <f t="shared" si="85"/>
        <v>0</v>
      </c>
      <c r="J844" s="7">
        <f t="shared" si="86"/>
        <v>0</v>
      </c>
      <c r="K844" s="28">
        <v>0</v>
      </c>
      <c r="L844" s="29">
        <v>0</v>
      </c>
      <c r="M844" s="6">
        <f t="shared" si="87"/>
        <v>0</v>
      </c>
      <c r="N844" s="7">
        <f t="shared" si="88"/>
        <v>0</v>
      </c>
      <c r="O844" s="35"/>
      <c r="P844" s="36"/>
      <c r="Q844" s="59"/>
      <c r="R844" s="2" t="str">
        <f t="shared" si="84"/>
        <v>581|0|0|0|0|0|0|</v>
      </c>
      <c r="S844" s="25"/>
    </row>
    <row r="845" spans="1:19" s="34" customFormat="1" ht="12.75" customHeight="1" x14ac:dyDescent="0.2">
      <c r="A845" s="72" t="s">
        <v>786</v>
      </c>
      <c r="B845" s="61" t="s">
        <v>2043</v>
      </c>
      <c r="C845" s="26">
        <v>0</v>
      </c>
      <c r="D845" s="27">
        <v>0</v>
      </c>
      <c r="E845" s="28">
        <v>0</v>
      </c>
      <c r="F845" s="29">
        <v>0</v>
      </c>
      <c r="G845" s="6">
        <f t="shared" si="82"/>
        <v>0</v>
      </c>
      <c r="H845" s="7">
        <f t="shared" si="83"/>
        <v>0</v>
      </c>
      <c r="I845" s="6">
        <f t="shared" si="85"/>
        <v>0</v>
      </c>
      <c r="J845" s="7">
        <f t="shared" si="86"/>
        <v>0</v>
      </c>
      <c r="K845" s="28">
        <v>0</v>
      </c>
      <c r="L845" s="29">
        <v>0</v>
      </c>
      <c r="M845" s="6">
        <f t="shared" si="87"/>
        <v>0</v>
      </c>
      <c r="N845" s="7">
        <f t="shared" si="88"/>
        <v>0</v>
      </c>
      <c r="O845" s="35"/>
      <c r="P845" s="36"/>
      <c r="Q845" s="59"/>
      <c r="R845" s="2" t="str">
        <f t="shared" si="84"/>
        <v>582|0|0|0|0|0|0|</v>
      </c>
      <c r="S845" s="25"/>
    </row>
    <row r="846" spans="1:19" s="34" customFormat="1" ht="12.75" customHeight="1" x14ac:dyDescent="0.2">
      <c r="A846" s="72" t="s">
        <v>787</v>
      </c>
      <c r="B846" s="61" t="s">
        <v>2044</v>
      </c>
      <c r="C846" s="26">
        <v>0</v>
      </c>
      <c r="D846" s="27">
        <v>0</v>
      </c>
      <c r="E846" s="28">
        <v>0</v>
      </c>
      <c r="F846" s="29">
        <v>0</v>
      </c>
      <c r="G846" s="6">
        <f t="shared" si="82"/>
        <v>0</v>
      </c>
      <c r="H846" s="7">
        <f t="shared" si="83"/>
        <v>0</v>
      </c>
      <c r="I846" s="6">
        <f t="shared" si="85"/>
        <v>0</v>
      </c>
      <c r="J846" s="7">
        <f t="shared" si="86"/>
        <v>0</v>
      </c>
      <c r="K846" s="28">
        <v>0</v>
      </c>
      <c r="L846" s="29">
        <v>0</v>
      </c>
      <c r="M846" s="6">
        <f t="shared" si="87"/>
        <v>0</v>
      </c>
      <c r="N846" s="7">
        <f t="shared" si="88"/>
        <v>0</v>
      </c>
      <c r="O846" s="35"/>
      <c r="P846" s="36"/>
      <c r="Q846" s="59"/>
      <c r="R846" s="2" t="str">
        <f t="shared" si="84"/>
        <v>583|0|0|0|0|0|0|</v>
      </c>
      <c r="S846" s="25"/>
    </row>
    <row r="847" spans="1:19" s="34" customFormat="1" ht="12.75" customHeight="1" x14ac:dyDescent="0.2">
      <c r="A847" s="72" t="s">
        <v>788</v>
      </c>
      <c r="B847" s="61" t="s">
        <v>2045</v>
      </c>
      <c r="C847" s="26">
        <v>0</v>
      </c>
      <c r="D847" s="27">
        <v>0</v>
      </c>
      <c r="E847" s="28">
        <v>0</v>
      </c>
      <c r="F847" s="29">
        <v>0</v>
      </c>
      <c r="G847" s="6">
        <f t="shared" si="82"/>
        <v>0</v>
      </c>
      <c r="H847" s="7">
        <f t="shared" si="83"/>
        <v>0</v>
      </c>
      <c r="I847" s="6">
        <f t="shared" si="85"/>
        <v>0</v>
      </c>
      <c r="J847" s="7">
        <f t="shared" si="86"/>
        <v>0</v>
      </c>
      <c r="K847" s="28">
        <v>0</v>
      </c>
      <c r="L847" s="29">
        <v>0</v>
      </c>
      <c r="M847" s="6">
        <f t="shared" si="87"/>
        <v>0</v>
      </c>
      <c r="N847" s="7">
        <f t="shared" si="88"/>
        <v>0</v>
      </c>
      <c r="O847" s="35"/>
      <c r="P847" s="36"/>
      <c r="Q847" s="59"/>
      <c r="R847" s="2" t="str">
        <f t="shared" si="84"/>
        <v>584|0|0|0|0|0|0|</v>
      </c>
      <c r="S847" s="25"/>
    </row>
    <row r="848" spans="1:19" s="34" customFormat="1" ht="12.75" customHeight="1" x14ac:dyDescent="0.2">
      <c r="A848" s="72" t="s">
        <v>789</v>
      </c>
      <c r="B848" s="61" t="s">
        <v>2046</v>
      </c>
      <c r="C848" s="26">
        <v>0</v>
      </c>
      <c r="D848" s="27">
        <v>0</v>
      </c>
      <c r="E848" s="28">
        <v>0</v>
      </c>
      <c r="F848" s="29">
        <v>0</v>
      </c>
      <c r="G848" s="6">
        <f t="shared" si="82"/>
        <v>0</v>
      </c>
      <c r="H848" s="7">
        <f t="shared" si="83"/>
        <v>0</v>
      </c>
      <c r="I848" s="6">
        <f t="shared" si="85"/>
        <v>0</v>
      </c>
      <c r="J848" s="7">
        <f t="shared" si="86"/>
        <v>0</v>
      </c>
      <c r="K848" s="28">
        <v>0</v>
      </c>
      <c r="L848" s="29">
        <v>0</v>
      </c>
      <c r="M848" s="6">
        <f t="shared" si="87"/>
        <v>0</v>
      </c>
      <c r="N848" s="7">
        <f t="shared" si="88"/>
        <v>0</v>
      </c>
      <c r="O848" s="35"/>
      <c r="P848" s="36"/>
      <c r="Q848" s="59"/>
      <c r="R848" s="2" t="str">
        <f t="shared" si="84"/>
        <v>585|0|0|0|0|0|0|</v>
      </c>
      <c r="S848" s="25"/>
    </row>
    <row r="849" spans="1:19" s="34" customFormat="1" ht="12.75" customHeight="1" x14ac:dyDescent="0.2">
      <c r="A849" s="72" t="s">
        <v>790</v>
      </c>
      <c r="B849" s="61" t="s">
        <v>221</v>
      </c>
      <c r="C849" s="26">
        <v>0</v>
      </c>
      <c r="D849" s="27">
        <v>0</v>
      </c>
      <c r="E849" s="28">
        <v>0</v>
      </c>
      <c r="F849" s="29">
        <v>0</v>
      </c>
      <c r="G849" s="6">
        <f t="shared" si="82"/>
        <v>0</v>
      </c>
      <c r="H849" s="7">
        <f t="shared" si="83"/>
        <v>0</v>
      </c>
      <c r="I849" s="6">
        <f t="shared" si="85"/>
        <v>0</v>
      </c>
      <c r="J849" s="7">
        <f t="shared" si="86"/>
        <v>0</v>
      </c>
      <c r="K849" s="28">
        <v>0</v>
      </c>
      <c r="L849" s="29">
        <v>0</v>
      </c>
      <c r="M849" s="6">
        <f t="shared" si="87"/>
        <v>0</v>
      </c>
      <c r="N849" s="7">
        <f t="shared" si="88"/>
        <v>0</v>
      </c>
      <c r="O849" s="35"/>
      <c r="P849" s="36"/>
      <c r="Q849" s="59"/>
      <c r="R849" s="2" t="str">
        <f t="shared" si="84"/>
        <v>589|0|0|0|0|0|0|</v>
      </c>
      <c r="S849" s="25"/>
    </row>
    <row r="850" spans="1:19" s="34" customFormat="1" ht="12.75" customHeight="1" x14ac:dyDescent="0.2">
      <c r="A850" s="72" t="s">
        <v>791</v>
      </c>
      <c r="B850" s="61" t="s">
        <v>2047</v>
      </c>
      <c r="C850" s="26">
        <v>0</v>
      </c>
      <c r="D850" s="27">
        <v>0</v>
      </c>
      <c r="E850" s="28">
        <v>0</v>
      </c>
      <c r="F850" s="29">
        <v>0</v>
      </c>
      <c r="G850" s="6">
        <f t="shared" si="82"/>
        <v>0</v>
      </c>
      <c r="H850" s="7">
        <f t="shared" si="83"/>
        <v>0</v>
      </c>
      <c r="I850" s="6">
        <f t="shared" si="85"/>
        <v>0</v>
      </c>
      <c r="J850" s="7">
        <f t="shared" si="86"/>
        <v>0</v>
      </c>
      <c r="K850" s="28">
        <v>0</v>
      </c>
      <c r="L850" s="29">
        <v>0</v>
      </c>
      <c r="M850" s="6">
        <f t="shared" si="87"/>
        <v>0</v>
      </c>
      <c r="N850" s="7">
        <f t="shared" si="88"/>
        <v>0</v>
      </c>
      <c r="O850" s="35"/>
      <c r="P850" s="36"/>
      <c r="Q850" s="59"/>
      <c r="R850" s="2" t="str">
        <f t="shared" si="84"/>
        <v>5911|0|0|0|0|0|0|</v>
      </c>
      <c r="S850" s="25"/>
    </row>
    <row r="851" spans="1:19" s="34" customFormat="1" ht="12.75" customHeight="1" x14ac:dyDescent="0.2">
      <c r="A851" s="72" t="s">
        <v>792</v>
      </c>
      <c r="B851" s="61" t="s">
        <v>2048</v>
      </c>
      <c r="C851" s="26">
        <v>0</v>
      </c>
      <c r="D851" s="27">
        <v>0</v>
      </c>
      <c r="E851" s="28">
        <v>0</v>
      </c>
      <c r="F851" s="29">
        <v>0</v>
      </c>
      <c r="G851" s="6">
        <f t="shared" si="82"/>
        <v>0</v>
      </c>
      <c r="H851" s="7">
        <f t="shared" si="83"/>
        <v>0</v>
      </c>
      <c r="I851" s="6">
        <f t="shared" si="85"/>
        <v>0</v>
      </c>
      <c r="J851" s="7">
        <f t="shared" si="86"/>
        <v>0</v>
      </c>
      <c r="K851" s="28">
        <v>0</v>
      </c>
      <c r="L851" s="29">
        <v>0</v>
      </c>
      <c r="M851" s="6">
        <f t="shared" si="87"/>
        <v>0</v>
      </c>
      <c r="N851" s="7">
        <f t="shared" si="88"/>
        <v>0</v>
      </c>
      <c r="O851" s="35"/>
      <c r="P851" s="36"/>
      <c r="Q851" s="59"/>
      <c r="R851" s="2" t="str">
        <f t="shared" si="84"/>
        <v>5912|0|0|0|0|0|0|</v>
      </c>
      <c r="S851" s="25"/>
    </row>
    <row r="852" spans="1:19" s="34" customFormat="1" ht="12.75" customHeight="1" x14ac:dyDescent="0.2">
      <c r="A852" s="72" t="s">
        <v>793</v>
      </c>
      <c r="B852" s="61" t="s">
        <v>2049</v>
      </c>
      <c r="C852" s="26">
        <v>0</v>
      </c>
      <c r="D852" s="27">
        <v>0</v>
      </c>
      <c r="E852" s="28">
        <v>0</v>
      </c>
      <c r="F852" s="29">
        <v>0</v>
      </c>
      <c r="G852" s="6">
        <f t="shared" si="82"/>
        <v>0</v>
      </c>
      <c r="H852" s="7">
        <f t="shared" si="83"/>
        <v>0</v>
      </c>
      <c r="I852" s="6">
        <f t="shared" si="85"/>
        <v>0</v>
      </c>
      <c r="J852" s="7">
        <f t="shared" si="86"/>
        <v>0</v>
      </c>
      <c r="K852" s="28">
        <v>0</v>
      </c>
      <c r="L852" s="29">
        <v>0</v>
      </c>
      <c r="M852" s="6">
        <f t="shared" si="87"/>
        <v>0</v>
      </c>
      <c r="N852" s="7">
        <f t="shared" si="88"/>
        <v>0</v>
      </c>
      <c r="O852" s="35"/>
      <c r="P852" s="36"/>
      <c r="Q852" s="59"/>
      <c r="R852" s="2" t="str">
        <f t="shared" si="84"/>
        <v>5921|0|0|0|0|0|0|</v>
      </c>
      <c r="S852" s="25"/>
    </row>
    <row r="853" spans="1:19" s="34" customFormat="1" ht="12.75" customHeight="1" x14ac:dyDescent="0.2">
      <c r="A853" s="72" t="s">
        <v>794</v>
      </c>
      <c r="B853" s="61" t="s">
        <v>2050</v>
      </c>
      <c r="C853" s="26">
        <v>0</v>
      </c>
      <c r="D853" s="27">
        <v>0</v>
      </c>
      <c r="E853" s="28">
        <v>0</v>
      </c>
      <c r="F853" s="29">
        <v>0</v>
      </c>
      <c r="G853" s="6">
        <f t="shared" si="82"/>
        <v>0</v>
      </c>
      <c r="H853" s="7">
        <f t="shared" si="83"/>
        <v>0</v>
      </c>
      <c r="I853" s="6">
        <f t="shared" si="85"/>
        <v>0</v>
      </c>
      <c r="J853" s="7">
        <f t="shared" si="86"/>
        <v>0</v>
      </c>
      <c r="K853" s="28">
        <v>0</v>
      </c>
      <c r="L853" s="29">
        <v>0</v>
      </c>
      <c r="M853" s="6">
        <f t="shared" si="87"/>
        <v>0</v>
      </c>
      <c r="N853" s="7">
        <f t="shared" si="88"/>
        <v>0</v>
      </c>
      <c r="O853" s="35"/>
      <c r="P853" s="36"/>
      <c r="Q853" s="59"/>
      <c r="R853" s="2" t="str">
        <f t="shared" si="84"/>
        <v>5922|0|0|0|0|0|0|</v>
      </c>
      <c r="S853" s="25"/>
    </row>
    <row r="854" spans="1:19" s="34" customFormat="1" ht="12.75" customHeight="1" x14ac:dyDescent="0.2">
      <c r="A854" s="72" t="s">
        <v>795</v>
      </c>
      <c r="B854" s="61" t="s">
        <v>2051</v>
      </c>
      <c r="C854" s="37"/>
      <c r="D854" s="38"/>
      <c r="E854" s="28">
        <v>0</v>
      </c>
      <c r="F854" s="29">
        <v>0</v>
      </c>
      <c r="G854" s="6">
        <f>+E854</f>
        <v>0</v>
      </c>
      <c r="H854" s="7">
        <f>+F854</f>
        <v>0</v>
      </c>
      <c r="I854" s="6">
        <f t="shared" ref="I854:I872" si="89">IF($E854-$F854&gt;=0,$E854-$F854,0)</f>
        <v>0</v>
      </c>
      <c r="J854" s="7">
        <f t="shared" ref="J854:J872" si="90">IF($E854-$F854&lt;0,-$E854+$F854,0)</f>
        <v>0</v>
      </c>
      <c r="K854" s="28">
        <v>0</v>
      </c>
      <c r="L854" s="29">
        <v>0</v>
      </c>
      <c r="M854" s="35"/>
      <c r="N854" s="36"/>
      <c r="O854" s="6">
        <f t="shared" ref="O854:O872" si="91">IF($I854-$J854+$K854-$L854&gt;=0,$I854-$J854+$K854-$L854,0)</f>
        <v>0</v>
      </c>
      <c r="P854" s="7">
        <f t="shared" ref="P854:P872" si="92">IF($I854-$J854+$K854-$L854&lt;0,-($I854-$J854+$K854-$L854),0)</f>
        <v>0</v>
      </c>
      <c r="Q854" s="59"/>
      <c r="R854" s="2" t="str">
        <f t="shared" si="84"/>
        <v>6011|||0|0|0|0|</v>
      </c>
      <c r="S854" s="25"/>
    </row>
    <row r="855" spans="1:19" s="34" customFormat="1" ht="12.75" customHeight="1" x14ac:dyDescent="0.2">
      <c r="A855" s="72" t="s">
        <v>796</v>
      </c>
      <c r="B855" s="61" t="s">
        <v>2052</v>
      </c>
      <c r="C855" s="37"/>
      <c r="D855" s="38"/>
      <c r="E855" s="28">
        <v>0</v>
      </c>
      <c r="F855" s="29">
        <v>0</v>
      </c>
      <c r="G855" s="6">
        <f t="shared" ref="G855:G918" si="93">+E855</f>
        <v>0</v>
      </c>
      <c r="H855" s="7">
        <f t="shared" ref="H855:H918" si="94">+F855</f>
        <v>0</v>
      </c>
      <c r="I855" s="6">
        <f t="shared" si="89"/>
        <v>0</v>
      </c>
      <c r="J855" s="7">
        <f t="shared" si="90"/>
        <v>0</v>
      </c>
      <c r="K855" s="28">
        <v>0</v>
      </c>
      <c r="L855" s="29">
        <v>0</v>
      </c>
      <c r="M855" s="35"/>
      <c r="N855" s="36"/>
      <c r="O855" s="6">
        <f t="shared" si="91"/>
        <v>0</v>
      </c>
      <c r="P855" s="7">
        <f t="shared" si="92"/>
        <v>0</v>
      </c>
      <c r="Q855" s="59"/>
      <c r="R855" s="2" t="str">
        <f t="shared" si="84"/>
        <v>6012|||0|0|0|0|</v>
      </c>
      <c r="S855" s="25"/>
    </row>
    <row r="856" spans="1:19" s="34" customFormat="1" ht="12.75" customHeight="1" x14ac:dyDescent="0.2">
      <c r="A856" s="72" t="s">
        <v>797</v>
      </c>
      <c r="B856" s="61" t="s">
        <v>2053</v>
      </c>
      <c r="C856" s="37"/>
      <c r="D856" s="38"/>
      <c r="E856" s="28">
        <v>0</v>
      </c>
      <c r="F856" s="29">
        <v>0</v>
      </c>
      <c r="G856" s="6">
        <f t="shared" si="93"/>
        <v>0</v>
      </c>
      <c r="H856" s="7">
        <f t="shared" si="94"/>
        <v>0</v>
      </c>
      <c r="I856" s="6">
        <f t="shared" si="89"/>
        <v>0</v>
      </c>
      <c r="J856" s="7">
        <f t="shared" si="90"/>
        <v>0</v>
      </c>
      <c r="K856" s="28">
        <v>0</v>
      </c>
      <c r="L856" s="29">
        <v>0</v>
      </c>
      <c r="M856" s="35"/>
      <c r="N856" s="36"/>
      <c r="O856" s="6">
        <f t="shared" si="91"/>
        <v>0</v>
      </c>
      <c r="P856" s="7">
        <f t="shared" si="92"/>
        <v>0</v>
      </c>
      <c r="Q856" s="59"/>
      <c r="R856" s="2" t="str">
        <f t="shared" si="84"/>
        <v>6013|||0|0|0|0|</v>
      </c>
      <c r="S856" s="25"/>
    </row>
    <row r="857" spans="1:19" s="34" customFormat="1" ht="12.75" customHeight="1" x14ac:dyDescent="0.2">
      <c r="A857" s="72" t="s">
        <v>798</v>
      </c>
      <c r="B857" s="61" t="s">
        <v>2054</v>
      </c>
      <c r="C857" s="37"/>
      <c r="D857" s="38"/>
      <c r="E857" s="28">
        <v>0</v>
      </c>
      <c r="F857" s="29">
        <v>0</v>
      </c>
      <c r="G857" s="6">
        <f t="shared" si="93"/>
        <v>0</v>
      </c>
      <c r="H857" s="7">
        <f t="shared" si="94"/>
        <v>0</v>
      </c>
      <c r="I857" s="6">
        <f t="shared" si="89"/>
        <v>0</v>
      </c>
      <c r="J857" s="7">
        <f t="shared" si="90"/>
        <v>0</v>
      </c>
      <c r="K857" s="28">
        <v>0</v>
      </c>
      <c r="L857" s="29">
        <v>0</v>
      </c>
      <c r="M857" s="35"/>
      <c r="N857" s="36"/>
      <c r="O857" s="6">
        <f t="shared" si="91"/>
        <v>0</v>
      </c>
      <c r="P857" s="7">
        <f t="shared" si="92"/>
        <v>0</v>
      </c>
      <c r="Q857" s="59"/>
      <c r="R857" s="2" t="str">
        <f t="shared" si="84"/>
        <v>6014|||0|0|0|0|</v>
      </c>
      <c r="S857" s="25"/>
    </row>
    <row r="858" spans="1:19" s="34" customFormat="1" ht="12.75" customHeight="1" x14ac:dyDescent="0.2">
      <c r="A858" s="72" t="s">
        <v>799</v>
      </c>
      <c r="B858" s="61" t="s">
        <v>2055</v>
      </c>
      <c r="C858" s="37"/>
      <c r="D858" s="38"/>
      <c r="E858" s="28">
        <v>0</v>
      </c>
      <c r="F858" s="29">
        <v>0</v>
      </c>
      <c r="G858" s="6">
        <f t="shared" si="93"/>
        <v>0</v>
      </c>
      <c r="H858" s="7">
        <f t="shared" si="94"/>
        <v>0</v>
      </c>
      <c r="I858" s="6">
        <f t="shared" si="89"/>
        <v>0</v>
      </c>
      <c r="J858" s="7">
        <f t="shared" si="90"/>
        <v>0</v>
      </c>
      <c r="K858" s="28">
        <v>0</v>
      </c>
      <c r="L858" s="29">
        <v>0</v>
      </c>
      <c r="M858" s="35"/>
      <c r="N858" s="36"/>
      <c r="O858" s="6">
        <f t="shared" si="91"/>
        <v>0</v>
      </c>
      <c r="P858" s="7">
        <f t="shared" si="92"/>
        <v>0</v>
      </c>
      <c r="Q858" s="59"/>
      <c r="R858" s="2" t="str">
        <f t="shared" si="84"/>
        <v>6018|||0|0|0|0|</v>
      </c>
      <c r="S858" s="25"/>
    </row>
    <row r="859" spans="1:19" s="34" customFormat="1" ht="12.75" customHeight="1" x14ac:dyDescent="0.2">
      <c r="A859" s="72" t="s">
        <v>800</v>
      </c>
      <c r="B859" s="61" t="s">
        <v>2056</v>
      </c>
      <c r="C859" s="37"/>
      <c r="D859" s="38"/>
      <c r="E859" s="28">
        <v>0</v>
      </c>
      <c r="F859" s="29">
        <v>0</v>
      </c>
      <c r="G859" s="6">
        <f t="shared" si="93"/>
        <v>0</v>
      </c>
      <c r="H859" s="7">
        <f t="shared" si="94"/>
        <v>0</v>
      </c>
      <c r="I859" s="6">
        <f t="shared" si="89"/>
        <v>0</v>
      </c>
      <c r="J859" s="7">
        <f t="shared" si="90"/>
        <v>0</v>
      </c>
      <c r="K859" s="28">
        <v>0</v>
      </c>
      <c r="L859" s="29">
        <v>0</v>
      </c>
      <c r="M859" s="35"/>
      <c r="N859" s="36"/>
      <c r="O859" s="6">
        <f t="shared" si="91"/>
        <v>0</v>
      </c>
      <c r="P859" s="7">
        <f t="shared" si="92"/>
        <v>0</v>
      </c>
      <c r="Q859" s="59"/>
      <c r="R859" s="2" t="str">
        <f t="shared" si="84"/>
        <v>6021|||0|0|0|0|</v>
      </c>
      <c r="S859" s="25"/>
    </row>
    <row r="860" spans="1:19" s="34" customFormat="1" ht="12.75" customHeight="1" x14ac:dyDescent="0.2">
      <c r="A860" s="72" t="s">
        <v>801</v>
      </c>
      <c r="B860" s="61" t="s">
        <v>2057</v>
      </c>
      <c r="C860" s="37"/>
      <c r="D860" s="38"/>
      <c r="E860" s="28">
        <v>0</v>
      </c>
      <c r="F860" s="29">
        <v>0</v>
      </c>
      <c r="G860" s="6">
        <f t="shared" si="93"/>
        <v>0</v>
      </c>
      <c r="H860" s="7">
        <f t="shared" si="94"/>
        <v>0</v>
      </c>
      <c r="I860" s="6">
        <f t="shared" si="89"/>
        <v>0</v>
      </c>
      <c r="J860" s="7">
        <f t="shared" si="90"/>
        <v>0</v>
      </c>
      <c r="K860" s="28">
        <v>0</v>
      </c>
      <c r="L860" s="29">
        <v>0</v>
      </c>
      <c r="M860" s="35"/>
      <c r="N860" s="36"/>
      <c r="O860" s="6">
        <f t="shared" si="91"/>
        <v>0</v>
      </c>
      <c r="P860" s="7">
        <f t="shared" si="92"/>
        <v>0</v>
      </c>
      <c r="Q860" s="59"/>
      <c r="R860" s="2" t="str">
        <f t="shared" si="84"/>
        <v>6022|||0|0|0|0|</v>
      </c>
      <c r="S860" s="25"/>
    </row>
    <row r="861" spans="1:19" s="34" customFormat="1" ht="12.75" customHeight="1" x14ac:dyDescent="0.2">
      <c r="A861" s="72" t="s">
        <v>802</v>
      </c>
      <c r="B861" s="61" t="s">
        <v>2058</v>
      </c>
      <c r="C861" s="37"/>
      <c r="D861" s="38"/>
      <c r="E861" s="28">
        <v>0</v>
      </c>
      <c r="F861" s="29">
        <v>0</v>
      </c>
      <c r="G861" s="6">
        <f t="shared" si="93"/>
        <v>0</v>
      </c>
      <c r="H861" s="7">
        <f t="shared" si="94"/>
        <v>0</v>
      </c>
      <c r="I861" s="6">
        <f t="shared" si="89"/>
        <v>0</v>
      </c>
      <c r="J861" s="7">
        <f t="shared" si="90"/>
        <v>0</v>
      </c>
      <c r="K861" s="28">
        <v>0</v>
      </c>
      <c r="L861" s="29">
        <v>0</v>
      </c>
      <c r="M861" s="35"/>
      <c r="N861" s="36"/>
      <c r="O861" s="6">
        <f t="shared" si="91"/>
        <v>0</v>
      </c>
      <c r="P861" s="7">
        <f t="shared" si="92"/>
        <v>0</v>
      </c>
      <c r="Q861" s="59"/>
      <c r="R861" s="2" t="str">
        <f t="shared" si="84"/>
        <v>6023|||0|0|0|0|</v>
      </c>
      <c r="S861" s="25"/>
    </row>
    <row r="862" spans="1:19" s="34" customFormat="1" ht="12.75" customHeight="1" x14ac:dyDescent="0.2">
      <c r="A862" s="72" t="s">
        <v>803</v>
      </c>
      <c r="B862" s="61" t="s">
        <v>2059</v>
      </c>
      <c r="C862" s="37"/>
      <c r="D862" s="38"/>
      <c r="E862" s="28">
        <v>0</v>
      </c>
      <c r="F862" s="29">
        <v>0</v>
      </c>
      <c r="G862" s="6">
        <f t="shared" si="93"/>
        <v>0</v>
      </c>
      <c r="H862" s="7">
        <f t="shared" si="94"/>
        <v>0</v>
      </c>
      <c r="I862" s="6">
        <f t="shared" si="89"/>
        <v>0</v>
      </c>
      <c r="J862" s="7">
        <f t="shared" si="90"/>
        <v>0</v>
      </c>
      <c r="K862" s="28">
        <v>0</v>
      </c>
      <c r="L862" s="29">
        <v>0</v>
      </c>
      <c r="M862" s="35"/>
      <c r="N862" s="36"/>
      <c r="O862" s="6">
        <f t="shared" si="91"/>
        <v>0</v>
      </c>
      <c r="P862" s="7">
        <f t="shared" si="92"/>
        <v>0</v>
      </c>
      <c r="Q862" s="59"/>
      <c r="R862" s="2" t="str">
        <f t="shared" si="84"/>
        <v>6024|||0|0|0|0|</v>
      </c>
      <c r="S862" s="25"/>
    </row>
    <row r="863" spans="1:19" s="34" customFormat="1" ht="12.75" customHeight="1" x14ac:dyDescent="0.2">
      <c r="A863" s="72" t="s">
        <v>804</v>
      </c>
      <c r="B863" s="61" t="s">
        <v>2060</v>
      </c>
      <c r="C863" s="37"/>
      <c r="D863" s="38"/>
      <c r="E863" s="28">
        <v>0</v>
      </c>
      <c r="F863" s="29">
        <v>0</v>
      </c>
      <c r="G863" s="6">
        <f t="shared" si="93"/>
        <v>0</v>
      </c>
      <c r="H863" s="7">
        <f t="shared" si="94"/>
        <v>0</v>
      </c>
      <c r="I863" s="6">
        <f t="shared" si="89"/>
        <v>0</v>
      </c>
      <c r="J863" s="7">
        <f t="shared" si="90"/>
        <v>0</v>
      </c>
      <c r="K863" s="28">
        <v>0</v>
      </c>
      <c r="L863" s="29">
        <v>0</v>
      </c>
      <c r="M863" s="35"/>
      <c r="N863" s="36"/>
      <c r="O863" s="6">
        <f t="shared" si="91"/>
        <v>0</v>
      </c>
      <c r="P863" s="7">
        <f t="shared" si="92"/>
        <v>0</v>
      </c>
      <c r="Q863" s="59"/>
      <c r="R863" s="2" t="str">
        <f t="shared" si="84"/>
        <v>6031|||0|0|0|0|</v>
      </c>
      <c r="S863" s="25"/>
    </row>
    <row r="864" spans="1:19" s="34" customFormat="1" ht="12.75" customHeight="1" x14ac:dyDescent="0.2">
      <c r="A864" s="72" t="s">
        <v>805</v>
      </c>
      <c r="B864" s="61" t="s">
        <v>2061</v>
      </c>
      <c r="C864" s="37"/>
      <c r="D864" s="38"/>
      <c r="E864" s="28">
        <v>0</v>
      </c>
      <c r="F864" s="29">
        <v>0</v>
      </c>
      <c r="G864" s="6">
        <f t="shared" si="93"/>
        <v>0</v>
      </c>
      <c r="H864" s="7">
        <f t="shared" si="94"/>
        <v>0</v>
      </c>
      <c r="I864" s="6">
        <f t="shared" si="89"/>
        <v>0</v>
      </c>
      <c r="J864" s="7">
        <f t="shared" si="90"/>
        <v>0</v>
      </c>
      <c r="K864" s="28">
        <v>0</v>
      </c>
      <c r="L864" s="29">
        <v>0</v>
      </c>
      <c r="M864" s="35"/>
      <c r="N864" s="36"/>
      <c r="O864" s="6">
        <f t="shared" si="91"/>
        <v>0</v>
      </c>
      <c r="P864" s="7">
        <f t="shared" si="92"/>
        <v>0</v>
      </c>
      <c r="Q864" s="59"/>
      <c r="R864" s="2" t="str">
        <f t="shared" si="84"/>
        <v>6032|||0|0|0|0|</v>
      </c>
      <c r="S864" s="25"/>
    </row>
    <row r="865" spans="1:19" s="34" customFormat="1" ht="12.75" customHeight="1" x14ac:dyDescent="0.2">
      <c r="A865" s="72" t="s">
        <v>806</v>
      </c>
      <c r="B865" s="61" t="s">
        <v>2062</v>
      </c>
      <c r="C865" s="37"/>
      <c r="D865" s="38"/>
      <c r="E865" s="28">
        <v>0</v>
      </c>
      <c r="F865" s="29">
        <v>0</v>
      </c>
      <c r="G865" s="6">
        <f t="shared" si="93"/>
        <v>0</v>
      </c>
      <c r="H865" s="7">
        <f t="shared" si="94"/>
        <v>0</v>
      </c>
      <c r="I865" s="6">
        <f t="shared" si="89"/>
        <v>0</v>
      </c>
      <c r="J865" s="7">
        <f t="shared" si="90"/>
        <v>0</v>
      </c>
      <c r="K865" s="28">
        <v>0</v>
      </c>
      <c r="L865" s="29">
        <v>0</v>
      </c>
      <c r="M865" s="35"/>
      <c r="N865" s="36"/>
      <c r="O865" s="6">
        <f t="shared" si="91"/>
        <v>0</v>
      </c>
      <c r="P865" s="7">
        <f t="shared" si="92"/>
        <v>0</v>
      </c>
      <c r="Q865" s="59"/>
      <c r="R865" s="2" t="str">
        <f t="shared" si="84"/>
        <v>6033|||0|0|0|0|</v>
      </c>
      <c r="S865" s="25"/>
    </row>
    <row r="866" spans="1:19" s="34" customFormat="1" ht="12.75" customHeight="1" x14ac:dyDescent="0.2">
      <c r="A866" s="72" t="s">
        <v>807</v>
      </c>
      <c r="B866" s="61" t="s">
        <v>2063</v>
      </c>
      <c r="C866" s="37"/>
      <c r="D866" s="38"/>
      <c r="E866" s="28">
        <v>0</v>
      </c>
      <c r="F866" s="29">
        <v>0</v>
      </c>
      <c r="G866" s="6">
        <f t="shared" si="93"/>
        <v>0</v>
      </c>
      <c r="H866" s="7">
        <f t="shared" si="94"/>
        <v>0</v>
      </c>
      <c r="I866" s="6">
        <f t="shared" si="89"/>
        <v>0</v>
      </c>
      <c r="J866" s="7">
        <f t="shared" si="90"/>
        <v>0</v>
      </c>
      <c r="K866" s="28">
        <v>0</v>
      </c>
      <c r="L866" s="29">
        <v>0</v>
      </c>
      <c r="M866" s="35"/>
      <c r="N866" s="36"/>
      <c r="O866" s="6">
        <f t="shared" si="91"/>
        <v>0</v>
      </c>
      <c r="P866" s="7">
        <f t="shared" si="92"/>
        <v>0</v>
      </c>
      <c r="Q866" s="59"/>
      <c r="R866" s="2" t="str">
        <f t="shared" si="84"/>
        <v>6041|||0|0|0|0|</v>
      </c>
      <c r="S866" s="25"/>
    </row>
    <row r="867" spans="1:19" s="34" customFormat="1" ht="12.75" customHeight="1" x14ac:dyDescent="0.2">
      <c r="A867" s="72" t="s">
        <v>808</v>
      </c>
      <c r="B867" s="61" t="s">
        <v>2064</v>
      </c>
      <c r="C867" s="37"/>
      <c r="D867" s="38"/>
      <c r="E867" s="28">
        <v>0</v>
      </c>
      <c r="F867" s="29">
        <v>0</v>
      </c>
      <c r="G867" s="6">
        <f t="shared" si="93"/>
        <v>0</v>
      </c>
      <c r="H867" s="7">
        <f t="shared" si="94"/>
        <v>0</v>
      </c>
      <c r="I867" s="6">
        <f t="shared" si="89"/>
        <v>0</v>
      </c>
      <c r="J867" s="7">
        <f t="shared" si="90"/>
        <v>0</v>
      </c>
      <c r="K867" s="28">
        <v>0</v>
      </c>
      <c r="L867" s="29">
        <v>0</v>
      </c>
      <c r="M867" s="35"/>
      <c r="N867" s="36"/>
      <c r="O867" s="6">
        <f t="shared" si="91"/>
        <v>0</v>
      </c>
      <c r="P867" s="7">
        <f t="shared" si="92"/>
        <v>0</v>
      </c>
      <c r="Q867" s="59"/>
      <c r="R867" s="2" t="str">
        <f t="shared" si="84"/>
        <v>6042|||0|0|0|0|</v>
      </c>
      <c r="S867" s="25"/>
    </row>
    <row r="868" spans="1:19" s="34" customFormat="1" ht="12.75" customHeight="1" x14ac:dyDescent="0.2">
      <c r="A868" s="72" t="s">
        <v>809</v>
      </c>
      <c r="B868" s="61" t="s">
        <v>2065</v>
      </c>
      <c r="C868" s="37"/>
      <c r="D868" s="38"/>
      <c r="E868" s="28">
        <v>0</v>
      </c>
      <c r="F868" s="29">
        <v>0</v>
      </c>
      <c r="G868" s="6">
        <f t="shared" si="93"/>
        <v>0</v>
      </c>
      <c r="H868" s="7">
        <f t="shared" si="94"/>
        <v>0</v>
      </c>
      <c r="I868" s="6">
        <f t="shared" si="89"/>
        <v>0</v>
      </c>
      <c r="J868" s="7">
        <f t="shared" si="90"/>
        <v>0</v>
      </c>
      <c r="K868" s="28">
        <v>0</v>
      </c>
      <c r="L868" s="29">
        <v>0</v>
      </c>
      <c r="M868" s="35"/>
      <c r="N868" s="36"/>
      <c r="O868" s="6">
        <f t="shared" si="91"/>
        <v>0</v>
      </c>
      <c r="P868" s="7">
        <f t="shared" si="92"/>
        <v>0</v>
      </c>
      <c r="Q868" s="59"/>
      <c r="R868" s="2" t="str">
        <f t="shared" si="84"/>
        <v>60911|||0|0|0|0|</v>
      </c>
      <c r="S868" s="25"/>
    </row>
    <row r="869" spans="1:19" s="34" customFormat="1" ht="12.75" customHeight="1" x14ac:dyDescent="0.2">
      <c r="A869" s="72" t="s">
        <v>810</v>
      </c>
      <c r="B869" s="61" t="s">
        <v>2066</v>
      </c>
      <c r="C869" s="37"/>
      <c r="D869" s="38"/>
      <c r="E869" s="28">
        <v>0</v>
      </c>
      <c r="F869" s="29">
        <v>0</v>
      </c>
      <c r="G869" s="6">
        <f t="shared" si="93"/>
        <v>0</v>
      </c>
      <c r="H869" s="7">
        <f t="shared" si="94"/>
        <v>0</v>
      </c>
      <c r="I869" s="6">
        <f t="shared" si="89"/>
        <v>0</v>
      </c>
      <c r="J869" s="7">
        <f t="shared" si="90"/>
        <v>0</v>
      </c>
      <c r="K869" s="28">
        <v>0</v>
      </c>
      <c r="L869" s="29">
        <v>0</v>
      </c>
      <c r="M869" s="35"/>
      <c r="N869" s="36"/>
      <c r="O869" s="6">
        <f t="shared" si="91"/>
        <v>0</v>
      </c>
      <c r="P869" s="7">
        <f t="shared" si="92"/>
        <v>0</v>
      </c>
      <c r="Q869" s="59"/>
      <c r="R869" s="2" t="str">
        <f t="shared" si="84"/>
        <v>60912|||0|0|0|0|</v>
      </c>
      <c r="S869" s="25"/>
    </row>
    <row r="870" spans="1:19" s="34" customFormat="1" ht="12.75" customHeight="1" x14ac:dyDescent="0.2">
      <c r="A870" s="72" t="s">
        <v>811</v>
      </c>
      <c r="B870" s="61" t="s">
        <v>2067</v>
      </c>
      <c r="C870" s="37"/>
      <c r="D870" s="38"/>
      <c r="E870" s="28">
        <v>0</v>
      </c>
      <c r="F870" s="29">
        <v>0</v>
      </c>
      <c r="G870" s="6">
        <f t="shared" si="93"/>
        <v>0</v>
      </c>
      <c r="H870" s="7">
        <f t="shared" si="94"/>
        <v>0</v>
      </c>
      <c r="I870" s="6">
        <f t="shared" si="89"/>
        <v>0</v>
      </c>
      <c r="J870" s="7">
        <f t="shared" si="90"/>
        <v>0</v>
      </c>
      <c r="K870" s="28">
        <v>0</v>
      </c>
      <c r="L870" s="29">
        <v>0</v>
      </c>
      <c r="M870" s="35"/>
      <c r="N870" s="36"/>
      <c r="O870" s="6">
        <f t="shared" si="91"/>
        <v>0</v>
      </c>
      <c r="P870" s="7">
        <f t="shared" si="92"/>
        <v>0</v>
      </c>
      <c r="Q870" s="59"/>
      <c r="R870" s="2" t="str">
        <f t="shared" si="84"/>
        <v>60913|||0|0|0|0|</v>
      </c>
      <c r="S870" s="25"/>
    </row>
    <row r="871" spans="1:19" s="34" customFormat="1" ht="12.75" customHeight="1" x14ac:dyDescent="0.2">
      <c r="A871" s="72" t="s">
        <v>812</v>
      </c>
      <c r="B871" s="61" t="s">
        <v>2068</v>
      </c>
      <c r="C871" s="37"/>
      <c r="D871" s="38"/>
      <c r="E871" s="28">
        <v>0</v>
      </c>
      <c r="F871" s="29">
        <v>0</v>
      </c>
      <c r="G871" s="6">
        <f t="shared" si="93"/>
        <v>0</v>
      </c>
      <c r="H871" s="7">
        <f t="shared" si="94"/>
        <v>0</v>
      </c>
      <c r="I871" s="6">
        <f t="shared" si="89"/>
        <v>0</v>
      </c>
      <c r="J871" s="7">
        <f t="shared" si="90"/>
        <v>0</v>
      </c>
      <c r="K871" s="28">
        <v>0</v>
      </c>
      <c r="L871" s="29">
        <v>0</v>
      </c>
      <c r="M871" s="35"/>
      <c r="N871" s="36"/>
      <c r="O871" s="6">
        <f t="shared" si="91"/>
        <v>0</v>
      </c>
      <c r="P871" s="7">
        <f t="shared" si="92"/>
        <v>0</v>
      </c>
      <c r="Q871" s="59"/>
      <c r="R871" s="2" t="str">
        <f t="shared" si="84"/>
        <v>60914|||0|0|0|0|</v>
      </c>
      <c r="S871" s="25"/>
    </row>
    <row r="872" spans="1:19" s="34" customFormat="1" ht="12.75" customHeight="1" x14ac:dyDescent="0.2">
      <c r="A872" s="72" t="s">
        <v>813</v>
      </c>
      <c r="B872" s="61" t="s">
        <v>2069</v>
      </c>
      <c r="C872" s="37"/>
      <c r="D872" s="38"/>
      <c r="E872" s="28">
        <v>0</v>
      </c>
      <c r="F872" s="29">
        <v>0</v>
      </c>
      <c r="G872" s="6">
        <f t="shared" si="93"/>
        <v>0</v>
      </c>
      <c r="H872" s="7">
        <f t="shared" si="94"/>
        <v>0</v>
      </c>
      <c r="I872" s="6">
        <f t="shared" si="89"/>
        <v>0</v>
      </c>
      <c r="J872" s="7">
        <f t="shared" si="90"/>
        <v>0</v>
      </c>
      <c r="K872" s="28">
        <v>0</v>
      </c>
      <c r="L872" s="29">
        <v>0</v>
      </c>
      <c r="M872" s="35"/>
      <c r="N872" s="36"/>
      <c r="O872" s="6">
        <f t="shared" si="91"/>
        <v>0</v>
      </c>
      <c r="P872" s="7">
        <f t="shared" si="92"/>
        <v>0</v>
      </c>
      <c r="Q872" s="59"/>
      <c r="R872" s="2" t="str">
        <f t="shared" si="84"/>
        <v>60919|||0|0|0|0|</v>
      </c>
      <c r="S872" s="25"/>
    </row>
    <row r="873" spans="1:19" s="34" customFormat="1" ht="12.75" customHeight="1" x14ac:dyDescent="0.2">
      <c r="A873" s="72" t="s">
        <v>814</v>
      </c>
      <c r="B873" s="61" t="s">
        <v>2070</v>
      </c>
      <c r="C873" s="37"/>
      <c r="D873" s="38"/>
      <c r="E873" s="28">
        <v>0</v>
      </c>
      <c r="F873" s="29">
        <v>0</v>
      </c>
      <c r="G873" s="6">
        <f t="shared" si="93"/>
        <v>0</v>
      </c>
      <c r="H873" s="7">
        <f t="shared" si="94"/>
        <v>0</v>
      </c>
      <c r="I873" s="6">
        <f t="shared" ref="I873:I936" si="95">IF($E873-$F873&gt;=0,$E873-$F873,0)</f>
        <v>0</v>
      </c>
      <c r="J873" s="7">
        <f t="shared" ref="J873:J936" si="96">IF($E873-$F873&lt;0,-$E873+$F873,0)</f>
        <v>0</v>
      </c>
      <c r="K873" s="28">
        <v>0</v>
      </c>
      <c r="L873" s="29">
        <v>0</v>
      </c>
      <c r="M873" s="35"/>
      <c r="N873" s="36"/>
      <c r="O873" s="6">
        <f t="shared" ref="O873:O936" si="97">IF($I873-$J873+$K873-$L873&gt;=0,$I873-$J873+$K873-$L873,0)</f>
        <v>0</v>
      </c>
      <c r="P873" s="7">
        <f t="shared" ref="P873:P936" si="98">IF($I873-$J873+$K873-$L873&lt;0,-($I873-$J873+$K873-$L873),0)</f>
        <v>0</v>
      </c>
      <c r="Q873" s="59"/>
      <c r="R873" s="2" t="str">
        <f t="shared" si="84"/>
        <v>60921|||0|0|0|0|</v>
      </c>
      <c r="S873" s="25"/>
    </row>
    <row r="874" spans="1:19" s="34" customFormat="1" ht="12.75" customHeight="1" x14ac:dyDescent="0.2">
      <c r="A874" s="72" t="s">
        <v>815</v>
      </c>
      <c r="B874" s="61" t="s">
        <v>2071</v>
      </c>
      <c r="C874" s="37"/>
      <c r="D874" s="38"/>
      <c r="E874" s="28">
        <v>0</v>
      </c>
      <c r="F874" s="29">
        <v>0</v>
      </c>
      <c r="G874" s="6">
        <f t="shared" si="93"/>
        <v>0</v>
      </c>
      <c r="H874" s="7">
        <f t="shared" si="94"/>
        <v>0</v>
      </c>
      <c r="I874" s="6">
        <f t="shared" si="95"/>
        <v>0</v>
      </c>
      <c r="J874" s="7">
        <f t="shared" si="96"/>
        <v>0</v>
      </c>
      <c r="K874" s="28">
        <v>0</v>
      </c>
      <c r="L874" s="29">
        <v>0</v>
      </c>
      <c r="M874" s="35"/>
      <c r="N874" s="36"/>
      <c r="O874" s="6">
        <f t="shared" si="97"/>
        <v>0</v>
      </c>
      <c r="P874" s="7">
        <f t="shared" si="98"/>
        <v>0</v>
      </c>
      <c r="Q874" s="59"/>
      <c r="R874" s="2" t="str">
        <f t="shared" si="84"/>
        <v>60922|||0|0|0|0|</v>
      </c>
      <c r="S874" s="25"/>
    </row>
    <row r="875" spans="1:19" s="34" customFormat="1" ht="12.75" customHeight="1" x14ac:dyDescent="0.2">
      <c r="A875" s="72" t="s">
        <v>816</v>
      </c>
      <c r="B875" s="61" t="s">
        <v>2072</v>
      </c>
      <c r="C875" s="37"/>
      <c r="D875" s="38"/>
      <c r="E875" s="28">
        <v>0</v>
      </c>
      <c r="F875" s="29">
        <v>0</v>
      </c>
      <c r="G875" s="6">
        <f t="shared" si="93"/>
        <v>0</v>
      </c>
      <c r="H875" s="7">
        <f t="shared" si="94"/>
        <v>0</v>
      </c>
      <c r="I875" s="6">
        <f t="shared" si="95"/>
        <v>0</v>
      </c>
      <c r="J875" s="7">
        <f t="shared" si="96"/>
        <v>0</v>
      </c>
      <c r="K875" s="28">
        <v>0</v>
      </c>
      <c r="L875" s="29">
        <v>0</v>
      </c>
      <c r="M875" s="35"/>
      <c r="N875" s="36"/>
      <c r="O875" s="6">
        <f t="shared" si="97"/>
        <v>0</v>
      </c>
      <c r="P875" s="7">
        <f t="shared" si="98"/>
        <v>0</v>
      </c>
      <c r="Q875" s="59"/>
      <c r="R875" s="2" t="str">
        <f t="shared" si="84"/>
        <v>60923|||0|0|0|0|</v>
      </c>
      <c r="S875" s="25"/>
    </row>
    <row r="876" spans="1:19" s="34" customFormat="1" ht="12.75" customHeight="1" x14ac:dyDescent="0.2">
      <c r="A876" s="72" t="s">
        <v>817</v>
      </c>
      <c r="B876" s="61" t="s">
        <v>2073</v>
      </c>
      <c r="C876" s="37"/>
      <c r="D876" s="38"/>
      <c r="E876" s="28">
        <v>0</v>
      </c>
      <c r="F876" s="29">
        <v>0</v>
      </c>
      <c r="G876" s="6">
        <f t="shared" si="93"/>
        <v>0</v>
      </c>
      <c r="H876" s="7">
        <f t="shared" si="94"/>
        <v>0</v>
      </c>
      <c r="I876" s="6">
        <f t="shared" si="95"/>
        <v>0</v>
      </c>
      <c r="J876" s="7">
        <f t="shared" si="96"/>
        <v>0</v>
      </c>
      <c r="K876" s="28">
        <v>0</v>
      </c>
      <c r="L876" s="29">
        <v>0</v>
      </c>
      <c r="M876" s="35"/>
      <c r="N876" s="36"/>
      <c r="O876" s="6">
        <f t="shared" si="97"/>
        <v>0</v>
      </c>
      <c r="P876" s="7">
        <f t="shared" si="98"/>
        <v>0</v>
      </c>
      <c r="Q876" s="59"/>
      <c r="R876" s="2" t="str">
        <f t="shared" si="84"/>
        <v>60924|||0|0|0|0|</v>
      </c>
      <c r="S876" s="25"/>
    </row>
    <row r="877" spans="1:19" s="34" customFormat="1" ht="12.75" customHeight="1" x14ac:dyDescent="0.2">
      <c r="A877" s="72" t="s">
        <v>818</v>
      </c>
      <c r="B877" s="61" t="s">
        <v>2074</v>
      </c>
      <c r="C877" s="37"/>
      <c r="D877" s="38"/>
      <c r="E877" s="28">
        <v>0</v>
      </c>
      <c r="F877" s="29">
        <v>0</v>
      </c>
      <c r="G877" s="6">
        <f t="shared" si="93"/>
        <v>0</v>
      </c>
      <c r="H877" s="7">
        <f t="shared" si="94"/>
        <v>0</v>
      </c>
      <c r="I877" s="6">
        <f t="shared" si="95"/>
        <v>0</v>
      </c>
      <c r="J877" s="7">
        <f t="shared" si="96"/>
        <v>0</v>
      </c>
      <c r="K877" s="28">
        <v>0</v>
      </c>
      <c r="L877" s="29">
        <v>0</v>
      </c>
      <c r="M877" s="35"/>
      <c r="N877" s="36"/>
      <c r="O877" s="6">
        <f t="shared" si="97"/>
        <v>0</v>
      </c>
      <c r="P877" s="7">
        <f t="shared" si="98"/>
        <v>0</v>
      </c>
      <c r="Q877" s="59"/>
      <c r="R877" s="2" t="str">
        <f t="shared" si="84"/>
        <v>60925|||0|0|0|0|</v>
      </c>
      <c r="S877" s="25"/>
    </row>
    <row r="878" spans="1:19" s="34" customFormat="1" ht="12.75" customHeight="1" x14ac:dyDescent="0.2">
      <c r="A878" s="72" t="s">
        <v>2075</v>
      </c>
      <c r="B878" s="61" t="s">
        <v>2076</v>
      </c>
      <c r="C878" s="37"/>
      <c r="D878" s="38"/>
      <c r="E878" s="28">
        <v>0</v>
      </c>
      <c r="F878" s="29">
        <v>0</v>
      </c>
      <c r="G878" s="6">
        <f t="shared" si="93"/>
        <v>0</v>
      </c>
      <c r="H878" s="7">
        <f t="shared" si="94"/>
        <v>0</v>
      </c>
      <c r="I878" s="6">
        <f t="shared" si="95"/>
        <v>0</v>
      </c>
      <c r="J878" s="7">
        <f t="shared" si="96"/>
        <v>0</v>
      </c>
      <c r="K878" s="28">
        <v>0</v>
      </c>
      <c r="L878" s="29">
        <v>0</v>
      </c>
      <c r="M878" s="35"/>
      <c r="N878" s="36"/>
      <c r="O878" s="6">
        <f t="shared" si="97"/>
        <v>0</v>
      </c>
      <c r="P878" s="7">
        <f t="shared" si="98"/>
        <v>0</v>
      </c>
      <c r="Q878" s="59"/>
      <c r="R878" s="2" t="str">
        <f t="shared" si="84"/>
        <v>60931|||0|0|0|0|</v>
      </c>
      <c r="S878" s="25"/>
    </row>
    <row r="879" spans="1:19" s="34" customFormat="1" ht="12.75" customHeight="1" x14ac:dyDescent="0.2">
      <c r="A879" s="72" t="s">
        <v>2077</v>
      </c>
      <c r="B879" s="61" t="s">
        <v>2078</v>
      </c>
      <c r="C879" s="37"/>
      <c r="D879" s="38"/>
      <c r="E879" s="28">
        <v>0</v>
      </c>
      <c r="F879" s="29">
        <v>0</v>
      </c>
      <c r="G879" s="6">
        <f t="shared" si="93"/>
        <v>0</v>
      </c>
      <c r="H879" s="7">
        <f t="shared" si="94"/>
        <v>0</v>
      </c>
      <c r="I879" s="6">
        <f t="shared" si="95"/>
        <v>0</v>
      </c>
      <c r="J879" s="7">
        <f t="shared" si="96"/>
        <v>0</v>
      </c>
      <c r="K879" s="28">
        <v>0</v>
      </c>
      <c r="L879" s="29">
        <v>0</v>
      </c>
      <c r="M879" s="35"/>
      <c r="N879" s="36"/>
      <c r="O879" s="6">
        <f t="shared" si="97"/>
        <v>0</v>
      </c>
      <c r="P879" s="7">
        <f t="shared" si="98"/>
        <v>0</v>
      </c>
      <c r="Q879" s="59"/>
      <c r="R879" s="2" t="str">
        <f t="shared" si="84"/>
        <v>60932|||0|0|0|0|</v>
      </c>
      <c r="S879" s="25"/>
    </row>
    <row r="880" spans="1:19" s="34" customFormat="1" ht="12.75" customHeight="1" x14ac:dyDescent="0.2">
      <c r="A880" s="72" t="s">
        <v>2079</v>
      </c>
      <c r="B880" s="61" t="s">
        <v>2080</v>
      </c>
      <c r="C880" s="37"/>
      <c r="D880" s="38"/>
      <c r="E880" s="28">
        <v>0</v>
      </c>
      <c r="F880" s="29">
        <v>0</v>
      </c>
      <c r="G880" s="6">
        <f t="shared" si="93"/>
        <v>0</v>
      </c>
      <c r="H880" s="7">
        <f t="shared" si="94"/>
        <v>0</v>
      </c>
      <c r="I880" s="6">
        <f t="shared" si="95"/>
        <v>0</v>
      </c>
      <c r="J880" s="7">
        <f t="shared" si="96"/>
        <v>0</v>
      </c>
      <c r="K880" s="28">
        <v>0</v>
      </c>
      <c r="L880" s="29">
        <v>0</v>
      </c>
      <c r="M880" s="35"/>
      <c r="N880" s="36"/>
      <c r="O880" s="6">
        <f t="shared" si="97"/>
        <v>0</v>
      </c>
      <c r="P880" s="7">
        <f t="shared" si="98"/>
        <v>0</v>
      </c>
      <c r="Q880" s="59"/>
      <c r="R880" s="2" t="str">
        <f t="shared" si="84"/>
        <v>60933|||0|0|0|0|</v>
      </c>
      <c r="S880" s="25"/>
    </row>
    <row r="881" spans="1:19" s="34" customFormat="1" ht="12.75" customHeight="1" x14ac:dyDescent="0.2">
      <c r="A881" s="72" t="s">
        <v>2081</v>
      </c>
      <c r="B881" s="61" t="s">
        <v>2082</v>
      </c>
      <c r="C881" s="37"/>
      <c r="D881" s="38"/>
      <c r="E881" s="28">
        <v>0</v>
      </c>
      <c r="F881" s="29">
        <v>0</v>
      </c>
      <c r="G881" s="6">
        <f t="shared" si="93"/>
        <v>0</v>
      </c>
      <c r="H881" s="7">
        <f t="shared" si="94"/>
        <v>0</v>
      </c>
      <c r="I881" s="6">
        <f t="shared" si="95"/>
        <v>0</v>
      </c>
      <c r="J881" s="7">
        <f t="shared" si="96"/>
        <v>0</v>
      </c>
      <c r="K881" s="28">
        <v>0</v>
      </c>
      <c r="L881" s="29">
        <v>0</v>
      </c>
      <c r="M881" s="35"/>
      <c r="N881" s="36"/>
      <c r="O881" s="6">
        <f t="shared" si="97"/>
        <v>0</v>
      </c>
      <c r="P881" s="7">
        <f t="shared" si="98"/>
        <v>0</v>
      </c>
      <c r="Q881" s="59"/>
      <c r="R881" s="2" t="str">
        <f t="shared" si="84"/>
        <v>60934|||0|0|0|0|</v>
      </c>
      <c r="S881" s="25"/>
    </row>
    <row r="882" spans="1:19" s="34" customFormat="1" ht="12.75" customHeight="1" x14ac:dyDescent="0.2">
      <c r="A882" s="72" t="s">
        <v>2083</v>
      </c>
      <c r="B882" s="61" t="s">
        <v>2084</v>
      </c>
      <c r="C882" s="37"/>
      <c r="D882" s="38"/>
      <c r="E882" s="28">
        <v>0</v>
      </c>
      <c r="F882" s="29">
        <v>0</v>
      </c>
      <c r="G882" s="6">
        <f t="shared" si="93"/>
        <v>0</v>
      </c>
      <c r="H882" s="7">
        <f t="shared" si="94"/>
        <v>0</v>
      </c>
      <c r="I882" s="6">
        <f t="shared" si="95"/>
        <v>0</v>
      </c>
      <c r="J882" s="7">
        <f t="shared" si="96"/>
        <v>0</v>
      </c>
      <c r="K882" s="28">
        <v>0</v>
      </c>
      <c r="L882" s="29">
        <v>0</v>
      </c>
      <c r="M882" s="35"/>
      <c r="N882" s="36"/>
      <c r="O882" s="6">
        <f t="shared" si="97"/>
        <v>0</v>
      </c>
      <c r="P882" s="7">
        <f t="shared" si="98"/>
        <v>0</v>
      </c>
      <c r="Q882" s="59"/>
      <c r="R882" s="2" t="str">
        <f t="shared" si="84"/>
        <v>60935|||0|0|0|0|</v>
      </c>
      <c r="S882" s="25"/>
    </row>
    <row r="883" spans="1:19" s="34" customFormat="1" ht="12.75" customHeight="1" x14ac:dyDescent="0.2">
      <c r="A883" s="72" t="s">
        <v>2085</v>
      </c>
      <c r="B883" s="61" t="s">
        <v>2086</v>
      </c>
      <c r="C883" s="37"/>
      <c r="D883" s="38"/>
      <c r="E883" s="28">
        <v>0</v>
      </c>
      <c r="F883" s="29">
        <v>0</v>
      </c>
      <c r="G883" s="6">
        <f t="shared" si="93"/>
        <v>0</v>
      </c>
      <c r="H883" s="7">
        <f t="shared" si="94"/>
        <v>0</v>
      </c>
      <c r="I883" s="6">
        <f t="shared" si="95"/>
        <v>0</v>
      </c>
      <c r="J883" s="7">
        <f t="shared" si="96"/>
        <v>0</v>
      </c>
      <c r="K883" s="28">
        <v>0</v>
      </c>
      <c r="L883" s="29">
        <v>0</v>
      </c>
      <c r="M883" s="35"/>
      <c r="N883" s="36"/>
      <c r="O883" s="6">
        <f t="shared" si="97"/>
        <v>0</v>
      </c>
      <c r="P883" s="7">
        <f t="shared" si="98"/>
        <v>0</v>
      </c>
      <c r="Q883" s="59"/>
      <c r="R883" s="2" t="str">
        <f t="shared" si="84"/>
        <v>60941|||0|0|0|0|</v>
      </c>
      <c r="S883" s="25"/>
    </row>
    <row r="884" spans="1:19" s="34" customFormat="1" ht="12.75" customHeight="1" x14ac:dyDescent="0.2">
      <c r="A884" s="72" t="s">
        <v>2087</v>
      </c>
      <c r="B884" s="61" t="s">
        <v>2088</v>
      </c>
      <c r="C884" s="37"/>
      <c r="D884" s="38"/>
      <c r="E884" s="28">
        <v>0</v>
      </c>
      <c r="F884" s="29">
        <v>0</v>
      </c>
      <c r="G884" s="6">
        <f t="shared" si="93"/>
        <v>0</v>
      </c>
      <c r="H884" s="7">
        <f t="shared" si="94"/>
        <v>0</v>
      </c>
      <c r="I884" s="6">
        <f t="shared" si="95"/>
        <v>0</v>
      </c>
      <c r="J884" s="7">
        <f t="shared" si="96"/>
        <v>0</v>
      </c>
      <c r="K884" s="28">
        <v>0</v>
      </c>
      <c r="L884" s="29">
        <v>0</v>
      </c>
      <c r="M884" s="35"/>
      <c r="N884" s="36"/>
      <c r="O884" s="6">
        <f t="shared" si="97"/>
        <v>0</v>
      </c>
      <c r="P884" s="7">
        <f t="shared" si="98"/>
        <v>0</v>
      </c>
      <c r="Q884" s="59"/>
      <c r="R884" s="2" t="str">
        <f t="shared" si="84"/>
        <v>60942|||0|0|0|0|</v>
      </c>
      <c r="S884" s="25"/>
    </row>
    <row r="885" spans="1:19" s="34" customFormat="1" ht="12.75" customHeight="1" x14ac:dyDescent="0.2">
      <c r="A885" s="72" t="s">
        <v>2089</v>
      </c>
      <c r="B885" s="61" t="s">
        <v>2090</v>
      </c>
      <c r="C885" s="37"/>
      <c r="D885" s="38"/>
      <c r="E885" s="28">
        <v>0</v>
      </c>
      <c r="F885" s="29">
        <v>0</v>
      </c>
      <c r="G885" s="6">
        <f t="shared" si="93"/>
        <v>0</v>
      </c>
      <c r="H885" s="7">
        <f t="shared" si="94"/>
        <v>0</v>
      </c>
      <c r="I885" s="6">
        <f t="shared" si="95"/>
        <v>0</v>
      </c>
      <c r="J885" s="7">
        <f t="shared" si="96"/>
        <v>0</v>
      </c>
      <c r="K885" s="28">
        <v>0</v>
      </c>
      <c r="L885" s="29">
        <v>0</v>
      </c>
      <c r="M885" s="35"/>
      <c r="N885" s="36"/>
      <c r="O885" s="6">
        <f t="shared" si="97"/>
        <v>0</v>
      </c>
      <c r="P885" s="7">
        <f t="shared" si="98"/>
        <v>0</v>
      </c>
      <c r="Q885" s="59"/>
      <c r="R885" s="2" t="str">
        <f t="shared" si="84"/>
        <v>60943|||0|0|0|0|</v>
      </c>
      <c r="S885" s="25"/>
    </row>
    <row r="886" spans="1:19" s="34" customFormat="1" ht="12.75" customHeight="1" x14ac:dyDescent="0.2">
      <c r="A886" s="72" t="s">
        <v>2091</v>
      </c>
      <c r="B886" s="61" t="s">
        <v>2092</v>
      </c>
      <c r="C886" s="37"/>
      <c r="D886" s="38"/>
      <c r="E886" s="28">
        <v>0</v>
      </c>
      <c r="F886" s="29">
        <v>0</v>
      </c>
      <c r="G886" s="6">
        <f t="shared" si="93"/>
        <v>0</v>
      </c>
      <c r="H886" s="7">
        <f t="shared" si="94"/>
        <v>0</v>
      </c>
      <c r="I886" s="6">
        <f t="shared" si="95"/>
        <v>0</v>
      </c>
      <c r="J886" s="7">
        <f t="shared" si="96"/>
        <v>0</v>
      </c>
      <c r="K886" s="28">
        <v>0</v>
      </c>
      <c r="L886" s="29">
        <v>0</v>
      </c>
      <c r="M886" s="35"/>
      <c r="N886" s="36"/>
      <c r="O886" s="6">
        <f t="shared" si="97"/>
        <v>0</v>
      </c>
      <c r="P886" s="7">
        <f t="shared" si="98"/>
        <v>0</v>
      </c>
      <c r="Q886" s="59"/>
      <c r="R886" s="2" t="str">
        <f t="shared" si="84"/>
        <v>60944|||0|0|0|0|</v>
      </c>
      <c r="S886" s="25"/>
    </row>
    <row r="887" spans="1:19" s="34" customFormat="1" ht="12.75" customHeight="1" x14ac:dyDescent="0.2">
      <c r="A887" s="72" t="s">
        <v>2093</v>
      </c>
      <c r="B887" s="61" t="s">
        <v>2094</v>
      </c>
      <c r="C887" s="37"/>
      <c r="D887" s="38"/>
      <c r="E887" s="28">
        <v>0</v>
      </c>
      <c r="F887" s="29">
        <v>0</v>
      </c>
      <c r="G887" s="6">
        <f t="shared" si="93"/>
        <v>0</v>
      </c>
      <c r="H887" s="7">
        <f t="shared" si="94"/>
        <v>0</v>
      </c>
      <c r="I887" s="6">
        <f t="shared" si="95"/>
        <v>0</v>
      </c>
      <c r="J887" s="7">
        <f t="shared" si="96"/>
        <v>0</v>
      </c>
      <c r="K887" s="28">
        <v>0</v>
      </c>
      <c r="L887" s="29">
        <v>0</v>
      </c>
      <c r="M887" s="35"/>
      <c r="N887" s="36"/>
      <c r="O887" s="6">
        <f t="shared" si="97"/>
        <v>0</v>
      </c>
      <c r="P887" s="7">
        <f t="shared" si="98"/>
        <v>0</v>
      </c>
      <c r="Q887" s="59"/>
      <c r="R887" s="2" t="str">
        <f t="shared" si="84"/>
        <v>60945|||0|0|0|0|</v>
      </c>
      <c r="S887" s="25"/>
    </row>
    <row r="888" spans="1:19" s="34" customFormat="1" ht="12.75" customHeight="1" x14ac:dyDescent="0.2">
      <c r="A888" s="72" t="s">
        <v>819</v>
      </c>
      <c r="B888" s="61" t="s">
        <v>2095</v>
      </c>
      <c r="C888" s="37"/>
      <c r="D888" s="38"/>
      <c r="E888" s="28">
        <v>0</v>
      </c>
      <c r="F888" s="29">
        <v>0</v>
      </c>
      <c r="G888" s="6">
        <f t="shared" si="93"/>
        <v>0</v>
      </c>
      <c r="H888" s="7">
        <f t="shared" si="94"/>
        <v>0</v>
      </c>
      <c r="I888" s="6">
        <f t="shared" si="95"/>
        <v>0</v>
      </c>
      <c r="J888" s="7">
        <f t="shared" si="96"/>
        <v>0</v>
      </c>
      <c r="K888" s="28">
        <v>0</v>
      </c>
      <c r="L888" s="29">
        <v>0</v>
      </c>
      <c r="M888" s="35"/>
      <c r="N888" s="36"/>
      <c r="O888" s="6">
        <f t="shared" si="97"/>
        <v>0</v>
      </c>
      <c r="P888" s="7">
        <f t="shared" si="98"/>
        <v>0</v>
      </c>
      <c r="Q888" s="59"/>
      <c r="R888" s="2" t="str">
        <f t="shared" si="84"/>
        <v>6111|||0|0|0|0|</v>
      </c>
      <c r="S888" s="25"/>
    </row>
    <row r="889" spans="1:19" s="34" customFormat="1" ht="12.75" customHeight="1" x14ac:dyDescent="0.2">
      <c r="A889" s="72" t="s">
        <v>820</v>
      </c>
      <c r="B889" s="61" t="s">
        <v>2096</v>
      </c>
      <c r="C889" s="37"/>
      <c r="D889" s="38"/>
      <c r="E889" s="28">
        <v>0</v>
      </c>
      <c r="F889" s="29">
        <v>0</v>
      </c>
      <c r="G889" s="6">
        <f t="shared" si="93"/>
        <v>0</v>
      </c>
      <c r="H889" s="7">
        <f t="shared" si="94"/>
        <v>0</v>
      </c>
      <c r="I889" s="6">
        <f t="shared" si="95"/>
        <v>0</v>
      </c>
      <c r="J889" s="7">
        <f t="shared" si="96"/>
        <v>0</v>
      </c>
      <c r="K889" s="28">
        <v>0</v>
      </c>
      <c r="L889" s="29">
        <v>0</v>
      </c>
      <c r="M889" s="35"/>
      <c r="N889" s="36"/>
      <c r="O889" s="6">
        <f t="shared" si="97"/>
        <v>0</v>
      </c>
      <c r="P889" s="7">
        <f t="shared" si="98"/>
        <v>0</v>
      </c>
      <c r="Q889" s="59"/>
      <c r="R889" s="2" t="str">
        <f t="shared" si="84"/>
        <v>6112|||0|0|0|0|</v>
      </c>
      <c r="S889" s="25"/>
    </row>
    <row r="890" spans="1:19" s="34" customFormat="1" ht="12.75" customHeight="1" x14ac:dyDescent="0.2">
      <c r="A890" s="72" t="s">
        <v>821</v>
      </c>
      <c r="B890" s="61" t="s">
        <v>2097</v>
      </c>
      <c r="C890" s="37"/>
      <c r="D890" s="38"/>
      <c r="E890" s="28">
        <v>0</v>
      </c>
      <c r="F890" s="29">
        <v>0</v>
      </c>
      <c r="G890" s="6">
        <f t="shared" si="93"/>
        <v>0</v>
      </c>
      <c r="H890" s="7">
        <f t="shared" si="94"/>
        <v>0</v>
      </c>
      <c r="I890" s="6">
        <f t="shared" si="95"/>
        <v>0</v>
      </c>
      <c r="J890" s="7">
        <f t="shared" si="96"/>
        <v>0</v>
      </c>
      <c r="K890" s="28">
        <v>0</v>
      </c>
      <c r="L890" s="29">
        <v>0</v>
      </c>
      <c r="M890" s="35"/>
      <c r="N890" s="36"/>
      <c r="O890" s="6">
        <f t="shared" si="97"/>
        <v>0</v>
      </c>
      <c r="P890" s="7">
        <f t="shared" si="98"/>
        <v>0</v>
      </c>
      <c r="Q890" s="59"/>
      <c r="R890" s="2" t="str">
        <f t="shared" si="84"/>
        <v>6113|||0|0|0|0|</v>
      </c>
      <c r="S890" s="25"/>
    </row>
    <row r="891" spans="1:19" s="34" customFormat="1" ht="12.75" customHeight="1" x14ac:dyDescent="0.2">
      <c r="A891" s="72" t="s">
        <v>822</v>
      </c>
      <c r="B891" s="61" t="s">
        <v>2098</v>
      </c>
      <c r="C891" s="37"/>
      <c r="D891" s="38"/>
      <c r="E891" s="28">
        <v>0</v>
      </c>
      <c r="F891" s="29">
        <v>0</v>
      </c>
      <c r="G891" s="6">
        <f t="shared" si="93"/>
        <v>0</v>
      </c>
      <c r="H891" s="7">
        <f t="shared" si="94"/>
        <v>0</v>
      </c>
      <c r="I891" s="6">
        <f t="shared" si="95"/>
        <v>0</v>
      </c>
      <c r="J891" s="7">
        <f t="shared" si="96"/>
        <v>0</v>
      </c>
      <c r="K891" s="28">
        <v>0</v>
      </c>
      <c r="L891" s="29">
        <v>0</v>
      </c>
      <c r="M891" s="35"/>
      <c r="N891" s="36"/>
      <c r="O891" s="6">
        <f t="shared" si="97"/>
        <v>0</v>
      </c>
      <c r="P891" s="7">
        <f t="shared" si="98"/>
        <v>0</v>
      </c>
      <c r="Q891" s="59"/>
      <c r="R891" s="2" t="str">
        <f t="shared" si="84"/>
        <v>6114|||0|0|0|0|</v>
      </c>
      <c r="S891" s="25"/>
    </row>
    <row r="892" spans="1:19" s="34" customFormat="1" ht="12.75" customHeight="1" x14ac:dyDescent="0.2">
      <c r="A892" s="72" t="s">
        <v>823</v>
      </c>
      <c r="B892" s="61" t="s">
        <v>2099</v>
      </c>
      <c r="C892" s="37"/>
      <c r="D892" s="38"/>
      <c r="E892" s="28">
        <v>0</v>
      </c>
      <c r="F892" s="29">
        <v>0</v>
      </c>
      <c r="G892" s="6">
        <f t="shared" si="93"/>
        <v>0</v>
      </c>
      <c r="H892" s="7">
        <f t="shared" si="94"/>
        <v>0</v>
      </c>
      <c r="I892" s="6">
        <f t="shared" si="95"/>
        <v>0</v>
      </c>
      <c r="J892" s="7">
        <f t="shared" si="96"/>
        <v>0</v>
      </c>
      <c r="K892" s="28">
        <v>0</v>
      </c>
      <c r="L892" s="29">
        <v>0</v>
      </c>
      <c r="M892" s="35"/>
      <c r="N892" s="36"/>
      <c r="O892" s="6">
        <f t="shared" si="97"/>
        <v>0</v>
      </c>
      <c r="P892" s="7">
        <f t="shared" si="98"/>
        <v>0</v>
      </c>
      <c r="Q892" s="59"/>
      <c r="R892" s="2" t="str">
        <f t="shared" si="84"/>
        <v>6115|||0|0|0|0|</v>
      </c>
      <c r="S892" s="25"/>
    </row>
    <row r="893" spans="1:19" s="34" customFormat="1" ht="12.75" customHeight="1" x14ac:dyDescent="0.2">
      <c r="A893" s="72" t="s">
        <v>824</v>
      </c>
      <c r="B893" s="61" t="s">
        <v>2100</v>
      </c>
      <c r="C893" s="37"/>
      <c r="D893" s="38"/>
      <c r="E893" s="28">
        <v>0</v>
      </c>
      <c r="F893" s="29">
        <v>0</v>
      </c>
      <c r="G893" s="6">
        <f t="shared" si="93"/>
        <v>0</v>
      </c>
      <c r="H893" s="7">
        <f t="shared" si="94"/>
        <v>0</v>
      </c>
      <c r="I893" s="6">
        <f t="shared" si="95"/>
        <v>0</v>
      </c>
      <c r="J893" s="7">
        <f t="shared" si="96"/>
        <v>0</v>
      </c>
      <c r="K893" s="28">
        <v>0</v>
      </c>
      <c r="L893" s="29">
        <v>0</v>
      </c>
      <c r="M893" s="35"/>
      <c r="N893" s="36"/>
      <c r="O893" s="6">
        <f t="shared" si="97"/>
        <v>0</v>
      </c>
      <c r="P893" s="7">
        <f t="shared" si="98"/>
        <v>0</v>
      </c>
      <c r="Q893" s="59"/>
      <c r="R893" s="2" t="str">
        <f t="shared" si="84"/>
        <v>6121|||0|0|0|0|</v>
      </c>
      <c r="S893" s="25"/>
    </row>
    <row r="894" spans="1:19" s="34" customFormat="1" ht="12.75" customHeight="1" x14ac:dyDescent="0.2">
      <c r="A894" s="72" t="s">
        <v>825</v>
      </c>
      <c r="B894" s="61" t="s">
        <v>2101</v>
      </c>
      <c r="C894" s="37"/>
      <c r="D894" s="38"/>
      <c r="E894" s="28">
        <v>0</v>
      </c>
      <c r="F894" s="29">
        <v>0</v>
      </c>
      <c r="G894" s="6">
        <f t="shared" si="93"/>
        <v>0</v>
      </c>
      <c r="H894" s="7">
        <f t="shared" si="94"/>
        <v>0</v>
      </c>
      <c r="I894" s="6">
        <f t="shared" si="95"/>
        <v>0</v>
      </c>
      <c r="J894" s="7">
        <f t="shared" si="96"/>
        <v>0</v>
      </c>
      <c r="K894" s="28">
        <v>0</v>
      </c>
      <c r="L894" s="29">
        <v>0</v>
      </c>
      <c r="M894" s="35"/>
      <c r="N894" s="36"/>
      <c r="O894" s="6">
        <f t="shared" si="97"/>
        <v>0</v>
      </c>
      <c r="P894" s="7">
        <f t="shared" si="98"/>
        <v>0</v>
      </c>
      <c r="Q894" s="59"/>
      <c r="R894" s="2" t="str">
        <f t="shared" si="84"/>
        <v>6122|||0|0|0|0|</v>
      </c>
      <c r="S894" s="25"/>
    </row>
    <row r="895" spans="1:19" s="34" customFormat="1" ht="12.75" customHeight="1" x14ac:dyDescent="0.2">
      <c r="A895" s="72" t="s">
        <v>826</v>
      </c>
      <c r="B895" s="61" t="s">
        <v>2102</v>
      </c>
      <c r="C895" s="37"/>
      <c r="D895" s="38"/>
      <c r="E895" s="28">
        <v>0</v>
      </c>
      <c r="F895" s="29">
        <v>0</v>
      </c>
      <c r="G895" s="6">
        <f t="shared" si="93"/>
        <v>0</v>
      </c>
      <c r="H895" s="7">
        <f t="shared" si="94"/>
        <v>0</v>
      </c>
      <c r="I895" s="6">
        <f t="shared" si="95"/>
        <v>0</v>
      </c>
      <c r="J895" s="7">
        <f t="shared" si="96"/>
        <v>0</v>
      </c>
      <c r="K895" s="28">
        <v>0</v>
      </c>
      <c r="L895" s="29">
        <v>0</v>
      </c>
      <c r="M895" s="35"/>
      <c r="N895" s="36"/>
      <c r="O895" s="6">
        <f t="shared" si="97"/>
        <v>0</v>
      </c>
      <c r="P895" s="7">
        <f t="shared" si="98"/>
        <v>0</v>
      </c>
      <c r="Q895" s="59"/>
      <c r="R895" s="2" t="str">
        <f t="shared" si="84"/>
        <v>6123|||0|0|0|0|</v>
      </c>
      <c r="S895" s="25"/>
    </row>
    <row r="896" spans="1:19" s="34" customFormat="1" ht="12.75" customHeight="1" x14ac:dyDescent="0.2">
      <c r="A896" s="72" t="s">
        <v>827</v>
      </c>
      <c r="B896" s="61" t="s">
        <v>2103</v>
      </c>
      <c r="C896" s="37"/>
      <c r="D896" s="38"/>
      <c r="E896" s="28">
        <v>0</v>
      </c>
      <c r="F896" s="29">
        <v>0</v>
      </c>
      <c r="G896" s="6">
        <f t="shared" si="93"/>
        <v>0</v>
      </c>
      <c r="H896" s="7">
        <f t="shared" si="94"/>
        <v>0</v>
      </c>
      <c r="I896" s="6">
        <f t="shared" si="95"/>
        <v>0</v>
      </c>
      <c r="J896" s="7">
        <f t="shared" si="96"/>
        <v>0</v>
      </c>
      <c r="K896" s="28">
        <v>0</v>
      </c>
      <c r="L896" s="29">
        <v>0</v>
      </c>
      <c r="M896" s="35"/>
      <c r="N896" s="36"/>
      <c r="O896" s="6">
        <f t="shared" si="97"/>
        <v>0</v>
      </c>
      <c r="P896" s="7">
        <f t="shared" si="98"/>
        <v>0</v>
      </c>
      <c r="Q896" s="59"/>
      <c r="R896" s="2" t="str">
        <f t="shared" si="84"/>
        <v>6124|||0|0|0|0|</v>
      </c>
      <c r="S896" s="25"/>
    </row>
    <row r="897" spans="1:19" s="34" customFormat="1" ht="12.75" customHeight="1" x14ac:dyDescent="0.2">
      <c r="A897" s="72" t="s">
        <v>828</v>
      </c>
      <c r="B897" s="61" t="s">
        <v>2104</v>
      </c>
      <c r="C897" s="37"/>
      <c r="D897" s="38"/>
      <c r="E897" s="28">
        <v>0</v>
      </c>
      <c r="F897" s="29">
        <v>0</v>
      </c>
      <c r="G897" s="6">
        <f t="shared" si="93"/>
        <v>0</v>
      </c>
      <c r="H897" s="7">
        <f t="shared" si="94"/>
        <v>0</v>
      </c>
      <c r="I897" s="6">
        <f t="shared" si="95"/>
        <v>0</v>
      </c>
      <c r="J897" s="7">
        <f t="shared" si="96"/>
        <v>0</v>
      </c>
      <c r="K897" s="28">
        <v>0</v>
      </c>
      <c r="L897" s="29">
        <v>0</v>
      </c>
      <c r="M897" s="35"/>
      <c r="N897" s="36"/>
      <c r="O897" s="6">
        <f t="shared" si="97"/>
        <v>0</v>
      </c>
      <c r="P897" s="7">
        <f t="shared" si="98"/>
        <v>0</v>
      </c>
      <c r="Q897" s="59"/>
      <c r="R897" s="2" t="str">
        <f t="shared" si="84"/>
        <v>6131|||0|0|0|0|</v>
      </c>
      <c r="S897" s="25"/>
    </row>
    <row r="898" spans="1:19" s="34" customFormat="1" ht="12.75" customHeight="1" x14ac:dyDescent="0.2">
      <c r="A898" s="72" t="s">
        <v>829</v>
      </c>
      <c r="B898" s="61" t="s">
        <v>2105</v>
      </c>
      <c r="C898" s="37"/>
      <c r="D898" s="38"/>
      <c r="E898" s="28">
        <v>0</v>
      </c>
      <c r="F898" s="29">
        <v>0</v>
      </c>
      <c r="G898" s="6">
        <f t="shared" si="93"/>
        <v>0</v>
      </c>
      <c r="H898" s="7">
        <f t="shared" si="94"/>
        <v>0</v>
      </c>
      <c r="I898" s="6">
        <f t="shared" si="95"/>
        <v>0</v>
      </c>
      <c r="J898" s="7">
        <f t="shared" si="96"/>
        <v>0</v>
      </c>
      <c r="K898" s="28">
        <v>0</v>
      </c>
      <c r="L898" s="29">
        <v>0</v>
      </c>
      <c r="M898" s="35"/>
      <c r="N898" s="36"/>
      <c r="O898" s="6">
        <f t="shared" si="97"/>
        <v>0</v>
      </c>
      <c r="P898" s="7">
        <f t="shared" si="98"/>
        <v>0</v>
      </c>
      <c r="Q898" s="59"/>
      <c r="R898" s="2" t="str">
        <f t="shared" si="84"/>
        <v>6132|||0|0|0|0|</v>
      </c>
      <c r="S898" s="25"/>
    </row>
    <row r="899" spans="1:19" s="34" customFormat="1" ht="12.75" customHeight="1" x14ac:dyDescent="0.2">
      <c r="A899" s="72" t="s">
        <v>830</v>
      </c>
      <c r="B899" s="61" t="s">
        <v>2106</v>
      </c>
      <c r="C899" s="37"/>
      <c r="D899" s="38"/>
      <c r="E899" s="28">
        <v>0</v>
      </c>
      <c r="F899" s="29">
        <v>0</v>
      </c>
      <c r="G899" s="6">
        <f t="shared" si="93"/>
        <v>0</v>
      </c>
      <c r="H899" s="7">
        <f t="shared" si="94"/>
        <v>0</v>
      </c>
      <c r="I899" s="6">
        <f t="shared" si="95"/>
        <v>0</v>
      </c>
      <c r="J899" s="7">
        <f t="shared" si="96"/>
        <v>0</v>
      </c>
      <c r="K899" s="28">
        <v>0</v>
      </c>
      <c r="L899" s="29">
        <v>0</v>
      </c>
      <c r="M899" s="35"/>
      <c r="N899" s="36"/>
      <c r="O899" s="6">
        <f t="shared" si="97"/>
        <v>0</v>
      </c>
      <c r="P899" s="7">
        <f t="shared" si="98"/>
        <v>0</v>
      </c>
      <c r="Q899" s="59"/>
      <c r="R899" s="2" t="str">
        <f t="shared" si="84"/>
        <v>6133|||0|0|0|0|</v>
      </c>
      <c r="S899" s="25"/>
    </row>
    <row r="900" spans="1:19" s="34" customFormat="1" ht="12.75" customHeight="1" x14ac:dyDescent="0.2">
      <c r="A900" s="72" t="s">
        <v>831</v>
      </c>
      <c r="B900" s="61" t="s">
        <v>2107</v>
      </c>
      <c r="C900" s="37"/>
      <c r="D900" s="38"/>
      <c r="E900" s="28">
        <v>0</v>
      </c>
      <c r="F900" s="29">
        <v>0</v>
      </c>
      <c r="G900" s="6">
        <f t="shared" si="93"/>
        <v>0</v>
      </c>
      <c r="H900" s="7">
        <f t="shared" si="94"/>
        <v>0</v>
      </c>
      <c r="I900" s="6">
        <f t="shared" si="95"/>
        <v>0</v>
      </c>
      <c r="J900" s="7">
        <f t="shared" si="96"/>
        <v>0</v>
      </c>
      <c r="K900" s="28">
        <v>0</v>
      </c>
      <c r="L900" s="29">
        <v>0</v>
      </c>
      <c r="M900" s="35"/>
      <c r="N900" s="36"/>
      <c r="O900" s="6">
        <f t="shared" si="97"/>
        <v>0</v>
      </c>
      <c r="P900" s="7">
        <f t="shared" si="98"/>
        <v>0</v>
      </c>
      <c r="Q900" s="59"/>
      <c r="R900" s="2" t="str">
        <f t="shared" si="84"/>
        <v>6141|||0|0|0|0|</v>
      </c>
      <c r="S900" s="25"/>
    </row>
    <row r="901" spans="1:19" s="34" customFormat="1" ht="12.75" customHeight="1" x14ac:dyDescent="0.2">
      <c r="A901" s="72" t="s">
        <v>832</v>
      </c>
      <c r="B901" s="61" t="s">
        <v>2108</v>
      </c>
      <c r="C901" s="37"/>
      <c r="D901" s="38"/>
      <c r="E901" s="28">
        <v>0</v>
      </c>
      <c r="F901" s="29">
        <v>0</v>
      </c>
      <c r="G901" s="6">
        <f t="shared" si="93"/>
        <v>0</v>
      </c>
      <c r="H901" s="7">
        <f t="shared" si="94"/>
        <v>0</v>
      </c>
      <c r="I901" s="6">
        <f t="shared" si="95"/>
        <v>0</v>
      </c>
      <c r="J901" s="7">
        <f t="shared" si="96"/>
        <v>0</v>
      </c>
      <c r="K901" s="28">
        <v>0</v>
      </c>
      <c r="L901" s="29">
        <v>0</v>
      </c>
      <c r="M901" s="35"/>
      <c r="N901" s="36"/>
      <c r="O901" s="6">
        <f t="shared" si="97"/>
        <v>0</v>
      </c>
      <c r="P901" s="7">
        <f t="shared" si="98"/>
        <v>0</v>
      </c>
      <c r="Q901" s="59"/>
      <c r="R901" s="2" t="str">
        <f t="shared" ref="R901:R964" si="99">CONCATENATE(A901,"|",C901,"|",D901,"|",E901,"|",F901,"|",K901,"|",L901,"|")</f>
        <v>6142|||0|0|0|0|</v>
      </c>
      <c r="S901" s="25"/>
    </row>
    <row r="902" spans="1:19" s="34" customFormat="1" ht="12.75" customHeight="1" x14ac:dyDescent="0.2">
      <c r="A902" s="72" t="s">
        <v>833</v>
      </c>
      <c r="B902" s="61" t="s">
        <v>2109</v>
      </c>
      <c r="C902" s="37"/>
      <c r="D902" s="38"/>
      <c r="E902" s="28">
        <v>0</v>
      </c>
      <c r="F902" s="29">
        <v>0</v>
      </c>
      <c r="G902" s="6">
        <f t="shared" si="93"/>
        <v>0</v>
      </c>
      <c r="H902" s="7">
        <f t="shared" si="94"/>
        <v>0</v>
      </c>
      <c r="I902" s="6">
        <f t="shared" si="95"/>
        <v>0</v>
      </c>
      <c r="J902" s="7">
        <f t="shared" si="96"/>
        <v>0</v>
      </c>
      <c r="K902" s="28">
        <v>0</v>
      </c>
      <c r="L902" s="29">
        <v>0</v>
      </c>
      <c r="M902" s="35"/>
      <c r="N902" s="36"/>
      <c r="O902" s="6">
        <f t="shared" si="97"/>
        <v>0</v>
      </c>
      <c r="P902" s="7">
        <f t="shared" si="98"/>
        <v>0</v>
      </c>
      <c r="Q902" s="59"/>
      <c r="R902" s="2" t="str">
        <f t="shared" si="99"/>
        <v>6211|||0|0|0|0|</v>
      </c>
      <c r="S902" s="25"/>
    </row>
    <row r="903" spans="1:19" s="34" customFormat="1" ht="12.75" customHeight="1" x14ac:dyDescent="0.2">
      <c r="A903" s="72" t="s">
        <v>834</v>
      </c>
      <c r="B903" s="61" t="s">
        <v>2110</v>
      </c>
      <c r="C903" s="37"/>
      <c r="D903" s="38"/>
      <c r="E903" s="28">
        <v>0</v>
      </c>
      <c r="F903" s="29">
        <v>0</v>
      </c>
      <c r="G903" s="6">
        <f t="shared" si="93"/>
        <v>0</v>
      </c>
      <c r="H903" s="7">
        <f t="shared" si="94"/>
        <v>0</v>
      </c>
      <c r="I903" s="6">
        <f t="shared" si="95"/>
        <v>0</v>
      </c>
      <c r="J903" s="7">
        <f t="shared" si="96"/>
        <v>0</v>
      </c>
      <c r="K903" s="28">
        <v>0</v>
      </c>
      <c r="L903" s="29">
        <v>0</v>
      </c>
      <c r="M903" s="35"/>
      <c r="N903" s="36"/>
      <c r="O903" s="6">
        <f t="shared" si="97"/>
        <v>0</v>
      </c>
      <c r="P903" s="7">
        <f t="shared" si="98"/>
        <v>0</v>
      </c>
      <c r="Q903" s="59"/>
      <c r="R903" s="2" t="str">
        <f t="shared" si="99"/>
        <v>6212|||0|0|0|0|</v>
      </c>
      <c r="S903" s="25"/>
    </row>
    <row r="904" spans="1:19" s="34" customFormat="1" ht="12.75" customHeight="1" x14ac:dyDescent="0.2">
      <c r="A904" s="72" t="s">
        <v>835</v>
      </c>
      <c r="B904" s="61" t="s">
        <v>2111</v>
      </c>
      <c r="C904" s="37"/>
      <c r="D904" s="38"/>
      <c r="E904" s="28">
        <v>0</v>
      </c>
      <c r="F904" s="29">
        <v>0</v>
      </c>
      <c r="G904" s="6">
        <f t="shared" si="93"/>
        <v>0</v>
      </c>
      <c r="H904" s="7">
        <f t="shared" si="94"/>
        <v>0</v>
      </c>
      <c r="I904" s="6">
        <f t="shared" si="95"/>
        <v>0</v>
      </c>
      <c r="J904" s="7">
        <f t="shared" si="96"/>
        <v>0</v>
      </c>
      <c r="K904" s="28">
        <v>0</v>
      </c>
      <c r="L904" s="29">
        <v>0</v>
      </c>
      <c r="M904" s="35"/>
      <c r="N904" s="36"/>
      <c r="O904" s="6">
        <f t="shared" si="97"/>
        <v>0</v>
      </c>
      <c r="P904" s="7">
        <f t="shared" si="98"/>
        <v>0</v>
      </c>
      <c r="Q904" s="59"/>
      <c r="R904" s="2" t="str">
        <f t="shared" si="99"/>
        <v>6213|||0|0|0|0|</v>
      </c>
      <c r="S904" s="25"/>
    </row>
    <row r="905" spans="1:19" s="34" customFormat="1" ht="12.75" customHeight="1" x14ac:dyDescent="0.2">
      <c r="A905" s="72" t="s">
        <v>836</v>
      </c>
      <c r="B905" s="61" t="s">
        <v>2112</v>
      </c>
      <c r="C905" s="37"/>
      <c r="D905" s="38"/>
      <c r="E905" s="28">
        <v>0</v>
      </c>
      <c r="F905" s="29">
        <v>0</v>
      </c>
      <c r="G905" s="6">
        <f t="shared" si="93"/>
        <v>0</v>
      </c>
      <c r="H905" s="7">
        <f t="shared" si="94"/>
        <v>0</v>
      </c>
      <c r="I905" s="6">
        <f t="shared" si="95"/>
        <v>0</v>
      </c>
      <c r="J905" s="7">
        <f t="shared" si="96"/>
        <v>0</v>
      </c>
      <c r="K905" s="28">
        <v>0</v>
      </c>
      <c r="L905" s="29">
        <v>0</v>
      </c>
      <c r="M905" s="35"/>
      <c r="N905" s="36"/>
      <c r="O905" s="6">
        <f t="shared" si="97"/>
        <v>0</v>
      </c>
      <c r="P905" s="7">
        <f t="shared" si="98"/>
        <v>0</v>
      </c>
      <c r="Q905" s="59"/>
      <c r="R905" s="2" t="str">
        <f t="shared" si="99"/>
        <v>6214|||0|0|0|0|</v>
      </c>
      <c r="S905" s="25"/>
    </row>
    <row r="906" spans="1:19" s="34" customFormat="1" ht="12.75" customHeight="1" x14ac:dyDescent="0.2">
      <c r="A906" s="72" t="s">
        <v>837</v>
      </c>
      <c r="B906" s="61" t="s">
        <v>2113</v>
      </c>
      <c r="C906" s="37"/>
      <c r="D906" s="38"/>
      <c r="E906" s="28">
        <v>0</v>
      </c>
      <c r="F906" s="29">
        <v>0</v>
      </c>
      <c r="G906" s="6">
        <f t="shared" si="93"/>
        <v>0</v>
      </c>
      <c r="H906" s="7">
        <f t="shared" si="94"/>
        <v>0</v>
      </c>
      <c r="I906" s="6">
        <f t="shared" si="95"/>
        <v>0</v>
      </c>
      <c r="J906" s="7">
        <f t="shared" si="96"/>
        <v>0</v>
      </c>
      <c r="K906" s="28">
        <v>0</v>
      </c>
      <c r="L906" s="29">
        <v>0</v>
      </c>
      <c r="M906" s="35"/>
      <c r="N906" s="36"/>
      <c r="O906" s="6">
        <f t="shared" si="97"/>
        <v>0</v>
      </c>
      <c r="P906" s="7">
        <f t="shared" si="98"/>
        <v>0</v>
      </c>
      <c r="Q906" s="59"/>
      <c r="R906" s="2" t="str">
        <f t="shared" si="99"/>
        <v>6215|||0|0|0|0|</v>
      </c>
      <c r="S906" s="25"/>
    </row>
    <row r="907" spans="1:19" s="34" customFormat="1" ht="12.75" customHeight="1" x14ac:dyDescent="0.2">
      <c r="A907" s="72" t="s">
        <v>838</v>
      </c>
      <c r="B907" s="61" t="s">
        <v>2114</v>
      </c>
      <c r="C907" s="37"/>
      <c r="D907" s="38"/>
      <c r="E907" s="28">
        <v>0</v>
      </c>
      <c r="F907" s="29">
        <v>0</v>
      </c>
      <c r="G907" s="6">
        <f t="shared" si="93"/>
        <v>0</v>
      </c>
      <c r="H907" s="7">
        <f t="shared" si="94"/>
        <v>0</v>
      </c>
      <c r="I907" s="6">
        <f t="shared" si="95"/>
        <v>0</v>
      </c>
      <c r="J907" s="7">
        <f t="shared" si="96"/>
        <v>0</v>
      </c>
      <c r="K907" s="28">
        <v>0</v>
      </c>
      <c r="L907" s="29">
        <v>0</v>
      </c>
      <c r="M907" s="35"/>
      <c r="N907" s="36"/>
      <c r="O907" s="6">
        <f t="shared" si="97"/>
        <v>0</v>
      </c>
      <c r="P907" s="7">
        <f t="shared" si="98"/>
        <v>0</v>
      </c>
      <c r="Q907" s="59"/>
      <c r="R907" s="2" t="str">
        <f t="shared" si="99"/>
        <v>622|||0|0|0|0|</v>
      </c>
      <c r="S907" s="25"/>
    </row>
    <row r="908" spans="1:19" s="34" customFormat="1" ht="12.75" customHeight="1" x14ac:dyDescent="0.2">
      <c r="A908" s="72" t="s">
        <v>839</v>
      </c>
      <c r="B908" s="61" t="s">
        <v>2115</v>
      </c>
      <c r="C908" s="37"/>
      <c r="D908" s="38"/>
      <c r="E908" s="28">
        <v>0</v>
      </c>
      <c r="F908" s="29">
        <v>0</v>
      </c>
      <c r="G908" s="6">
        <f t="shared" si="93"/>
        <v>0</v>
      </c>
      <c r="H908" s="7">
        <f t="shared" si="94"/>
        <v>0</v>
      </c>
      <c r="I908" s="6">
        <f t="shared" si="95"/>
        <v>0</v>
      </c>
      <c r="J908" s="7">
        <f t="shared" si="96"/>
        <v>0</v>
      </c>
      <c r="K908" s="28">
        <v>0</v>
      </c>
      <c r="L908" s="29">
        <v>0</v>
      </c>
      <c r="M908" s="35"/>
      <c r="N908" s="36"/>
      <c r="O908" s="6">
        <f t="shared" si="97"/>
        <v>0</v>
      </c>
      <c r="P908" s="7">
        <f t="shared" si="98"/>
        <v>0</v>
      </c>
      <c r="Q908" s="59"/>
      <c r="R908" s="2" t="str">
        <f t="shared" si="99"/>
        <v>623|||0|0|0|0|</v>
      </c>
      <c r="S908" s="25"/>
    </row>
    <row r="909" spans="1:19" s="34" customFormat="1" ht="12.75" customHeight="1" x14ac:dyDescent="0.2">
      <c r="A909" s="72" t="s">
        <v>840</v>
      </c>
      <c r="B909" s="61" t="s">
        <v>2116</v>
      </c>
      <c r="C909" s="37"/>
      <c r="D909" s="38"/>
      <c r="E909" s="28">
        <v>0</v>
      </c>
      <c r="F909" s="29">
        <v>0</v>
      </c>
      <c r="G909" s="6">
        <f t="shared" si="93"/>
        <v>0</v>
      </c>
      <c r="H909" s="7">
        <f t="shared" si="94"/>
        <v>0</v>
      </c>
      <c r="I909" s="6">
        <f t="shared" si="95"/>
        <v>0</v>
      </c>
      <c r="J909" s="7">
        <f t="shared" si="96"/>
        <v>0</v>
      </c>
      <c r="K909" s="28">
        <v>0</v>
      </c>
      <c r="L909" s="29">
        <v>0</v>
      </c>
      <c r="M909" s="35"/>
      <c r="N909" s="36"/>
      <c r="O909" s="6">
        <f t="shared" si="97"/>
        <v>0</v>
      </c>
      <c r="P909" s="7">
        <f t="shared" si="98"/>
        <v>0</v>
      </c>
      <c r="Q909" s="59"/>
      <c r="R909" s="2" t="str">
        <f t="shared" si="99"/>
        <v>624|||0|0|0|0|</v>
      </c>
      <c r="S909" s="25"/>
    </row>
    <row r="910" spans="1:19" s="34" customFormat="1" ht="12.75" customHeight="1" x14ac:dyDescent="0.2">
      <c r="A910" s="72" t="s">
        <v>841</v>
      </c>
      <c r="B910" s="61" t="s">
        <v>2117</v>
      </c>
      <c r="C910" s="37"/>
      <c r="D910" s="38"/>
      <c r="E910" s="28">
        <v>0</v>
      </c>
      <c r="F910" s="29">
        <v>0</v>
      </c>
      <c r="G910" s="6">
        <f t="shared" si="93"/>
        <v>0</v>
      </c>
      <c r="H910" s="7">
        <f t="shared" si="94"/>
        <v>0</v>
      </c>
      <c r="I910" s="6">
        <f t="shared" si="95"/>
        <v>0</v>
      </c>
      <c r="J910" s="7">
        <f t="shared" si="96"/>
        <v>0</v>
      </c>
      <c r="K910" s="28">
        <v>0</v>
      </c>
      <c r="L910" s="29">
        <v>0</v>
      </c>
      <c r="M910" s="35"/>
      <c r="N910" s="36"/>
      <c r="O910" s="6">
        <f t="shared" si="97"/>
        <v>0</v>
      </c>
      <c r="P910" s="7">
        <f t="shared" si="98"/>
        <v>0</v>
      </c>
      <c r="Q910" s="59"/>
      <c r="R910" s="2" t="str">
        <f t="shared" si="99"/>
        <v>625|||0|0|0|0|</v>
      </c>
      <c r="S910" s="25"/>
    </row>
    <row r="911" spans="1:19" s="34" customFormat="1" ht="12.75" customHeight="1" x14ac:dyDescent="0.2">
      <c r="A911" s="72" t="s">
        <v>842</v>
      </c>
      <c r="B911" s="61" t="s">
        <v>2118</v>
      </c>
      <c r="C911" s="37"/>
      <c r="D911" s="38"/>
      <c r="E911" s="28">
        <v>0</v>
      </c>
      <c r="F911" s="29">
        <v>0</v>
      </c>
      <c r="G911" s="6">
        <f t="shared" si="93"/>
        <v>0</v>
      </c>
      <c r="H911" s="7">
        <f t="shared" si="94"/>
        <v>0</v>
      </c>
      <c r="I911" s="6">
        <f t="shared" si="95"/>
        <v>0</v>
      </c>
      <c r="J911" s="7">
        <f t="shared" si="96"/>
        <v>0</v>
      </c>
      <c r="K911" s="28">
        <v>0</v>
      </c>
      <c r="L911" s="29">
        <v>0</v>
      </c>
      <c r="M911" s="35"/>
      <c r="N911" s="36"/>
      <c r="O911" s="6">
        <f t="shared" si="97"/>
        <v>0</v>
      </c>
      <c r="P911" s="7">
        <f t="shared" si="98"/>
        <v>0</v>
      </c>
      <c r="Q911" s="59"/>
      <c r="R911" s="2" t="str">
        <f t="shared" si="99"/>
        <v>626|||0|0|0|0|</v>
      </c>
      <c r="S911" s="25"/>
    </row>
    <row r="912" spans="1:19" s="34" customFormat="1" ht="12.75" customHeight="1" x14ac:dyDescent="0.2">
      <c r="A912" s="72" t="s">
        <v>843</v>
      </c>
      <c r="B912" s="61" t="s">
        <v>2119</v>
      </c>
      <c r="C912" s="37"/>
      <c r="D912" s="38"/>
      <c r="E912" s="28">
        <v>0</v>
      </c>
      <c r="F912" s="29">
        <v>0</v>
      </c>
      <c r="G912" s="6">
        <f t="shared" si="93"/>
        <v>0</v>
      </c>
      <c r="H912" s="7">
        <f t="shared" si="94"/>
        <v>0</v>
      </c>
      <c r="I912" s="6">
        <f t="shared" si="95"/>
        <v>0</v>
      </c>
      <c r="J912" s="7">
        <f t="shared" si="96"/>
        <v>0</v>
      </c>
      <c r="K912" s="28">
        <v>0</v>
      </c>
      <c r="L912" s="29">
        <v>0</v>
      </c>
      <c r="M912" s="35"/>
      <c r="N912" s="36"/>
      <c r="O912" s="6">
        <f t="shared" si="97"/>
        <v>0</v>
      </c>
      <c r="P912" s="7">
        <f t="shared" si="98"/>
        <v>0</v>
      </c>
      <c r="Q912" s="59"/>
      <c r="R912" s="2" t="str">
        <f t="shared" si="99"/>
        <v>6271|||0|0|0|0|</v>
      </c>
      <c r="S912" s="25"/>
    </row>
    <row r="913" spans="1:19" s="34" customFormat="1" ht="12.75" customHeight="1" x14ac:dyDescent="0.2">
      <c r="A913" s="72" t="s">
        <v>844</v>
      </c>
      <c r="B913" s="61" t="s">
        <v>2120</v>
      </c>
      <c r="C913" s="37"/>
      <c r="D913" s="38"/>
      <c r="E913" s="28">
        <v>0</v>
      </c>
      <c r="F913" s="29">
        <v>0</v>
      </c>
      <c r="G913" s="6">
        <f t="shared" si="93"/>
        <v>0</v>
      </c>
      <c r="H913" s="7">
        <f t="shared" si="94"/>
        <v>0</v>
      </c>
      <c r="I913" s="6">
        <f t="shared" si="95"/>
        <v>0</v>
      </c>
      <c r="J913" s="7">
        <f t="shared" si="96"/>
        <v>0</v>
      </c>
      <c r="K913" s="28">
        <v>0</v>
      </c>
      <c r="L913" s="29">
        <v>0</v>
      </c>
      <c r="M913" s="35"/>
      <c r="N913" s="36"/>
      <c r="O913" s="6">
        <f t="shared" si="97"/>
        <v>0</v>
      </c>
      <c r="P913" s="7">
        <f t="shared" si="98"/>
        <v>0</v>
      </c>
      <c r="Q913" s="59"/>
      <c r="R913" s="2" t="str">
        <f t="shared" si="99"/>
        <v>6272|||0|0|0|0|</v>
      </c>
      <c r="S913" s="25"/>
    </row>
    <row r="914" spans="1:19" s="34" customFormat="1" ht="12.75" customHeight="1" x14ac:dyDescent="0.2">
      <c r="A914" s="72" t="s">
        <v>845</v>
      </c>
      <c r="B914" s="61" t="s">
        <v>2121</v>
      </c>
      <c r="C914" s="37"/>
      <c r="D914" s="38"/>
      <c r="E914" s="28">
        <v>0</v>
      </c>
      <c r="F914" s="29">
        <v>0</v>
      </c>
      <c r="G914" s="6">
        <f t="shared" si="93"/>
        <v>0</v>
      </c>
      <c r="H914" s="7">
        <f t="shared" si="94"/>
        <v>0</v>
      </c>
      <c r="I914" s="6">
        <f t="shared" si="95"/>
        <v>0</v>
      </c>
      <c r="J914" s="7">
        <f t="shared" si="96"/>
        <v>0</v>
      </c>
      <c r="K914" s="28">
        <v>0</v>
      </c>
      <c r="L914" s="29">
        <v>0</v>
      </c>
      <c r="M914" s="35"/>
      <c r="N914" s="36"/>
      <c r="O914" s="6">
        <f t="shared" si="97"/>
        <v>0</v>
      </c>
      <c r="P914" s="7">
        <f t="shared" si="98"/>
        <v>0</v>
      </c>
      <c r="Q914" s="59"/>
      <c r="R914" s="2" t="str">
        <f t="shared" si="99"/>
        <v>6273|||0|0|0|0|</v>
      </c>
      <c r="S914" s="25"/>
    </row>
    <row r="915" spans="1:19" s="34" customFormat="1" ht="12.75" customHeight="1" x14ac:dyDescent="0.2">
      <c r="A915" s="72" t="s">
        <v>846</v>
      </c>
      <c r="B915" s="61" t="s">
        <v>2122</v>
      </c>
      <c r="C915" s="37"/>
      <c r="D915" s="38"/>
      <c r="E915" s="28">
        <v>0</v>
      </c>
      <c r="F915" s="29">
        <v>0</v>
      </c>
      <c r="G915" s="6">
        <f t="shared" si="93"/>
        <v>0</v>
      </c>
      <c r="H915" s="7">
        <f t="shared" si="94"/>
        <v>0</v>
      </c>
      <c r="I915" s="6">
        <f t="shared" si="95"/>
        <v>0</v>
      </c>
      <c r="J915" s="7">
        <f t="shared" si="96"/>
        <v>0</v>
      </c>
      <c r="K915" s="28">
        <v>0</v>
      </c>
      <c r="L915" s="29">
        <v>0</v>
      </c>
      <c r="M915" s="35"/>
      <c r="N915" s="36"/>
      <c r="O915" s="6">
        <f t="shared" si="97"/>
        <v>0</v>
      </c>
      <c r="P915" s="7">
        <f t="shared" si="98"/>
        <v>0</v>
      </c>
      <c r="Q915" s="59"/>
      <c r="R915" s="2" t="str">
        <f t="shared" si="99"/>
        <v>6274|||0|0|0|0|</v>
      </c>
      <c r="S915" s="25"/>
    </row>
    <row r="916" spans="1:19" s="34" customFormat="1" ht="12.75" customHeight="1" x14ac:dyDescent="0.2">
      <c r="A916" s="72" t="s">
        <v>847</v>
      </c>
      <c r="B916" s="61" t="s">
        <v>2123</v>
      </c>
      <c r="C916" s="37"/>
      <c r="D916" s="38"/>
      <c r="E916" s="28">
        <v>0</v>
      </c>
      <c r="F916" s="29">
        <v>0</v>
      </c>
      <c r="G916" s="6">
        <f t="shared" si="93"/>
        <v>0</v>
      </c>
      <c r="H916" s="7">
        <f t="shared" si="94"/>
        <v>0</v>
      </c>
      <c r="I916" s="6">
        <f t="shared" si="95"/>
        <v>0</v>
      </c>
      <c r="J916" s="7">
        <f t="shared" si="96"/>
        <v>0</v>
      </c>
      <c r="K916" s="28">
        <v>0</v>
      </c>
      <c r="L916" s="29">
        <v>0</v>
      </c>
      <c r="M916" s="35"/>
      <c r="N916" s="36"/>
      <c r="O916" s="6">
        <f t="shared" si="97"/>
        <v>0</v>
      </c>
      <c r="P916" s="7">
        <f t="shared" si="98"/>
        <v>0</v>
      </c>
      <c r="Q916" s="59"/>
      <c r="R916" s="2" t="str">
        <f t="shared" si="99"/>
        <v>6275|||0|0|0|0|</v>
      </c>
      <c r="S916" s="25"/>
    </row>
    <row r="917" spans="1:19" s="34" customFormat="1" ht="12.75" customHeight="1" x14ac:dyDescent="0.2">
      <c r="A917" s="72" t="s">
        <v>848</v>
      </c>
      <c r="B917" s="61" t="s">
        <v>2124</v>
      </c>
      <c r="C917" s="37"/>
      <c r="D917" s="38"/>
      <c r="E917" s="28">
        <v>0</v>
      </c>
      <c r="F917" s="29">
        <v>0</v>
      </c>
      <c r="G917" s="6">
        <f t="shared" si="93"/>
        <v>0</v>
      </c>
      <c r="H917" s="7">
        <f t="shared" si="94"/>
        <v>0</v>
      </c>
      <c r="I917" s="6">
        <f t="shared" si="95"/>
        <v>0</v>
      </c>
      <c r="J917" s="7">
        <f t="shared" si="96"/>
        <v>0</v>
      </c>
      <c r="K917" s="28">
        <v>0</v>
      </c>
      <c r="L917" s="29">
        <v>0</v>
      </c>
      <c r="M917" s="35"/>
      <c r="N917" s="36"/>
      <c r="O917" s="6">
        <f t="shared" si="97"/>
        <v>0</v>
      </c>
      <c r="P917" s="7">
        <f t="shared" si="98"/>
        <v>0</v>
      </c>
      <c r="Q917" s="59"/>
      <c r="R917" s="2" t="str">
        <f t="shared" si="99"/>
        <v>6276|||0|0|0|0|</v>
      </c>
      <c r="S917" s="25"/>
    </row>
    <row r="918" spans="1:19" s="34" customFormat="1" ht="12.75" customHeight="1" x14ac:dyDescent="0.2">
      <c r="A918" s="72" t="s">
        <v>2125</v>
      </c>
      <c r="B918" s="61" t="s">
        <v>2126</v>
      </c>
      <c r="C918" s="37"/>
      <c r="D918" s="38"/>
      <c r="E918" s="28">
        <v>0</v>
      </c>
      <c r="F918" s="29">
        <v>0</v>
      </c>
      <c r="G918" s="6">
        <f t="shared" si="93"/>
        <v>0</v>
      </c>
      <c r="H918" s="7">
        <f t="shared" si="94"/>
        <v>0</v>
      </c>
      <c r="I918" s="6">
        <f t="shared" si="95"/>
        <v>0</v>
      </c>
      <c r="J918" s="7">
        <f t="shared" si="96"/>
        <v>0</v>
      </c>
      <c r="K918" s="28">
        <v>0</v>
      </c>
      <c r="L918" s="29">
        <v>0</v>
      </c>
      <c r="M918" s="35"/>
      <c r="N918" s="36"/>
      <c r="O918" s="6">
        <f t="shared" si="97"/>
        <v>0</v>
      </c>
      <c r="P918" s="7">
        <f t="shared" si="98"/>
        <v>0</v>
      </c>
      <c r="Q918" s="59"/>
      <c r="R918" s="2" t="str">
        <f t="shared" si="99"/>
        <v>6277|||0|0|0|0|</v>
      </c>
      <c r="S918" s="25"/>
    </row>
    <row r="919" spans="1:19" s="34" customFormat="1" ht="12.75" customHeight="1" x14ac:dyDescent="0.2">
      <c r="A919" s="72" t="s">
        <v>849</v>
      </c>
      <c r="B919" s="61" t="s">
        <v>2127</v>
      </c>
      <c r="C919" s="37"/>
      <c r="D919" s="38"/>
      <c r="E919" s="28">
        <v>0</v>
      </c>
      <c r="F919" s="29">
        <v>0</v>
      </c>
      <c r="G919" s="6">
        <f t="shared" ref="G919:G982" si="100">+E919</f>
        <v>0</v>
      </c>
      <c r="H919" s="7">
        <f t="shared" ref="H919:H982" si="101">+F919</f>
        <v>0</v>
      </c>
      <c r="I919" s="6">
        <f t="shared" si="95"/>
        <v>0</v>
      </c>
      <c r="J919" s="7">
        <f t="shared" si="96"/>
        <v>0</v>
      </c>
      <c r="K919" s="28">
        <v>0</v>
      </c>
      <c r="L919" s="29">
        <v>0</v>
      </c>
      <c r="M919" s="35"/>
      <c r="N919" s="36"/>
      <c r="O919" s="6">
        <f t="shared" si="97"/>
        <v>0</v>
      </c>
      <c r="P919" s="7">
        <f t="shared" si="98"/>
        <v>0</v>
      </c>
      <c r="Q919" s="59"/>
      <c r="R919" s="2" t="str">
        <f t="shared" si="99"/>
        <v>628|||0|0|0|0|</v>
      </c>
      <c r="S919" s="25"/>
    </row>
    <row r="920" spans="1:19" s="34" customFormat="1" ht="12.75" customHeight="1" x14ac:dyDescent="0.2">
      <c r="A920" s="72" t="s">
        <v>850</v>
      </c>
      <c r="B920" s="61" t="s">
        <v>2128</v>
      </c>
      <c r="C920" s="37"/>
      <c r="D920" s="38"/>
      <c r="E920" s="28">
        <v>0</v>
      </c>
      <c r="F920" s="29">
        <v>0</v>
      </c>
      <c r="G920" s="6">
        <f t="shared" si="100"/>
        <v>0</v>
      </c>
      <c r="H920" s="7">
        <f t="shared" si="101"/>
        <v>0</v>
      </c>
      <c r="I920" s="6">
        <f t="shared" si="95"/>
        <v>0</v>
      </c>
      <c r="J920" s="7">
        <f t="shared" si="96"/>
        <v>0</v>
      </c>
      <c r="K920" s="28">
        <v>0</v>
      </c>
      <c r="L920" s="29">
        <v>0</v>
      </c>
      <c r="M920" s="35"/>
      <c r="N920" s="36"/>
      <c r="O920" s="6">
        <f t="shared" si="97"/>
        <v>0</v>
      </c>
      <c r="P920" s="7">
        <f t="shared" si="98"/>
        <v>0</v>
      </c>
      <c r="Q920" s="59"/>
      <c r="R920" s="2" t="str">
        <f t="shared" si="99"/>
        <v>6291|||0|0|0|0|</v>
      </c>
      <c r="S920" s="25"/>
    </row>
    <row r="921" spans="1:19" s="34" customFormat="1" ht="12.75" customHeight="1" x14ac:dyDescent="0.2">
      <c r="A921" s="72" t="s">
        <v>851</v>
      </c>
      <c r="B921" s="61" t="s">
        <v>2129</v>
      </c>
      <c r="C921" s="37"/>
      <c r="D921" s="38"/>
      <c r="E921" s="28">
        <v>0</v>
      </c>
      <c r="F921" s="29">
        <v>0</v>
      </c>
      <c r="G921" s="6">
        <f t="shared" si="100"/>
        <v>0</v>
      </c>
      <c r="H921" s="7">
        <f t="shared" si="101"/>
        <v>0</v>
      </c>
      <c r="I921" s="6">
        <f t="shared" si="95"/>
        <v>0</v>
      </c>
      <c r="J921" s="7">
        <f t="shared" si="96"/>
        <v>0</v>
      </c>
      <c r="K921" s="28">
        <v>0</v>
      </c>
      <c r="L921" s="29">
        <v>0</v>
      </c>
      <c r="M921" s="35"/>
      <c r="N921" s="36"/>
      <c r="O921" s="6">
        <f t="shared" si="97"/>
        <v>0</v>
      </c>
      <c r="P921" s="7">
        <f t="shared" si="98"/>
        <v>0</v>
      </c>
      <c r="Q921" s="59"/>
      <c r="R921" s="2" t="str">
        <f t="shared" si="99"/>
        <v>6292|||0|0|0|0|</v>
      </c>
      <c r="S921" s="25"/>
    </row>
    <row r="922" spans="1:19" s="34" customFormat="1" ht="12.75" customHeight="1" x14ac:dyDescent="0.2">
      <c r="A922" s="72" t="s">
        <v>852</v>
      </c>
      <c r="B922" s="61" t="s">
        <v>2130</v>
      </c>
      <c r="C922" s="37"/>
      <c r="D922" s="38"/>
      <c r="E922" s="28">
        <v>0</v>
      </c>
      <c r="F922" s="29">
        <v>0</v>
      </c>
      <c r="G922" s="6">
        <f t="shared" si="100"/>
        <v>0</v>
      </c>
      <c r="H922" s="7">
        <f t="shared" si="101"/>
        <v>0</v>
      </c>
      <c r="I922" s="6">
        <f t="shared" si="95"/>
        <v>0</v>
      </c>
      <c r="J922" s="7">
        <f t="shared" si="96"/>
        <v>0</v>
      </c>
      <c r="K922" s="28">
        <v>0</v>
      </c>
      <c r="L922" s="29">
        <v>0</v>
      </c>
      <c r="M922" s="35"/>
      <c r="N922" s="36"/>
      <c r="O922" s="6">
        <f t="shared" si="97"/>
        <v>0</v>
      </c>
      <c r="P922" s="7">
        <f t="shared" si="98"/>
        <v>0</v>
      </c>
      <c r="Q922" s="59"/>
      <c r="R922" s="2" t="str">
        <f t="shared" si="99"/>
        <v>6293|||0|0|0|0|</v>
      </c>
      <c r="S922" s="25"/>
    </row>
    <row r="923" spans="1:19" s="34" customFormat="1" ht="12.75" customHeight="1" x14ac:dyDescent="0.2">
      <c r="A923" s="72" t="s">
        <v>853</v>
      </c>
      <c r="B923" s="61" t="s">
        <v>2131</v>
      </c>
      <c r="C923" s="37"/>
      <c r="D923" s="38"/>
      <c r="E923" s="28">
        <v>0</v>
      </c>
      <c r="F923" s="29">
        <v>0</v>
      </c>
      <c r="G923" s="6">
        <f t="shared" si="100"/>
        <v>0</v>
      </c>
      <c r="H923" s="7">
        <f t="shared" si="101"/>
        <v>0</v>
      </c>
      <c r="I923" s="6">
        <f t="shared" si="95"/>
        <v>0</v>
      </c>
      <c r="J923" s="7">
        <f t="shared" si="96"/>
        <v>0</v>
      </c>
      <c r="K923" s="28">
        <v>0</v>
      </c>
      <c r="L923" s="29">
        <v>0</v>
      </c>
      <c r="M923" s="35"/>
      <c r="N923" s="36"/>
      <c r="O923" s="6">
        <f t="shared" si="97"/>
        <v>0</v>
      </c>
      <c r="P923" s="7">
        <f t="shared" si="98"/>
        <v>0</v>
      </c>
      <c r="Q923" s="59"/>
      <c r="R923" s="2" t="str">
        <f t="shared" si="99"/>
        <v>63111|||0|0|0|0|</v>
      </c>
      <c r="S923" s="25"/>
    </row>
    <row r="924" spans="1:19" s="34" customFormat="1" ht="12.75" customHeight="1" x14ac:dyDescent="0.2">
      <c r="A924" s="72" t="s">
        <v>854</v>
      </c>
      <c r="B924" s="61" t="s">
        <v>2132</v>
      </c>
      <c r="C924" s="37"/>
      <c r="D924" s="38"/>
      <c r="E924" s="28">
        <v>0</v>
      </c>
      <c r="F924" s="29">
        <v>0</v>
      </c>
      <c r="G924" s="6">
        <f t="shared" si="100"/>
        <v>0</v>
      </c>
      <c r="H924" s="7">
        <f t="shared" si="101"/>
        <v>0</v>
      </c>
      <c r="I924" s="6">
        <f t="shared" si="95"/>
        <v>0</v>
      </c>
      <c r="J924" s="7">
        <f t="shared" si="96"/>
        <v>0</v>
      </c>
      <c r="K924" s="28">
        <v>0</v>
      </c>
      <c r="L924" s="29">
        <v>0</v>
      </c>
      <c r="M924" s="35"/>
      <c r="N924" s="36"/>
      <c r="O924" s="6">
        <f t="shared" si="97"/>
        <v>0</v>
      </c>
      <c r="P924" s="7">
        <f t="shared" si="98"/>
        <v>0</v>
      </c>
      <c r="Q924" s="59"/>
      <c r="R924" s="2" t="str">
        <f t="shared" si="99"/>
        <v>63112|||0|0|0|0|</v>
      </c>
      <c r="S924" s="25"/>
    </row>
    <row r="925" spans="1:19" s="34" customFormat="1" ht="12.75" customHeight="1" x14ac:dyDescent="0.2">
      <c r="A925" s="72" t="s">
        <v>855</v>
      </c>
      <c r="B925" s="61" t="s">
        <v>2133</v>
      </c>
      <c r="C925" s="37"/>
      <c r="D925" s="38"/>
      <c r="E925" s="28">
        <v>0</v>
      </c>
      <c r="F925" s="29">
        <v>0</v>
      </c>
      <c r="G925" s="6">
        <f t="shared" si="100"/>
        <v>0</v>
      </c>
      <c r="H925" s="7">
        <f t="shared" si="101"/>
        <v>0</v>
      </c>
      <c r="I925" s="6">
        <f t="shared" si="95"/>
        <v>0</v>
      </c>
      <c r="J925" s="7">
        <f t="shared" si="96"/>
        <v>0</v>
      </c>
      <c r="K925" s="28">
        <v>0</v>
      </c>
      <c r="L925" s="29">
        <v>0</v>
      </c>
      <c r="M925" s="35"/>
      <c r="N925" s="36"/>
      <c r="O925" s="6">
        <f t="shared" si="97"/>
        <v>0</v>
      </c>
      <c r="P925" s="7">
        <f t="shared" si="98"/>
        <v>0</v>
      </c>
      <c r="Q925" s="59"/>
      <c r="R925" s="2" t="str">
        <f t="shared" si="99"/>
        <v>6312|||0|0|0|0|</v>
      </c>
      <c r="S925" s="25"/>
    </row>
    <row r="926" spans="1:19" s="34" customFormat="1" ht="12.75" customHeight="1" x14ac:dyDescent="0.2">
      <c r="A926" s="72" t="s">
        <v>856</v>
      </c>
      <c r="B926" s="61" t="s">
        <v>2134</v>
      </c>
      <c r="C926" s="37"/>
      <c r="D926" s="38"/>
      <c r="E926" s="28">
        <v>0</v>
      </c>
      <c r="F926" s="29">
        <v>0</v>
      </c>
      <c r="G926" s="6">
        <f t="shared" si="100"/>
        <v>0</v>
      </c>
      <c r="H926" s="7">
        <f t="shared" si="101"/>
        <v>0</v>
      </c>
      <c r="I926" s="6">
        <f t="shared" si="95"/>
        <v>0</v>
      </c>
      <c r="J926" s="7">
        <f t="shared" si="96"/>
        <v>0</v>
      </c>
      <c r="K926" s="28">
        <v>0</v>
      </c>
      <c r="L926" s="29">
        <v>0</v>
      </c>
      <c r="M926" s="35"/>
      <c r="N926" s="36"/>
      <c r="O926" s="6">
        <f t="shared" si="97"/>
        <v>0</v>
      </c>
      <c r="P926" s="7">
        <f t="shared" si="98"/>
        <v>0</v>
      </c>
      <c r="Q926" s="59"/>
      <c r="R926" s="2" t="str">
        <f t="shared" si="99"/>
        <v>6313|||0|0|0|0|</v>
      </c>
      <c r="S926" s="25"/>
    </row>
    <row r="927" spans="1:19" s="34" customFormat="1" ht="12.75" customHeight="1" x14ac:dyDescent="0.2">
      <c r="A927" s="72" t="s">
        <v>857</v>
      </c>
      <c r="B927" s="61" t="s">
        <v>2135</v>
      </c>
      <c r="C927" s="37"/>
      <c r="D927" s="38"/>
      <c r="E927" s="28">
        <v>0</v>
      </c>
      <c r="F927" s="29">
        <v>0</v>
      </c>
      <c r="G927" s="6">
        <f t="shared" si="100"/>
        <v>0</v>
      </c>
      <c r="H927" s="7">
        <f t="shared" si="101"/>
        <v>0</v>
      </c>
      <c r="I927" s="6">
        <f t="shared" si="95"/>
        <v>0</v>
      </c>
      <c r="J927" s="7">
        <f t="shared" si="96"/>
        <v>0</v>
      </c>
      <c r="K927" s="28">
        <v>0</v>
      </c>
      <c r="L927" s="29">
        <v>0</v>
      </c>
      <c r="M927" s="35"/>
      <c r="N927" s="36"/>
      <c r="O927" s="6">
        <f t="shared" si="97"/>
        <v>0</v>
      </c>
      <c r="P927" s="7">
        <f t="shared" si="98"/>
        <v>0</v>
      </c>
      <c r="Q927" s="59"/>
      <c r="R927" s="2" t="str">
        <f t="shared" si="99"/>
        <v>6314|||0|0|0|0|</v>
      </c>
      <c r="S927" s="25"/>
    </row>
    <row r="928" spans="1:19" s="34" customFormat="1" ht="12.75" customHeight="1" x14ac:dyDescent="0.2">
      <c r="A928" s="72" t="s">
        <v>2136</v>
      </c>
      <c r="B928" s="61" t="s">
        <v>2137</v>
      </c>
      <c r="C928" s="37"/>
      <c r="D928" s="38"/>
      <c r="E928" s="28">
        <v>0</v>
      </c>
      <c r="F928" s="29">
        <v>0</v>
      </c>
      <c r="G928" s="6">
        <f t="shared" si="100"/>
        <v>0</v>
      </c>
      <c r="H928" s="7">
        <f t="shared" si="101"/>
        <v>0</v>
      </c>
      <c r="I928" s="6">
        <f t="shared" si="95"/>
        <v>0</v>
      </c>
      <c r="J928" s="7">
        <f t="shared" si="96"/>
        <v>0</v>
      </c>
      <c r="K928" s="28">
        <v>0</v>
      </c>
      <c r="L928" s="29">
        <v>0</v>
      </c>
      <c r="M928" s="35"/>
      <c r="N928" s="36"/>
      <c r="O928" s="6">
        <f t="shared" si="97"/>
        <v>0</v>
      </c>
      <c r="P928" s="7">
        <f t="shared" si="98"/>
        <v>0</v>
      </c>
      <c r="Q928" s="59"/>
      <c r="R928" s="2" t="str">
        <f t="shared" si="99"/>
        <v>6315|||0|0|0|0|</v>
      </c>
      <c r="S928" s="25"/>
    </row>
    <row r="929" spans="1:19" s="34" customFormat="1" ht="12.75" customHeight="1" x14ac:dyDescent="0.2">
      <c r="A929" s="72" t="s">
        <v>858</v>
      </c>
      <c r="B929" s="61" t="s">
        <v>2138</v>
      </c>
      <c r="C929" s="37"/>
      <c r="D929" s="38"/>
      <c r="E929" s="28">
        <v>0</v>
      </c>
      <c r="F929" s="29">
        <v>0</v>
      </c>
      <c r="G929" s="6">
        <f t="shared" si="100"/>
        <v>0</v>
      </c>
      <c r="H929" s="7">
        <f t="shared" si="101"/>
        <v>0</v>
      </c>
      <c r="I929" s="6">
        <f t="shared" si="95"/>
        <v>0</v>
      </c>
      <c r="J929" s="7">
        <f t="shared" si="96"/>
        <v>0</v>
      </c>
      <c r="K929" s="28">
        <v>0</v>
      </c>
      <c r="L929" s="29">
        <v>0</v>
      </c>
      <c r="M929" s="35"/>
      <c r="N929" s="36"/>
      <c r="O929" s="6">
        <f t="shared" si="97"/>
        <v>0</v>
      </c>
      <c r="P929" s="7">
        <f t="shared" si="98"/>
        <v>0</v>
      </c>
      <c r="Q929" s="59"/>
      <c r="R929" s="2" t="str">
        <f t="shared" si="99"/>
        <v>6321|||0|0|0|0|</v>
      </c>
      <c r="S929" s="25"/>
    </row>
    <row r="930" spans="1:19" s="34" customFormat="1" ht="12.75" customHeight="1" x14ac:dyDescent="0.2">
      <c r="A930" s="72" t="s">
        <v>859</v>
      </c>
      <c r="B930" s="61" t="s">
        <v>2139</v>
      </c>
      <c r="C930" s="37"/>
      <c r="D930" s="38"/>
      <c r="E930" s="28">
        <v>0</v>
      </c>
      <c r="F930" s="29">
        <v>0</v>
      </c>
      <c r="G930" s="6">
        <f t="shared" si="100"/>
        <v>0</v>
      </c>
      <c r="H930" s="7">
        <f t="shared" si="101"/>
        <v>0</v>
      </c>
      <c r="I930" s="6">
        <f t="shared" si="95"/>
        <v>0</v>
      </c>
      <c r="J930" s="7">
        <f t="shared" si="96"/>
        <v>0</v>
      </c>
      <c r="K930" s="28">
        <v>0</v>
      </c>
      <c r="L930" s="29">
        <v>0</v>
      </c>
      <c r="M930" s="35"/>
      <c r="N930" s="36"/>
      <c r="O930" s="6">
        <f t="shared" si="97"/>
        <v>0</v>
      </c>
      <c r="P930" s="7">
        <f t="shared" si="98"/>
        <v>0</v>
      </c>
      <c r="Q930" s="59"/>
      <c r="R930" s="2" t="str">
        <f t="shared" si="99"/>
        <v>6322|||0|0|0|0|</v>
      </c>
      <c r="S930" s="25"/>
    </row>
    <row r="931" spans="1:19" s="34" customFormat="1" ht="12.75" customHeight="1" x14ac:dyDescent="0.2">
      <c r="A931" s="72" t="s">
        <v>860</v>
      </c>
      <c r="B931" s="61" t="s">
        <v>2140</v>
      </c>
      <c r="C931" s="37"/>
      <c r="D931" s="38"/>
      <c r="E931" s="28">
        <v>0</v>
      </c>
      <c r="F931" s="29">
        <v>0</v>
      </c>
      <c r="G931" s="6">
        <f t="shared" si="100"/>
        <v>0</v>
      </c>
      <c r="H931" s="7">
        <f t="shared" si="101"/>
        <v>0</v>
      </c>
      <c r="I931" s="6">
        <f t="shared" si="95"/>
        <v>0</v>
      </c>
      <c r="J931" s="7">
        <f t="shared" si="96"/>
        <v>0</v>
      </c>
      <c r="K931" s="28">
        <v>0</v>
      </c>
      <c r="L931" s="29">
        <v>0</v>
      </c>
      <c r="M931" s="35"/>
      <c r="N931" s="36"/>
      <c r="O931" s="6">
        <f t="shared" si="97"/>
        <v>0</v>
      </c>
      <c r="P931" s="7">
        <f t="shared" si="98"/>
        <v>0</v>
      </c>
      <c r="Q931" s="59"/>
      <c r="R931" s="2" t="str">
        <f t="shared" si="99"/>
        <v>6323|||0|0|0|0|</v>
      </c>
      <c r="S931" s="25"/>
    </row>
    <row r="932" spans="1:19" s="34" customFormat="1" ht="12.75" customHeight="1" x14ac:dyDescent="0.2">
      <c r="A932" s="72" t="s">
        <v>2141</v>
      </c>
      <c r="B932" s="61" t="s">
        <v>2142</v>
      </c>
      <c r="C932" s="37"/>
      <c r="D932" s="38"/>
      <c r="E932" s="28">
        <v>0</v>
      </c>
      <c r="F932" s="29">
        <v>0</v>
      </c>
      <c r="G932" s="6">
        <f t="shared" si="100"/>
        <v>0</v>
      </c>
      <c r="H932" s="7">
        <f t="shared" si="101"/>
        <v>0</v>
      </c>
      <c r="I932" s="6">
        <f t="shared" si="95"/>
        <v>0</v>
      </c>
      <c r="J932" s="7">
        <f t="shared" si="96"/>
        <v>0</v>
      </c>
      <c r="K932" s="28">
        <v>0</v>
      </c>
      <c r="L932" s="29">
        <v>0</v>
      </c>
      <c r="M932" s="35"/>
      <c r="N932" s="36"/>
      <c r="O932" s="6">
        <f t="shared" si="97"/>
        <v>0</v>
      </c>
      <c r="P932" s="7">
        <f t="shared" si="98"/>
        <v>0</v>
      </c>
      <c r="Q932" s="59"/>
      <c r="R932" s="2" t="str">
        <f t="shared" si="99"/>
        <v>6324|||0|0|0|0|</v>
      </c>
      <c r="S932" s="25"/>
    </row>
    <row r="933" spans="1:19" s="34" customFormat="1" ht="12.75" customHeight="1" x14ac:dyDescent="0.2">
      <c r="A933" s="72" t="s">
        <v>2143</v>
      </c>
      <c r="B933" s="61" t="s">
        <v>2144</v>
      </c>
      <c r="C933" s="37"/>
      <c r="D933" s="38"/>
      <c r="E933" s="28">
        <v>0</v>
      </c>
      <c r="F933" s="29">
        <v>0</v>
      </c>
      <c r="G933" s="6">
        <f t="shared" si="100"/>
        <v>0</v>
      </c>
      <c r="H933" s="7">
        <f t="shared" si="101"/>
        <v>0</v>
      </c>
      <c r="I933" s="6">
        <f t="shared" si="95"/>
        <v>0</v>
      </c>
      <c r="J933" s="7">
        <f t="shared" si="96"/>
        <v>0</v>
      </c>
      <c r="K933" s="28">
        <v>0</v>
      </c>
      <c r="L933" s="29">
        <v>0</v>
      </c>
      <c r="M933" s="35"/>
      <c r="N933" s="36"/>
      <c r="O933" s="6">
        <f t="shared" si="97"/>
        <v>0</v>
      </c>
      <c r="P933" s="7">
        <f t="shared" si="98"/>
        <v>0</v>
      </c>
      <c r="Q933" s="59"/>
      <c r="R933" s="2" t="str">
        <f t="shared" si="99"/>
        <v>6325|||0|0|0|0|</v>
      </c>
      <c r="S933" s="25"/>
    </row>
    <row r="934" spans="1:19" s="34" customFormat="1" ht="12.75" customHeight="1" x14ac:dyDescent="0.2">
      <c r="A934" s="72" t="s">
        <v>2145</v>
      </c>
      <c r="B934" s="61" t="s">
        <v>2146</v>
      </c>
      <c r="C934" s="37"/>
      <c r="D934" s="38"/>
      <c r="E934" s="28">
        <v>0</v>
      </c>
      <c r="F934" s="29">
        <v>0</v>
      </c>
      <c r="G934" s="6">
        <f t="shared" si="100"/>
        <v>0</v>
      </c>
      <c r="H934" s="7">
        <f t="shared" si="101"/>
        <v>0</v>
      </c>
      <c r="I934" s="6">
        <f t="shared" si="95"/>
        <v>0</v>
      </c>
      <c r="J934" s="7">
        <f t="shared" si="96"/>
        <v>0</v>
      </c>
      <c r="K934" s="28">
        <v>0</v>
      </c>
      <c r="L934" s="29">
        <v>0</v>
      </c>
      <c r="M934" s="35"/>
      <c r="N934" s="36"/>
      <c r="O934" s="6">
        <f t="shared" si="97"/>
        <v>0</v>
      </c>
      <c r="P934" s="7">
        <f t="shared" si="98"/>
        <v>0</v>
      </c>
      <c r="Q934" s="59"/>
      <c r="R934" s="2" t="str">
        <f t="shared" si="99"/>
        <v>6326|||0|0|0|0|</v>
      </c>
      <c r="S934" s="25"/>
    </row>
    <row r="935" spans="1:19" s="34" customFormat="1" ht="12.75" customHeight="1" x14ac:dyDescent="0.2">
      <c r="A935" s="72" t="s">
        <v>2147</v>
      </c>
      <c r="B935" s="61" t="s">
        <v>2148</v>
      </c>
      <c r="C935" s="37"/>
      <c r="D935" s="38"/>
      <c r="E935" s="28">
        <v>0</v>
      </c>
      <c r="F935" s="29">
        <v>0</v>
      </c>
      <c r="G935" s="6">
        <f t="shared" si="100"/>
        <v>0</v>
      </c>
      <c r="H935" s="7">
        <f t="shared" si="101"/>
        <v>0</v>
      </c>
      <c r="I935" s="6">
        <f t="shared" si="95"/>
        <v>0</v>
      </c>
      <c r="J935" s="7">
        <f t="shared" si="96"/>
        <v>0</v>
      </c>
      <c r="K935" s="28">
        <v>0</v>
      </c>
      <c r="L935" s="29">
        <v>0</v>
      </c>
      <c r="M935" s="35"/>
      <c r="N935" s="36"/>
      <c r="O935" s="6">
        <f t="shared" si="97"/>
        <v>0</v>
      </c>
      <c r="P935" s="7">
        <f t="shared" si="98"/>
        <v>0</v>
      </c>
      <c r="Q935" s="59"/>
      <c r="R935" s="2" t="str">
        <f t="shared" si="99"/>
        <v>6327|||0|0|0|0|</v>
      </c>
      <c r="S935" s="25"/>
    </row>
    <row r="936" spans="1:19" s="34" customFormat="1" ht="12.75" customHeight="1" x14ac:dyDescent="0.2">
      <c r="A936" s="72" t="s">
        <v>2149</v>
      </c>
      <c r="B936" s="61" t="s">
        <v>2150</v>
      </c>
      <c r="C936" s="37"/>
      <c r="D936" s="38"/>
      <c r="E936" s="28">
        <v>0</v>
      </c>
      <c r="F936" s="29">
        <v>0</v>
      </c>
      <c r="G936" s="6">
        <f t="shared" si="100"/>
        <v>0</v>
      </c>
      <c r="H936" s="7">
        <f t="shared" si="101"/>
        <v>0</v>
      </c>
      <c r="I936" s="6">
        <f t="shared" si="95"/>
        <v>0</v>
      </c>
      <c r="J936" s="7">
        <f t="shared" si="96"/>
        <v>0</v>
      </c>
      <c r="K936" s="28">
        <v>0</v>
      </c>
      <c r="L936" s="29">
        <v>0</v>
      </c>
      <c r="M936" s="35"/>
      <c r="N936" s="36"/>
      <c r="O936" s="6">
        <f t="shared" si="97"/>
        <v>0</v>
      </c>
      <c r="P936" s="7">
        <f t="shared" si="98"/>
        <v>0</v>
      </c>
      <c r="Q936" s="59"/>
      <c r="R936" s="2" t="str">
        <f t="shared" si="99"/>
        <v>6329|||0|0|0|0|</v>
      </c>
      <c r="S936" s="25"/>
    </row>
    <row r="937" spans="1:19" s="34" customFormat="1" ht="12.75" customHeight="1" x14ac:dyDescent="0.2">
      <c r="A937" s="72" t="s">
        <v>861</v>
      </c>
      <c r="B937" s="61" t="s">
        <v>222</v>
      </c>
      <c r="C937" s="37"/>
      <c r="D937" s="38"/>
      <c r="E937" s="28">
        <v>0</v>
      </c>
      <c r="F937" s="29">
        <v>0</v>
      </c>
      <c r="G937" s="6">
        <f t="shared" si="100"/>
        <v>0</v>
      </c>
      <c r="H937" s="7">
        <f t="shared" si="101"/>
        <v>0</v>
      </c>
      <c r="I937" s="6">
        <f t="shared" ref="I937:I1003" si="102">IF($E937-$F937&gt;=0,$E937-$F937,0)</f>
        <v>0</v>
      </c>
      <c r="J937" s="7">
        <f t="shared" ref="J937:J1003" si="103">IF($E937-$F937&lt;0,-$E937+$F937,0)</f>
        <v>0</v>
      </c>
      <c r="K937" s="28">
        <v>0</v>
      </c>
      <c r="L937" s="29">
        <v>0</v>
      </c>
      <c r="M937" s="35"/>
      <c r="N937" s="36"/>
      <c r="O937" s="6">
        <f t="shared" ref="O937:O1003" si="104">IF($I937-$J937+$K937-$L937&gt;=0,$I937-$J937+$K937-$L937,0)</f>
        <v>0</v>
      </c>
      <c r="P937" s="7">
        <f t="shared" ref="P937:P1003" si="105">IF($I937-$J937+$K937-$L937&lt;0,-($I937-$J937+$K937-$L937),0)</f>
        <v>0</v>
      </c>
      <c r="Q937" s="59"/>
      <c r="R937" s="2" t="str">
        <f t="shared" si="99"/>
        <v>633|||0|0|0|0|</v>
      </c>
      <c r="S937" s="25"/>
    </row>
    <row r="938" spans="1:19" s="34" customFormat="1" ht="12.75" customHeight="1" x14ac:dyDescent="0.2">
      <c r="A938" s="72" t="s">
        <v>2151</v>
      </c>
      <c r="B938" s="61" t="s">
        <v>2152</v>
      </c>
      <c r="C938" s="37"/>
      <c r="D938" s="38"/>
      <c r="E938" s="28">
        <v>0</v>
      </c>
      <c r="F938" s="29">
        <v>0</v>
      </c>
      <c r="G938" s="6">
        <f t="shared" si="100"/>
        <v>0</v>
      </c>
      <c r="H938" s="7">
        <f t="shared" si="101"/>
        <v>0</v>
      </c>
      <c r="I938" s="6">
        <f t="shared" si="102"/>
        <v>0</v>
      </c>
      <c r="J938" s="7">
        <f t="shared" si="103"/>
        <v>0</v>
      </c>
      <c r="K938" s="28">
        <v>0</v>
      </c>
      <c r="L938" s="29">
        <v>0</v>
      </c>
      <c r="M938" s="35"/>
      <c r="N938" s="36"/>
      <c r="O938" s="6">
        <f t="shared" si="104"/>
        <v>0</v>
      </c>
      <c r="P938" s="7">
        <f t="shared" si="105"/>
        <v>0</v>
      </c>
      <c r="Q938" s="59"/>
      <c r="R938" s="2" t="str">
        <f t="shared" si="99"/>
        <v>6341|||0|0|0|0|</v>
      </c>
      <c r="S938" s="25"/>
    </row>
    <row r="939" spans="1:19" s="34" customFormat="1" ht="12.75" customHeight="1" x14ac:dyDescent="0.2">
      <c r="A939" s="72" t="s">
        <v>2153</v>
      </c>
      <c r="B939" s="61" t="s">
        <v>2154</v>
      </c>
      <c r="C939" s="37"/>
      <c r="D939" s="38"/>
      <c r="E939" s="28">
        <v>0</v>
      </c>
      <c r="F939" s="29">
        <v>0</v>
      </c>
      <c r="G939" s="6">
        <f t="shared" si="100"/>
        <v>0</v>
      </c>
      <c r="H939" s="7">
        <f t="shared" si="101"/>
        <v>0</v>
      </c>
      <c r="I939" s="6">
        <f t="shared" si="102"/>
        <v>0</v>
      </c>
      <c r="J939" s="7">
        <f t="shared" si="103"/>
        <v>0</v>
      </c>
      <c r="K939" s="28">
        <v>0</v>
      </c>
      <c r="L939" s="29">
        <v>0</v>
      </c>
      <c r="M939" s="35"/>
      <c r="N939" s="36"/>
      <c r="O939" s="6">
        <f t="shared" si="104"/>
        <v>0</v>
      </c>
      <c r="P939" s="7">
        <f t="shared" si="105"/>
        <v>0</v>
      </c>
      <c r="Q939" s="59"/>
      <c r="R939" s="2" t="str">
        <f t="shared" si="99"/>
        <v>6342|||0|0|0|0|</v>
      </c>
      <c r="S939" s="25"/>
    </row>
    <row r="940" spans="1:19" s="34" customFormat="1" ht="12.75" customHeight="1" x14ac:dyDescent="0.2">
      <c r="A940" s="72" t="s">
        <v>2155</v>
      </c>
      <c r="B940" s="61" t="s">
        <v>2156</v>
      </c>
      <c r="C940" s="37"/>
      <c r="D940" s="38"/>
      <c r="E940" s="28">
        <v>0</v>
      </c>
      <c r="F940" s="29">
        <v>0</v>
      </c>
      <c r="G940" s="6">
        <f t="shared" si="100"/>
        <v>0</v>
      </c>
      <c r="H940" s="7">
        <f t="shared" si="101"/>
        <v>0</v>
      </c>
      <c r="I940" s="6">
        <f t="shared" si="102"/>
        <v>0</v>
      </c>
      <c r="J940" s="7">
        <f t="shared" si="103"/>
        <v>0</v>
      </c>
      <c r="K940" s="28">
        <v>0</v>
      </c>
      <c r="L940" s="29">
        <v>0</v>
      </c>
      <c r="M940" s="35"/>
      <c r="N940" s="36"/>
      <c r="O940" s="6">
        <f t="shared" si="104"/>
        <v>0</v>
      </c>
      <c r="P940" s="7">
        <f t="shared" si="105"/>
        <v>0</v>
      </c>
      <c r="Q940" s="59"/>
      <c r="R940" s="2" t="str">
        <f t="shared" si="99"/>
        <v>6343|||0|0|0|0|</v>
      </c>
      <c r="S940" s="25"/>
    </row>
    <row r="941" spans="1:19" s="34" customFormat="1" ht="12.75" customHeight="1" x14ac:dyDescent="0.2">
      <c r="A941" s="72" t="s">
        <v>2157</v>
      </c>
      <c r="B941" s="61" t="s">
        <v>2158</v>
      </c>
      <c r="C941" s="37"/>
      <c r="D941" s="38"/>
      <c r="E941" s="28">
        <v>0</v>
      </c>
      <c r="F941" s="29">
        <v>0</v>
      </c>
      <c r="G941" s="6">
        <f t="shared" si="100"/>
        <v>0</v>
      </c>
      <c r="H941" s="7">
        <f t="shared" si="101"/>
        <v>0</v>
      </c>
      <c r="I941" s="6">
        <f t="shared" si="102"/>
        <v>0</v>
      </c>
      <c r="J941" s="7">
        <f t="shared" si="103"/>
        <v>0</v>
      </c>
      <c r="K941" s="28">
        <v>0</v>
      </c>
      <c r="L941" s="29">
        <v>0</v>
      </c>
      <c r="M941" s="35"/>
      <c r="N941" s="36"/>
      <c r="O941" s="6">
        <f t="shared" si="104"/>
        <v>0</v>
      </c>
      <c r="P941" s="7">
        <f t="shared" si="105"/>
        <v>0</v>
      </c>
      <c r="Q941" s="59"/>
      <c r="R941" s="2" t="str">
        <f t="shared" si="99"/>
        <v>6344|||0|0|0|0|</v>
      </c>
      <c r="S941" s="25"/>
    </row>
    <row r="942" spans="1:19" s="34" customFormat="1" ht="12.75" customHeight="1" x14ac:dyDescent="0.2">
      <c r="A942" s="72" t="s">
        <v>2159</v>
      </c>
      <c r="B942" s="61" t="s">
        <v>2160</v>
      </c>
      <c r="C942" s="37"/>
      <c r="D942" s="38"/>
      <c r="E942" s="28">
        <v>0</v>
      </c>
      <c r="F942" s="29">
        <v>0</v>
      </c>
      <c r="G942" s="6">
        <f t="shared" si="100"/>
        <v>0</v>
      </c>
      <c r="H942" s="7">
        <f t="shared" si="101"/>
        <v>0</v>
      </c>
      <c r="I942" s="6">
        <f t="shared" si="102"/>
        <v>0</v>
      </c>
      <c r="J942" s="7">
        <f t="shared" si="103"/>
        <v>0</v>
      </c>
      <c r="K942" s="28">
        <v>0</v>
      </c>
      <c r="L942" s="29">
        <v>0</v>
      </c>
      <c r="M942" s="35"/>
      <c r="N942" s="36"/>
      <c r="O942" s="6">
        <f t="shared" si="104"/>
        <v>0</v>
      </c>
      <c r="P942" s="7">
        <f t="shared" si="105"/>
        <v>0</v>
      </c>
      <c r="Q942" s="59"/>
      <c r="R942" s="2" t="str">
        <f t="shared" si="99"/>
        <v>6345|||0|0|0|0|</v>
      </c>
      <c r="S942" s="25"/>
    </row>
    <row r="943" spans="1:19" s="34" customFormat="1" ht="12.75" customHeight="1" x14ac:dyDescent="0.2">
      <c r="A943" s="72" t="s">
        <v>862</v>
      </c>
      <c r="B943" s="61" t="s">
        <v>2161</v>
      </c>
      <c r="C943" s="37"/>
      <c r="D943" s="38"/>
      <c r="E943" s="28">
        <v>0</v>
      </c>
      <c r="F943" s="29">
        <v>0</v>
      </c>
      <c r="G943" s="6">
        <f t="shared" si="100"/>
        <v>0</v>
      </c>
      <c r="H943" s="7">
        <f t="shared" si="101"/>
        <v>0</v>
      </c>
      <c r="I943" s="6">
        <f t="shared" si="102"/>
        <v>0</v>
      </c>
      <c r="J943" s="7">
        <f t="shared" si="103"/>
        <v>0</v>
      </c>
      <c r="K943" s="28">
        <v>0</v>
      </c>
      <c r="L943" s="29">
        <v>0</v>
      </c>
      <c r="M943" s="35"/>
      <c r="N943" s="36"/>
      <c r="O943" s="6">
        <f t="shared" si="104"/>
        <v>0</v>
      </c>
      <c r="P943" s="7">
        <f t="shared" si="105"/>
        <v>0</v>
      </c>
      <c r="Q943" s="59"/>
      <c r="R943" s="2" t="str">
        <f t="shared" si="99"/>
        <v>6351|||0|0|0|0|</v>
      </c>
      <c r="S943" s="25"/>
    </row>
    <row r="944" spans="1:19" s="34" customFormat="1" ht="12.75" customHeight="1" x14ac:dyDescent="0.2">
      <c r="A944" s="72" t="s">
        <v>863</v>
      </c>
      <c r="B944" s="61" t="s">
        <v>2162</v>
      </c>
      <c r="C944" s="37"/>
      <c r="D944" s="38"/>
      <c r="E944" s="28">
        <v>0</v>
      </c>
      <c r="F944" s="29">
        <v>0</v>
      </c>
      <c r="G944" s="6">
        <f t="shared" si="100"/>
        <v>0</v>
      </c>
      <c r="H944" s="7">
        <f t="shared" si="101"/>
        <v>0</v>
      </c>
      <c r="I944" s="6">
        <f t="shared" si="102"/>
        <v>0</v>
      </c>
      <c r="J944" s="7">
        <f t="shared" si="103"/>
        <v>0</v>
      </c>
      <c r="K944" s="28">
        <v>0</v>
      </c>
      <c r="L944" s="29">
        <v>0</v>
      </c>
      <c r="M944" s="35"/>
      <c r="N944" s="36"/>
      <c r="O944" s="6">
        <f t="shared" si="104"/>
        <v>0</v>
      </c>
      <c r="P944" s="7">
        <f t="shared" si="105"/>
        <v>0</v>
      </c>
      <c r="Q944" s="59"/>
      <c r="R944" s="2" t="str">
        <f t="shared" si="99"/>
        <v>6352|||0|0|0|0|</v>
      </c>
      <c r="S944" s="25"/>
    </row>
    <row r="945" spans="1:19" s="34" customFormat="1" ht="12.75" customHeight="1" x14ac:dyDescent="0.2">
      <c r="A945" s="72" t="s">
        <v>864</v>
      </c>
      <c r="B945" s="61" t="s">
        <v>2163</v>
      </c>
      <c r="C945" s="37"/>
      <c r="D945" s="38"/>
      <c r="E945" s="28">
        <v>0</v>
      </c>
      <c r="F945" s="29">
        <v>0</v>
      </c>
      <c r="G945" s="6">
        <f t="shared" si="100"/>
        <v>0</v>
      </c>
      <c r="H945" s="7">
        <f t="shared" si="101"/>
        <v>0</v>
      </c>
      <c r="I945" s="6">
        <f t="shared" si="102"/>
        <v>0</v>
      </c>
      <c r="J945" s="7">
        <f t="shared" si="103"/>
        <v>0</v>
      </c>
      <c r="K945" s="28">
        <v>0</v>
      </c>
      <c r="L945" s="29">
        <v>0</v>
      </c>
      <c r="M945" s="35"/>
      <c r="N945" s="36"/>
      <c r="O945" s="6">
        <f t="shared" si="104"/>
        <v>0</v>
      </c>
      <c r="P945" s="7">
        <f t="shared" si="105"/>
        <v>0</v>
      </c>
      <c r="Q945" s="59"/>
      <c r="R945" s="2" t="str">
        <f t="shared" si="99"/>
        <v>6353|||0|0|0|0|</v>
      </c>
      <c r="S945" s="25"/>
    </row>
    <row r="946" spans="1:19" s="34" customFormat="1" ht="12.75" customHeight="1" x14ac:dyDescent="0.2">
      <c r="A946" s="72" t="s">
        <v>865</v>
      </c>
      <c r="B946" s="61" t="s">
        <v>2164</v>
      </c>
      <c r="C946" s="37"/>
      <c r="D946" s="38"/>
      <c r="E946" s="28">
        <v>0</v>
      </c>
      <c r="F946" s="29">
        <v>0</v>
      </c>
      <c r="G946" s="6">
        <f t="shared" si="100"/>
        <v>0</v>
      </c>
      <c r="H946" s="7">
        <f t="shared" si="101"/>
        <v>0</v>
      </c>
      <c r="I946" s="6">
        <f t="shared" si="102"/>
        <v>0</v>
      </c>
      <c r="J946" s="7">
        <f t="shared" si="103"/>
        <v>0</v>
      </c>
      <c r="K946" s="28">
        <v>0</v>
      </c>
      <c r="L946" s="29">
        <v>0</v>
      </c>
      <c r="M946" s="35"/>
      <c r="N946" s="36"/>
      <c r="O946" s="6">
        <f t="shared" si="104"/>
        <v>0</v>
      </c>
      <c r="P946" s="7">
        <f t="shared" si="105"/>
        <v>0</v>
      </c>
      <c r="Q946" s="59"/>
      <c r="R946" s="2" t="str">
        <f t="shared" si="99"/>
        <v>6354|||0|0|0|0|</v>
      </c>
      <c r="S946" s="25"/>
    </row>
    <row r="947" spans="1:19" s="34" customFormat="1" ht="12.75" customHeight="1" x14ac:dyDescent="0.2">
      <c r="A947" s="72" t="s">
        <v>866</v>
      </c>
      <c r="B947" s="61" t="s">
        <v>2165</v>
      </c>
      <c r="C947" s="37"/>
      <c r="D947" s="38"/>
      <c r="E947" s="28">
        <v>0</v>
      </c>
      <c r="F947" s="29">
        <v>0</v>
      </c>
      <c r="G947" s="6">
        <f t="shared" si="100"/>
        <v>0</v>
      </c>
      <c r="H947" s="7">
        <f t="shared" si="101"/>
        <v>0</v>
      </c>
      <c r="I947" s="6">
        <f t="shared" si="102"/>
        <v>0</v>
      </c>
      <c r="J947" s="7">
        <f t="shared" si="103"/>
        <v>0</v>
      </c>
      <c r="K947" s="28">
        <v>0</v>
      </c>
      <c r="L947" s="29">
        <v>0</v>
      </c>
      <c r="M947" s="35"/>
      <c r="N947" s="36"/>
      <c r="O947" s="6">
        <f t="shared" si="104"/>
        <v>0</v>
      </c>
      <c r="P947" s="7">
        <f t="shared" si="105"/>
        <v>0</v>
      </c>
      <c r="Q947" s="59"/>
      <c r="R947" s="2" t="str">
        <f t="shared" si="99"/>
        <v>6356|||0|0|0|0|</v>
      </c>
      <c r="S947" s="25"/>
    </row>
    <row r="948" spans="1:19" s="34" customFormat="1" ht="12.75" customHeight="1" x14ac:dyDescent="0.2">
      <c r="A948" s="72" t="s">
        <v>867</v>
      </c>
      <c r="B948" s="61" t="s">
        <v>2166</v>
      </c>
      <c r="C948" s="37"/>
      <c r="D948" s="38"/>
      <c r="E948" s="28">
        <v>0</v>
      </c>
      <c r="F948" s="29">
        <v>0</v>
      </c>
      <c r="G948" s="6">
        <f t="shared" si="100"/>
        <v>0</v>
      </c>
      <c r="H948" s="7">
        <f t="shared" si="101"/>
        <v>0</v>
      </c>
      <c r="I948" s="6">
        <f t="shared" si="102"/>
        <v>0</v>
      </c>
      <c r="J948" s="7">
        <f t="shared" si="103"/>
        <v>0</v>
      </c>
      <c r="K948" s="28">
        <v>0</v>
      </c>
      <c r="L948" s="29">
        <v>0</v>
      </c>
      <c r="M948" s="35"/>
      <c r="N948" s="36"/>
      <c r="O948" s="6">
        <f t="shared" si="104"/>
        <v>0</v>
      </c>
      <c r="P948" s="7">
        <f t="shared" si="105"/>
        <v>0</v>
      </c>
      <c r="Q948" s="59"/>
      <c r="R948" s="2" t="str">
        <f t="shared" si="99"/>
        <v>6361|||0|0|0|0|</v>
      </c>
      <c r="S948" s="25"/>
    </row>
    <row r="949" spans="1:19" s="34" customFormat="1" ht="12.75" customHeight="1" x14ac:dyDescent="0.2">
      <c r="A949" s="72" t="s">
        <v>868</v>
      </c>
      <c r="B949" s="61" t="s">
        <v>2167</v>
      </c>
      <c r="C949" s="37"/>
      <c r="D949" s="38"/>
      <c r="E949" s="28">
        <v>0</v>
      </c>
      <c r="F949" s="29">
        <v>0</v>
      </c>
      <c r="G949" s="6">
        <f t="shared" si="100"/>
        <v>0</v>
      </c>
      <c r="H949" s="7">
        <f t="shared" si="101"/>
        <v>0</v>
      </c>
      <c r="I949" s="6">
        <f t="shared" si="102"/>
        <v>0</v>
      </c>
      <c r="J949" s="7">
        <f t="shared" si="103"/>
        <v>0</v>
      </c>
      <c r="K949" s="28">
        <v>0</v>
      </c>
      <c r="L949" s="29">
        <v>0</v>
      </c>
      <c r="M949" s="35"/>
      <c r="N949" s="36"/>
      <c r="O949" s="6">
        <f t="shared" si="104"/>
        <v>0</v>
      </c>
      <c r="P949" s="7">
        <f t="shared" si="105"/>
        <v>0</v>
      </c>
      <c r="Q949" s="59"/>
      <c r="R949" s="2" t="str">
        <f t="shared" si="99"/>
        <v>6362|||0|0|0|0|</v>
      </c>
      <c r="S949" s="25"/>
    </row>
    <row r="950" spans="1:19" s="34" customFormat="1" ht="12.75" customHeight="1" x14ac:dyDescent="0.2">
      <c r="A950" s="72" t="s">
        <v>869</v>
      </c>
      <c r="B950" s="61" t="s">
        <v>2168</v>
      </c>
      <c r="C950" s="37"/>
      <c r="D950" s="38"/>
      <c r="E950" s="28">
        <v>0</v>
      </c>
      <c r="F950" s="29">
        <v>0</v>
      </c>
      <c r="G950" s="6">
        <f t="shared" si="100"/>
        <v>0</v>
      </c>
      <c r="H950" s="7">
        <f t="shared" si="101"/>
        <v>0</v>
      </c>
      <c r="I950" s="6">
        <f t="shared" si="102"/>
        <v>0</v>
      </c>
      <c r="J950" s="7">
        <f t="shared" si="103"/>
        <v>0</v>
      </c>
      <c r="K950" s="28">
        <v>0</v>
      </c>
      <c r="L950" s="29">
        <v>0</v>
      </c>
      <c r="M950" s="35"/>
      <c r="N950" s="36"/>
      <c r="O950" s="6">
        <f t="shared" si="104"/>
        <v>0</v>
      </c>
      <c r="P950" s="7">
        <f t="shared" si="105"/>
        <v>0</v>
      </c>
      <c r="Q950" s="59"/>
      <c r="R950" s="2" t="str">
        <f t="shared" si="99"/>
        <v>6363|||0|0|0|0|</v>
      </c>
      <c r="S950" s="25"/>
    </row>
    <row r="951" spans="1:19" s="34" customFormat="1" ht="12.75" customHeight="1" x14ac:dyDescent="0.2">
      <c r="A951" s="72" t="s">
        <v>870</v>
      </c>
      <c r="B951" s="61" t="s">
        <v>2169</v>
      </c>
      <c r="C951" s="37"/>
      <c r="D951" s="38"/>
      <c r="E951" s="28">
        <v>0</v>
      </c>
      <c r="F951" s="29">
        <v>0</v>
      </c>
      <c r="G951" s="6">
        <f t="shared" si="100"/>
        <v>0</v>
      </c>
      <c r="H951" s="7">
        <f t="shared" si="101"/>
        <v>0</v>
      </c>
      <c r="I951" s="6">
        <f t="shared" si="102"/>
        <v>0</v>
      </c>
      <c r="J951" s="7">
        <f t="shared" si="103"/>
        <v>0</v>
      </c>
      <c r="K951" s="28">
        <v>0</v>
      </c>
      <c r="L951" s="29">
        <v>0</v>
      </c>
      <c r="M951" s="35"/>
      <c r="N951" s="36"/>
      <c r="O951" s="6">
        <f t="shared" si="104"/>
        <v>0</v>
      </c>
      <c r="P951" s="7">
        <f t="shared" si="105"/>
        <v>0</v>
      </c>
      <c r="Q951" s="59"/>
      <c r="R951" s="2" t="str">
        <f t="shared" si="99"/>
        <v>6364|||0|0|0|0|</v>
      </c>
      <c r="S951" s="25"/>
    </row>
    <row r="952" spans="1:19" s="34" customFormat="1" ht="12.75" customHeight="1" x14ac:dyDescent="0.2">
      <c r="A952" s="72" t="s">
        <v>871</v>
      </c>
      <c r="B952" s="61" t="s">
        <v>2170</v>
      </c>
      <c r="C952" s="37"/>
      <c r="D952" s="38"/>
      <c r="E952" s="28">
        <v>0</v>
      </c>
      <c r="F952" s="29">
        <v>0</v>
      </c>
      <c r="G952" s="6">
        <f t="shared" si="100"/>
        <v>0</v>
      </c>
      <c r="H952" s="7">
        <f t="shared" si="101"/>
        <v>0</v>
      </c>
      <c r="I952" s="6">
        <f t="shared" si="102"/>
        <v>0</v>
      </c>
      <c r="J952" s="7">
        <f t="shared" si="103"/>
        <v>0</v>
      </c>
      <c r="K952" s="28">
        <v>0</v>
      </c>
      <c r="L952" s="29">
        <v>0</v>
      </c>
      <c r="M952" s="35"/>
      <c r="N952" s="36"/>
      <c r="O952" s="6">
        <f t="shared" si="104"/>
        <v>0</v>
      </c>
      <c r="P952" s="7">
        <f t="shared" si="105"/>
        <v>0</v>
      </c>
      <c r="Q952" s="59"/>
      <c r="R952" s="2" t="str">
        <f t="shared" si="99"/>
        <v>6365|||0|0|0|0|</v>
      </c>
      <c r="S952" s="25"/>
    </row>
    <row r="953" spans="1:19" s="34" customFormat="1" ht="12.75" customHeight="1" x14ac:dyDescent="0.2">
      <c r="A953" s="72" t="s">
        <v>872</v>
      </c>
      <c r="B953" s="61" t="s">
        <v>2171</v>
      </c>
      <c r="C953" s="37"/>
      <c r="D953" s="38"/>
      <c r="E953" s="28">
        <v>0</v>
      </c>
      <c r="F953" s="29">
        <v>0</v>
      </c>
      <c r="G953" s="6">
        <f t="shared" si="100"/>
        <v>0</v>
      </c>
      <c r="H953" s="7">
        <f t="shared" si="101"/>
        <v>0</v>
      </c>
      <c r="I953" s="6">
        <f t="shared" si="102"/>
        <v>0</v>
      </c>
      <c r="J953" s="7">
        <f t="shared" si="103"/>
        <v>0</v>
      </c>
      <c r="K953" s="28">
        <v>0</v>
      </c>
      <c r="L953" s="29">
        <v>0</v>
      </c>
      <c r="M953" s="35"/>
      <c r="N953" s="36"/>
      <c r="O953" s="6">
        <f t="shared" si="104"/>
        <v>0</v>
      </c>
      <c r="P953" s="7">
        <f t="shared" si="105"/>
        <v>0</v>
      </c>
      <c r="Q953" s="59"/>
      <c r="R953" s="2" t="str">
        <f t="shared" si="99"/>
        <v>6366|||0|0|0|0|</v>
      </c>
      <c r="S953" s="25"/>
    </row>
    <row r="954" spans="1:19" s="34" customFormat="1" ht="12.75" customHeight="1" x14ac:dyDescent="0.2">
      <c r="A954" s="72" t="s">
        <v>873</v>
      </c>
      <c r="B954" s="61" t="s">
        <v>2172</v>
      </c>
      <c r="C954" s="37"/>
      <c r="D954" s="38"/>
      <c r="E954" s="28">
        <v>0</v>
      </c>
      <c r="F954" s="29">
        <v>0</v>
      </c>
      <c r="G954" s="6">
        <f t="shared" si="100"/>
        <v>0</v>
      </c>
      <c r="H954" s="7">
        <f t="shared" si="101"/>
        <v>0</v>
      </c>
      <c r="I954" s="6">
        <f t="shared" si="102"/>
        <v>0</v>
      </c>
      <c r="J954" s="7">
        <f t="shared" si="103"/>
        <v>0</v>
      </c>
      <c r="K954" s="28">
        <v>0</v>
      </c>
      <c r="L954" s="29">
        <v>0</v>
      </c>
      <c r="M954" s="35"/>
      <c r="N954" s="36"/>
      <c r="O954" s="6">
        <f t="shared" si="104"/>
        <v>0</v>
      </c>
      <c r="P954" s="7">
        <f t="shared" si="105"/>
        <v>0</v>
      </c>
      <c r="Q954" s="59"/>
      <c r="R954" s="2" t="str">
        <f t="shared" si="99"/>
        <v>6367|||0|0|0|0|</v>
      </c>
      <c r="S954" s="25"/>
    </row>
    <row r="955" spans="1:19" s="34" customFormat="1" ht="12.75" customHeight="1" x14ac:dyDescent="0.2">
      <c r="A955" s="72" t="s">
        <v>2173</v>
      </c>
      <c r="B955" s="61" t="s">
        <v>2174</v>
      </c>
      <c r="C955" s="37"/>
      <c r="D955" s="38"/>
      <c r="E955" s="28">
        <v>0</v>
      </c>
      <c r="F955" s="29">
        <v>0</v>
      </c>
      <c r="G955" s="6">
        <f t="shared" si="100"/>
        <v>0</v>
      </c>
      <c r="H955" s="7">
        <f t="shared" si="101"/>
        <v>0</v>
      </c>
      <c r="I955" s="6">
        <f t="shared" si="102"/>
        <v>0</v>
      </c>
      <c r="J955" s="7">
        <f t="shared" si="103"/>
        <v>0</v>
      </c>
      <c r="K955" s="28">
        <v>0</v>
      </c>
      <c r="L955" s="29">
        <v>0</v>
      </c>
      <c r="M955" s="35"/>
      <c r="N955" s="36"/>
      <c r="O955" s="6">
        <f t="shared" si="104"/>
        <v>0</v>
      </c>
      <c r="P955" s="7">
        <f t="shared" si="105"/>
        <v>0</v>
      </c>
      <c r="Q955" s="59"/>
      <c r="R955" s="2" t="str">
        <f t="shared" si="99"/>
        <v>6371|||0|0|0|0|</v>
      </c>
      <c r="S955" s="25"/>
    </row>
    <row r="956" spans="1:19" s="34" customFormat="1" ht="12.75" customHeight="1" x14ac:dyDescent="0.2">
      <c r="A956" s="72" t="s">
        <v>2175</v>
      </c>
      <c r="B956" s="61" t="s">
        <v>2176</v>
      </c>
      <c r="C956" s="37"/>
      <c r="D956" s="38"/>
      <c r="E956" s="28">
        <v>0</v>
      </c>
      <c r="F956" s="29">
        <v>0</v>
      </c>
      <c r="G956" s="6">
        <f t="shared" si="100"/>
        <v>0</v>
      </c>
      <c r="H956" s="7">
        <f t="shared" si="101"/>
        <v>0</v>
      </c>
      <c r="I956" s="6">
        <f t="shared" si="102"/>
        <v>0</v>
      </c>
      <c r="J956" s="7">
        <f t="shared" si="103"/>
        <v>0</v>
      </c>
      <c r="K956" s="28">
        <v>0</v>
      </c>
      <c r="L956" s="29">
        <v>0</v>
      </c>
      <c r="M956" s="35"/>
      <c r="N956" s="36"/>
      <c r="O956" s="6">
        <f t="shared" si="104"/>
        <v>0</v>
      </c>
      <c r="P956" s="7">
        <f t="shared" si="105"/>
        <v>0</v>
      </c>
      <c r="Q956" s="59"/>
      <c r="R956" s="2" t="str">
        <f t="shared" si="99"/>
        <v>6372|||0|0|0|0|</v>
      </c>
      <c r="S956" s="25"/>
    </row>
    <row r="957" spans="1:19" s="34" customFormat="1" ht="12.75" customHeight="1" x14ac:dyDescent="0.2">
      <c r="A957" s="72" t="s">
        <v>2177</v>
      </c>
      <c r="B957" s="61" t="s">
        <v>2178</v>
      </c>
      <c r="C957" s="37"/>
      <c r="D957" s="38"/>
      <c r="E957" s="28">
        <v>0</v>
      </c>
      <c r="F957" s="29">
        <v>0</v>
      </c>
      <c r="G957" s="6">
        <f t="shared" si="100"/>
        <v>0</v>
      </c>
      <c r="H957" s="7">
        <f t="shared" si="101"/>
        <v>0</v>
      </c>
      <c r="I957" s="6">
        <f t="shared" si="102"/>
        <v>0</v>
      </c>
      <c r="J957" s="7">
        <f t="shared" si="103"/>
        <v>0</v>
      </c>
      <c r="K957" s="28">
        <v>0</v>
      </c>
      <c r="L957" s="29">
        <v>0</v>
      </c>
      <c r="M957" s="35"/>
      <c r="N957" s="36"/>
      <c r="O957" s="6">
        <f t="shared" si="104"/>
        <v>0</v>
      </c>
      <c r="P957" s="7">
        <f t="shared" si="105"/>
        <v>0</v>
      </c>
      <c r="Q957" s="59"/>
      <c r="R957" s="2" t="str">
        <f t="shared" si="99"/>
        <v>6373|||0|0|0|0|</v>
      </c>
      <c r="S957" s="25"/>
    </row>
    <row r="958" spans="1:19" s="34" customFormat="1" ht="12.75" customHeight="1" x14ac:dyDescent="0.2">
      <c r="A958" s="72" t="s">
        <v>874</v>
      </c>
      <c r="B958" s="61" t="s">
        <v>2179</v>
      </c>
      <c r="C958" s="37"/>
      <c r="D958" s="38"/>
      <c r="E958" s="28">
        <v>0</v>
      </c>
      <c r="F958" s="29">
        <v>0</v>
      </c>
      <c r="G958" s="6">
        <f t="shared" si="100"/>
        <v>0</v>
      </c>
      <c r="H958" s="7">
        <f t="shared" si="101"/>
        <v>0</v>
      </c>
      <c r="I958" s="6">
        <f t="shared" si="102"/>
        <v>0</v>
      </c>
      <c r="J958" s="7">
        <f t="shared" si="103"/>
        <v>0</v>
      </c>
      <c r="K958" s="28">
        <v>0</v>
      </c>
      <c r="L958" s="29">
        <v>0</v>
      </c>
      <c r="M958" s="35"/>
      <c r="N958" s="36"/>
      <c r="O958" s="6">
        <f t="shared" si="104"/>
        <v>0</v>
      </c>
      <c r="P958" s="7">
        <f t="shared" si="105"/>
        <v>0</v>
      </c>
      <c r="Q958" s="59"/>
      <c r="R958" s="2" t="str">
        <f t="shared" si="99"/>
        <v>638|||0|0|0|0|</v>
      </c>
      <c r="S958" s="25"/>
    </row>
    <row r="959" spans="1:19" s="34" customFormat="1" ht="12.75" customHeight="1" x14ac:dyDescent="0.2">
      <c r="A959" s="72" t="s">
        <v>875</v>
      </c>
      <c r="B959" s="61" t="s">
        <v>2180</v>
      </c>
      <c r="C959" s="37"/>
      <c r="D959" s="38"/>
      <c r="E959" s="28">
        <v>0</v>
      </c>
      <c r="F959" s="29">
        <v>0</v>
      </c>
      <c r="G959" s="6">
        <f t="shared" si="100"/>
        <v>0</v>
      </c>
      <c r="H959" s="7">
        <f t="shared" si="101"/>
        <v>0</v>
      </c>
      <c r="I959" s="6">
        <f t="shared" si="102"/>
        <v>0</v>
      </c>
      <c r="J959" s="7">
        <f t="shared" si="103"/>
        <v>0</v>
      </c>
      <c r="K959" s="28">
        <v>0</v>
      </c>
      <c r="L959" s="29">
        <v>0</v>
      </c>
      <c r="M959" s="35"/>
      <c r="N959" s="36"/>
      <c r="O959" s="6">
        <f t="shared" si="104"/>
        <v>0</v>
      </c>
      <c r="P959" s="7">
        <f t="shared" si="105"/>
        <v>0</v>
      </c>
      <c r="Q959" s="59"/>
      <c r="R959" s="2" t="str">
        <f t="shared" si="99"/>
        <v>6391|||0|0|0|0|</v>
      </c>
      <c r="S959" s="25"/>
    </row>
    <row r="960" spans="1:19" s="34" customFormat="1" ht="12.75" customHeight="1" x14ac:dyDescent="0.2">
      <c r="A960" s="72" t="s">
        <v>876</v>
      </c>
      <c r="B960" s="61" t="s">
        <v>2181</v>
      </c>
      <c r="C960" s="37"/>
      <c r="D960" s="38"/>
      <c r="E960" s="28">
        <v>0</v>
      </c>
      <c r="F960" s="29">
        <v>0</v>
      </c>
      <c r="G960" s="6">
        <f t="shared" si="100"/>
        <v>0</v>
      </c>
      <c r="H960" s="7">
        <f t="shared" si="101"/>
        <v>0</v>
      </c>
      <c r="I960" s="6">
        <f t="shared" si="102"/>
        <v>0</v>
      </c>
      <c r="J960" s="7">
        <f t="shared" si="103"/>
        <v>0</v>
      </c>
      <c r="K960" s="28">
        <v>0</v>
      </c>
      <c r="L960" s="29">
        <v>0</v>
      </c>
      <c r="M960" s="35"/>
      <c r="N960" s="36"/>
      <c r="O960" s="6">
        <f t="shared" si="104"/>
        <v>0</v>
      </c>
      <c r="P960" s="7">
        <f t="shared" si="105"/>
        <v>0</v>
      </c>
      <c r="Q960" s="59"/>
      <c r="R960" s="2" t="str">
        <f t="shared" si="99"/>
        <v>6392|||0|0|0|0|</v>
      </c>
      <c r="S960" s="25"/>
    </row>
    <row r="961" spans="1:19" s="34" customFormat="1" ht="12.75" customHeight="1" x14ac:dyDescent="0.2">
      <c r="A961" s="72" t="s">
        <v>2182</v>
      </c>
      <c r="B961" s="61" t="s">
        <v>2183</v>
      </c>
      <c r="C961" s="37"/>
      <c r="D961" s="38"/>
      <c r="E961" s="28">
        <v>0</v>
      </c>
      <c r="F961" s="29">
        <v>0</v>
      </c>
      <c r="G961" s="6">
        <f t="shared" si="100"/>
        <v>0</v>
      </c>
      <c r="H961" s="7">
        <f t="shared" si="101"/>
        <v>0</v>
      </c>
      <c r="I961" s="6">
        <f t="shared" si="102"/>
        <v>0</v>
      </c>
      <c r="J961" s="7">
        <f t="shared" si="103"/>
        <v>0</v>
      </c>
      <c r="K961" s="28">
        <v>0</v>
      </c>
      <c r="L961" s="29">
        <v>0</v>
      </c>
      <c r="M961" s="35"/>
      <c r="N961" s="36"/>
      <c r="O961" s="6">
        <f t="shared" si="104"/>
        <v>0</v>
      </c>
      <c r="P961" s="7">
        <f t="shared" si="105"/>
        <v>0</v>
      </c>
      <c r="Q961" s="59"/>
      <c r="R961" s="2" t="str">
        <f t="shared" si="99"/>
        <v>6411|||0|0|0|0|</v>
      </c>
      <c r="S961" s="25"/>
    </row>
    <row r="962" spans="1:19" s="34" customFormat="1" ht="12.75" customHeight="1" x14ac:dyDescent="0.2">
      <c r="A962" s="72" t="s">
        <v>2184</v>
      </c>
      <c r="B962" s="61" t="s">
        <v>2185</v>
      </c>
      <c r="C962" s="37"/>
      <c r="D962" s="38"/>
      <c r="E962" s="28">
        <v>0</v>
      </c>
      <c r="F962" s="29">
        <v>0</v>
      </c>
      <c r="G962" s="6">
        <f t="shared" si="100"/>
        <v>0</v>
      </c>
      <c r="H962" s="7">
        <f t="shared" si="101"/>
        <v>0</v>
      </c>
      <c r="I962" s="6">
        <f t="shared" si="102"/>
        <v>0</v>
      </c>
      <c r="J962" s="7">
        <f t="shared" si="103"/>
        <v>0</v>
      </c>
      <c r="K962" s="28">
        <v>0</v>
      </c>
      <c r="L962" s="29">
        <v>0</v>
      </c>
      <c r="M962" s="35"/>
      <c r="N962" s="36"/>
      <c r="O962" s="6">
        <f t="shared" si="104"/>
        <v>0</v>
      </c>
      <c r="P962" s="7">
        <f t="shared" si="105"/>
        <v>0</v>
      </c>
      <c r="Q962" s="59"/>
      <c r="R962" s="2" t="str">
        <f t="shared" si="99"/>
        <v>6412|||0|0|0|0|</v>
      </c>
      <c r="S962" s="25"/>
    </row>
    <row r="963" spans="1:19" s="34" customFormat="1" ht="12.75" customHeight="1" x14ac:dyDescent="0.2">
      <c r="A963" s="72" t="s">
        <v>2186</v>
      </c>
      <c r="B963" s="61" t="s">
        <v>2187</v>
      </c>
      <c r="C963" s="37"/>
      <c r="D963" s="38"/>
      <c r="E963" s="28">
        <v>0</v>
      </c>
      <c r="F963" s="29">
        <v>0</v>
      </c>
      <c r="G963" s="6">
        <f t="shared" si="100"/>
        <v>0</v>
      </c>
      <c r="H963" s="7">
        <f t="shared" si="101"/>
        <v>0</v>
      </c>
      <c r="I963" s="6">
        <f t="shared" si="102"/>
        <v>0</v>
      </c>
      <c r="J963" s="7">
        <f t="shared" si="103"/>
        <v>0</v>
      </c>
      <c r="K963" s="28">
        <v>0</v>
      </c>
      <c r="L963" s="29">
        <v>0</v>
      </c>
      <c r="M963" s="35"/>
      <c r="N963" s="36"/>
      <c r="O963" s="6">
        <f t="shared" si="104"/>
        <v>0</v>
      </c>
      <c r="P963" s="7">
        <f t="shared" si="105"/>
        <v>0</v>
      </c>
      <c r="Q963" s="59"/>
      <c r="R963" s="2" t="str">
        <f t="shared" si="99"/>
        <v>6413|||0|0|0|0|</v>
      </c>
      <c r="S963" s="25"/>
    </row>
    <row r="964" spans="1:19" s="34" customFormat="1" ht="12.75" customHeight="1" x14ac:dyDescent="0.2">
      <c r="A964" s="72" t="s">
        <v>2188</v>
      </c>
      <c r="B964" s="61" t="s">
        <v>2189</v>
      </c>
      <c r="C964" s="37"/>
      <c r="D964" s="38"/>
      <c r="E964" s="28">
        <v>0</v>
      </c>
      <c r="F964" s="29">
        <v>0</v>
      </c>
      <c r="G964" s="6">
        <f t="shared" si="100"/>
        <v>0</v>
      </c>
      <c r="H964" s="7">
        <f t="shared" si="101"/>
        <v>0</v>
      </c>
      <c r="I964" s="6">
        <f t="shared" si="102"/>
        <v>0</v>
      </c>
      <c r="J964" s="7">
        <f t="shared" si="103"/>
        <v>0</v>
      </c>
      <c r="K964" s="28">
        <v>0</v>
      </c>
      <c r="L964" s="29">
        <v>0</v>
      </c>
      <c r="M964" s="35"/>
      <c r="N964" s="36"/>
      <c r="O964" s="6">
        <f t="shared" si="104"/>
        <v>0</v>
      </c>
      <c r="P964" s="7">
        <f t="shared" si="105"/>
        <v>0</v>
      </c>
      <c r="Q964" s="59"/>
      <c r="R964" s="2" t="str">
        <f t="shared" si="99"/>
        <v>6414|||0|0|0|0|</v>
      </c>
      <c r="S964" s="25"/>
    </row>
    <row r="965" spans="1:19" s="34" customFormat="1" ht="12.75" customHeight="1" x14ac:dyDescent="0.2">
      <c r="A965" s="72" t="s">
        <v>2190</v>
      </c>
      <c r="B965" s="61" t="s">
        <v>2191</v>
      </c>
      <c r="C965" s="37"/>
      <c r="D965" s="38"/>
      <c r="E965" s="28">
        <v>0</v>
      </c>
      <c r="F965" s="29">
        <v>0</v>
      </c>
      <c r="G965" s="6">
        <f t="shared" si="100"/>
        <v>0</v>
      </c>
      <c r="H965" s="7">
        <f t="shared" si="101"/>
        <v>0</v>
      </c>
      <c r="I965" s="6">
        <f t="shared" si="102"/>
        <v>0</v>
      </c>
      <c r="J965" s="7">
        <f t="shared" si="103"/>
        <v>0</v>
      </c>
      <c r="K965" s="28">
        <v>0</v>
      </c>
      <c r="L965" s="29">
        <v>0</v>
      </c>
      <c r="M965" s="35"/>
      <c r="N965" s="36"/>
      <c r="O965" s="6">
        <f t="shared" si="104"/>
        <v>0</v>
      </c>
      <c r="P965" s="7">
        <f t="shared" si="105"/>
        <v>0</v>
      </c>
      <c r="Q965" s="59"/>
      <c r="R965" s="2" t="str">
        <f t="shared" ref="R965:R996" si="106">CONCATENATE(A965,"|",C965,"|",D965,"|",E965,"|",F965,"|",K965,"|",L965,"|")</f>
        <v>6415|||0|0|0|0|</v>
      </c>
      <c r="S965" s="25"/>
    </row>
    <row r="966" spans="1:19" s="34" customFormat="1" ht="12.75" customHeight="1" x14ac:dyDescent="0.2">
      <c r="A966" s="72" t="s">
        <v>2192</v>
      </c>
      <c r="B966" s="61" t="s">
        <v>2193</v>
      </c>
      <c r="C966" s="37"/>
      <c r="D966" s="38"/>
      <c r="E966" s="28">
        <v>0</v>
      </c>
      <c r="F966" s="29">
        <v>0</v>
      </c>
      <c r="G966" s="6">
        <f t="shared" si="100"/>
        <v>0</v>
      </c>
      <c r="H966" s="7">
        <f t="shared" si="101"/>
        <v>0</v>
      </c>
      <c r="I966" s="6">
        <f t="shared" si="102"/>
        <v>0</v>
      </c>
      <c r="J966" s="7">
        <f t="shared" si="103"/>
        <v>0</v>
      </c>
      <c r="K966" s="28">
        <v>0</v>
      </c>
      <c r="L966" s="29">
        <v>0</v>
      </c>
      <c r="M966" s="35"/>
      <c r="N966" s="36"/>
      <c r="O966" s="6">
        <f t="shared" si="104"/>
        <v>0</v>
      </c>
      <c r="P966" s="7">
        <f t="shared" si="105"/>
        <v>0</v>
      </c>
      <c r="Q966" s="59"/>
      <c r="R966" s="2" t="str">
        <f t="shared" si="106"/>
        <v>6416|||0|0|0|0|</v>
      </c>
      <c r="S966" s="25"/>
    </row>
    <row r="967" spans="1:19" s="34" customFormat="1" ht="12.75" customHeight="1" x14ac:dyDescent="0.2">
      <c r="A967" s="72" t="s">
        <v>2194</v>
      </c>
      <c r="B967" s="61" t="s">
        <v>2195</v>
      </c>
      <c r="C967" s="37"/>
      <c r="D967" s="38"/>
      <c r="E967" s="28">
        <v>0</v>
      </c>
      <c r="F967" s="29">
        <v>0</v>
      </c>
      <c r="G967" s="6">
        <f t="shared" si="100"/>
        <v>0</v>
      </c>
      <c r="H967" s="7">
        <f t="shared" si="101"/>
        <v>0</v>
      </c>
      <c r="I967" s="6">
        <f t="shared" si="102"/>
        <v>0</v>
      </c>
      <c r="J967" s="7">
        <f t="shared" si="103"/>
        <v>0</v>
      </c>
      <c r="K967" s="28">
        <v>0</v>
      </c>
      <c r="L967" s="29">
        <v>0</v>
      </c>
      <c r="M967" s="35"/>
      <c r="N967" s="36"/>
      <c r="O967" s="6">
        <f t="shared" si="104"/>
        <v>0</v>
      </c>
      <c r="P967" s="7">
        <f t="shared" si="105"/>
        <v>0</v>
      </c>
      <c r="Q967" s="59"/>
      <c r="R967" s="2" t="str">
        <f t="shared" si="106"/>
        <v>6419|||0|0|0|0|</v>
      </c>
      <c r="S967" s="25"/>
    </row>
    <row r="968" spans="1:19" s="34" customFormat="1" ht="12.75" customHeight="1" x14ac:dyDescent="0.2">
      <c r="A968" s="72" t="s">
        <v>223</v>
      </c>
      <c r="B968" s="61" t="s">
        <v>2196</v>
      </c>
      <c r="C968" s="37"/>
      <c r="D968" s="38"/>
      <c r="E968" s="28">
        <v>0</v>
      </c>
      <c r="F968" s="29">
        <v>0</v>
      </c>
      <c r="G968" s="6">
        <f t="shared" si="100"/>
        <v>0</v>
      </c>
      <c r="H968" s="7">
        <f t="shared" si="101"/>
        <v>0</v>
      </c>
      <c r="I968" s="6">
        <f t="shared" si="102"/>
        <v>0</v>
      </c>
      <c r="J968" s="7">
        <f t="shared" si="103"/>
        <v>0</v>
      </c>
      <c r="K968" s="28">
        <v>0</v>
      </c>
      <c r="L968" s="29">
        <v>0</v>
      </c>
      <c r="M968" s="35"/>
      <c r="N968" s="36"/>
      <c r="O968" s="6">
        <f t="shared" si="104"/>
        <v>0</v>
      </c>
      <c r="P968" s="7">
        <f t="shared" si="105"/>
        <v>0</v>
      </c>
      <c r="Q968" s="59"/>
      <c r="R968" s="2" t="str">
        <f t="shared" si="106"/>
        <v>642|||0|0|0|0|</v>
      </c>
      <c r="S968" s="25"/>
    </row>
    <row r="969" spans="1:19" s="34" customFormat="1" ht="12.75" customHeight="1" x14ac:dyDescent="0.2">
      <c r="A969" s="72" t="s">
        <v>2197</v>
      </c>
      <c r="B969" s="61" t="s">
        <v>2198</v>
      </c>
      <c r="C969" s="37"/>
      <c r="D969" s="38"/>
      <c r="E969" s="28">
        <v>0</v>
      </c>
      <c r="F969" s="29">
        <v>0</v>
      </c>
      <c r="G969" s="6">
        <f t="shared" si="100"/>
        <v>0</v>
      </c>
      <c r="H969" s="7">
        <f t="shared" si="101"/>
        <v>0</v>
      </c>
      <c r="I969" s="6">
        <f t="shared" si="102"/>
        <v>0</v>
      </c>
      <c r="J969" s="7">
        <f t="shared" si="103"/>
        <v>0</v>
      </c>
      <c r="K969" s="28">
        <v>0</v>
      </c>
      <c r="L969" s="29">
        <v>0</v>
      </c>
      <c r="M969" s="35"/>
      <c r="N969" s="36"/>
      <c r="O969" s="6">
        <f t="shared" si="104"/>
        <v>0</v>
      </c>
      <c r="P969" s="7">
        <f t="shared" si="105"/>
        <v>0</v>
      </c>
      <c r="Q969" s="59"/>
      <c r="R969" s="2" t="str">
        <f t="shared" si="106"/>
        <v>6431|||0|0|0|0|</v>
      </c>
      <c r="S969" s="25"/>
    </row>
    <row r="970" spans="1:19" s="34" customFormat="1" ht="12.75" customHeight="1" x14ac:dyDescent="0.2">
      <c r="A970" s="72" t="s">
        <v>2199</v>
      </c>
      <c r="B970" s="61" t="s">
        <v>2200</v>
      </c>
      <c r="C970" s="37"/>
      <c r="D970" s="38"/>
      <c r="E970" s="28">
        <v>0</v>
      </c>
      <c r="F970" s="29">
        <v>0</v>
      </c>
      <c r="G970" s="6">
        <f t="shared" si="100"/>
        <v>0</v>
      </c>
      <c r="H970" s="7">
        <f t="shared" si="101"/>
        <v>0</v>
      </c>
      <c r="I970" s="6">
        <f t="shared" si="102"/>
        <v>0</v>
      </c>
      <c r="J970" s="7">
        <f t="shared" si="103"/>
        <v>0</v>
      </c>
      <c r="K970" s="28">
        <v>0</v>
      </c>
      <c r="L970" s="29">
        <v>0</v>
      </c>
      <c r="M970" s="35"/>
      <c r="N970" s="36"/>
      <c r="O970" s="6">
        <f t="shared" si="104"/>
        <v>0</v>
      </c>
      <c r="P970" s="7">
        <f t="shared" si="105"/>
        <v>0</v>
      </c>
      <c r="Q970" s="59"/>
      <c r="R970" s="2" t="str">
        <f t="shared" si="106"/>
        <v>6432|||0|0|0|0|</v>
      </c>
      <c r="S970" s="25"/>
    </row>
    <row r="971" spans="1:19" s="34" customFormat="1" ht="12.75" customHeight="1" x14ac:dyDescent="0.2">
      <c r="A971" s="72" t="s">
        <v>2201</v>
      </c>
      <c r="B971" s="61" t="s">
        <v>2202</v>
      </c>
      <c r="C971" s="37"/>
      <c r="D971" s="38"/>
      <c r="E971" s="28">
        <v>0</v>
      </c>
      <c r="F971" s="29">
        <v>0</v>
      </c>
      <c r="G971" s="6">
        <f t="shared" si="100"/>
        <v>0</v>
      </c>
      <c r="H971" s="7">
        <f t="shared" si="101"/>
        <v>0</v>
      </c>
      <c r="I971" s="6">
        <f t="shared" si="102"/>
        <v>0</v>
      </c>
      <c r="J971" s="7">
        <f t="shared" si="103"/>
        <v>0</v>
      </c>
      <c r="K971" s="28">
        <v>0</v>
      </c>
      <c r="L971" s="29">
        <v>0</v>
      </c>
      <c r="M971" s="35"/>
      <c r="N971" s="36"/>
      <c r="O971" s="6">
        <f t="shared" si="104"/>
        <v>0</v>
      </c>
      <c r="P971" s="7">
        <f t="shared" si="105"/>
        <v>0</v>
      </c>
      <c r="Q971" s="59"/>
      <c r="R971" s="2" t="str">
        <f t="shared" si="106"/>
        <v>6433|||0|0|0|0|</v>
      </c>
      <c r="S971" s="25"/>
    </row>
    <row r="972" spans="1:19" s="34" customFormat="1" ht="12.75" customHeight="1" x14ac:dyDescent="0.2">
      <c r="A972" s="72" t="s">
        <v>2203</v>
      </c>
      <c r="B972" s="61" t="s">
        <v>2204</v>
      </c>
      <c r="C972" s="37"/>
      <c r="D972" s="38"/>
      <c r="E972" s="28">
        <v>0</v>
      </c>
      <c r="F972" s="29">
        <v>0</v>
      </c>
      <c r="G972" s="6">
        <f t="shared" si="100"/>
        <v>0</v>
      </c>
      <c r="H972" s="7">
        <f t="shared" si="101"/>
        <v>0</v>
      </c>
      <c r="I972" s="6">
        <f t="shared" si="102"/>
        <v>0</v>
      </c>
      <c r="J972" s="7">
        <f t="shared" si="103"/>
        <v>0</v>
      </c>
      <c r="K972" s="28">
        <v>0</v>
      </c>
      <c r="L972" s="29">
        <v>0</v>
      </c>
      <c r="M972" s="35"/>
      <c r="N972" s="36"/>
      <c r="O972" s="6">
        <f t="shared" si="104"/>
        <v>0</v>
      </c>
      <c r="P972" s="7">
        <f t="shared" si="105"/>
        <v>0</v>
      </c>
      <c r="Q972" s="59"/>
      <c r="R972" s="2" t="str">
        <f t="shared" si="106"/>
        <v>6434|||0|0|0|0|</v>
      </c>
      <c r="S972" s="25"/>
    </row>
    <row r="973" spans="1:19" s="34" customFormat="1" ht="12.75" customHeight="1" x14ac:dyDescent="0.2">
      <c r="A973" s="72" t="s">
        <v>2205</v>
      </c>
      <c r="B973" s="61" t="s">
        <v>2206</v>
      </c>
      <c r="C973" s="37"/>
      <c r="D973" s="38"/>
      <c r="E973" s="28">
        <v>0</v>
      </c>
      <c r="F973" s="29">
        <v>0</v>
      </c>
      <c r="G973" s="6">
        <f t="shared" si="100"/>
        <v>0</v>
      </c>
      <c r="H973" s="7">
        <f t="shared" si="101"/>
        <v>0</v>
      </c>
      <c r="I973" s="6">
        <f t="shared" si="102"/>
        <v>0</v>
      </c>
      <c r="J973" s="7">
        <f t="shared" si="103"/>
        <v>0</v>
      </c>
      <c r="K973" s="28">
        <v>0</v>
      </c>
      <c r="L973" s="29">
        <v>0</v>
      </c>
      <c r="M973" s="35"/>
      <c r="N973" s="36"/>
      <c r="O973" s="6">
        <f t="shared" si="104"/>
        <v>0</v>
      </c>
      <c r="P973" s="7">
        <f t="shared" si="105"/>
        <v>0</v>
      </c>
      <c r="Q973" s="59"/>
      <c r="R973" s="2" t="str">
        <f t="shared" si="106"/>
        <v>6439|||0|0|0|0|</v>
      </c>
      <c r="S973" s="25"/>
    </row>
    <row r="974" spans="1:19" s="34" customFormat="1" ht="12.75" customHeight="1" x14ac:dyDescent="0.2">
      <c r="A974" s="72" t="s">
        <v>2207</v>
      </c>
      <c r="B974" s="61" t="s">
        <v>2208</v>
      </c>
      <c r="C974" s="37"/>
      <c r="D974" s="38"/>
      <c r="E974" s="28">
        <v>0</v>
      </c>
      <c r="F974" s="29">
        <v>0</v>
      </c>
      <c r="G974" s="6">
        <f t="shared" si="100"/>
        <v>0</v>
      </c>
      <c r="H974" s="7">
        <f t="shared" si="101"/>
        <v>0</v>
      </c>
      <c r="I974" s="6">
        <f t="shared" si="102"/>
        <v>0</v>
      </c>
      <c r="J974" s="7">
        <f t="shared" si="103"/>
        <v>0</v>
      </c>
      <c r="K974" s="28">
        <v>0</v>
      </c>
      <c r="L974" s="29">
        <v>0</v>
      </c>
      <c r="M974" s="35"/>
      <c r="N974" s="36"/>
      <c r="O974" s="6">
        <f t="shared" si="104"/>
        <v>0</v>
      </c>
      <c r="P974" s="7">
        <f t="shared" si="105"/>
        <v>0</v>
      </c>
      <c r="Q974" s="59"/>
      <c r="R974" s="2" t="str">
        <f t="shared" si="106"/>
        <v>6441|||0|0|0|0|</v>
      </c>
      <c r="S974" s="25"/>
    </row>
    <row r="975" spans="1:19" s="34" customFormat="1" ht="12.75" customHeight="1" x14ac:dyDescent="0.2">
      <c r="A975" s="72" t="s">
        <v>2209</v>
      </c>
      <c r="B975" s="61" t="s">
        <v>2210</v>
      </c>
      <c r="C975" s="37"/>
      <c r="D975" s="38"/>
      <c r="E975" s="28">
        <v>0</v>
      </c>
      <c r="F975" s="29">
        <v>0</v>
      </c>
      <c r="G975" s="6">
        <f t="shared" si="100"/>
        <v>0</v>
      </c>
      <c r="H975" s="7">
        <f t="shared" si="101"/>
        <v>0</v>
      </c>
      <c r="I975" s="6">
        <f t="shared" si="102"/>
        <v>0</v>
      </c>
      <c r="J975" s="7">
        <f t="shared" si="103"/>
        <v>0</v>
      </c>
      <c r="K975" s="28">
        <v>0</v>
      </c>
      <c r="L975" s="29">
        <v>0</v>
      </c>
      <c r="M975" s="35"/>
      <c r="N975" s="36"/>
      <c r="O975" s="6">
        <f t="shared" si="104"/>
        <v>0</v>
      </c>
      <c r="P975" s="7">
        <f t="shared" si="105"/>
        <v>0</v>
      </c>
      <c r="Q975" s="59"/>
      <c r="R975" s="2" t="str">
        <f t="shared" si="106"/>
        <v>6442|||0|0|0|0|</v>
      </c>
      <c r="S975" s="25"/>
    </row>
    <row r="976" spans="1:19" s="34" customFormat="1" ht="12.75" customHeight="1" x14ac:dyDescent="0.2">
      <c r="A976" s="72" t="s">
        <v>2211</v>
      </c>
      <c r="B976" s="61" t="s">
        <v>2212</v>
      </c>
      <c r="C976" s="37"/>
      <c r="D976" s="38"/>
      <c r="E976" s="28">
        <v>0</v>
      </c>
      <c r="F976" s="29">
        <v>0</v>
      </c>
      <c r="G976" s="6">
        <f t="shared" si="100"/>
        <v>0</v>
      </c>
      <c r="H976" s="7">
        <f t="shared" si="101"/>
        <v>0</v>
      </c>
      <c r="I976" s="6">
        <f t="shared" si="102"/>
        <v>0</v>
      </c>
      <c r="J976" s="7">
        <f t="shared" si="103"/>
        <v>0</v>
      </c>
      <c r="K976" s="28">
        <v>0</v>
      </c>
      <c r="L976" s="29">
        <v>0</v>
      </c>
      <c r="M976" s="35"/>
      <c r="N976" s="36"/>
      <c r="O976" s="6">
        <f t="shared" si="104"/>
        <v>0</v>
      </c>
      <c r="P976" s="7">
        <f t="shared" si="105"/>
        <v>0</v>
      </c>
      <c r="Q976" s="59"/>
      <c r="R976" s="2" t="str">
        <f t="shared" si="106"/>
        <v>6443|||0|0|0|0|</v>
      </c>
      <c r="S976" s="25"/>
    </row>
    <row r="977" spans="1:19" s="34" customFormat="1" ht="12.75" customHeight="1" x14ac:dyDescent="0.2">
      <c r="A977" s="72" t="s">
        <v>230</v>
      </c>
      <c r="B977" s="61" t="s">
        <v>224</v>
      </c>
      <c r="C977" s="37"/>
      <c r="D977" s="38"/>
      <c r="E977" s="28">
        <v>0</v>
      </c>
      <c r="F977" s="29">
        <v>0</v>
      </c>
      <c r="G977" s="6">
        <f t="shared" si="100"/>
        <v>0</v>
      </c>
      <c r="H977" s="7">
        <f t="shared" si="101"/>
        <v>0</v>
      </c>
      <c r="I977" s="6">
        <f t="shared" si="102"/>
        <v>0</v>
      </c>
      <c r="J977" s="7">
        <f t="shared" si="103"/>
        <v>0</v>
      </c>
      <c r="K977" s="28">
        <v>0</v>
      </c>
      <c r="L977" s="29">
        <v>0</v>
      </c>
      <c r="M977" s="35"/>
      <c r="N977" s="36"/>
      <c r="O977" s="6">
        <f t="shared" si="104"/>
        <v>0</v>
      </c>
      <c r="P977" s="7">
        <f t="shared" si="105"/>
        <v>0</v>
      </c>
      <c r="Q977" s="59"/>
      <c r="R977" s="2" t="str">
        <f t="shared" si="106"/>
        <v>651|||0|0|0|0|</v>
      </c>
      <c r="S977" s="25"/>
    </row>
    <row r="978" spans="1:19" s="34" customFormat="1" ht="12.75" customHeight="1" x14ac:dyDescent="0.2">
      <c r="A978" s="72" t="s">
        <v>231</v>
      </c>
      <c r="B978" s="61" t="s">
        <v>225</v>
      </c>
      <c r="C978" s="37"/>
      <c r="D978" s="38"/>
      <c r="E978" s="28">
        <v>0</v>
      </c>
      <c r="F978" s="29">
        <v>0</v>
      </c>
      <c r="G978" s="6">
        <f t="shared" si="100"/>
        <v>0</v>
      </c>
      <c r="H978" s="7">
        <f t="shared" si="101"/>
        <v>0</v>
      </c>
      <c r="I978" s="6">
        <f t="shared" si="102"/>
        <v>0</v>
      </c>
      <c r="J978" s="7">
        <f t="shared" si="103"/>
        <v>0</v>
      </c>
      <c r="K978" s="28">
        <v>0</v>
      </c>
      <c r="L978" s="29">
        <v>0</v>
      </c>
      <c r="M978" s="35"/>
      <c r="N978" s="36"/>
      <c r="O978" s="6">
        <f t="shared" si="104"/>
        <v>0</v>
      </c>
      <c r="P978" s="7">
        <f t="shared" si="105"/>
        <v>0</v>
      </c>
      <c r="Q978" s="59"/>
      <c r="R978" s="2" t="str">
        <f t="shared" si="106"/>
        <v>652|||0|0|0|0|</v>
      </c>
      <c r="S978" s="25"/>
    </row>
    <row r="979" spans="1:19" s="34" customFormat="1" ht="12.75" customHeight="1" x14ac:dyDescent="0.2">
      <c r="A979" s="72" t="s">
        <v>232</v>
      </c>
      <c r="B979" s="61" t="s">
        <v>2213</v>
      </c>
      <c r="C979" s="37"/>
      <c r="D979" s="38"/>
      <c r="E979" s="28">
        <v>0</v>
      </c>
      <c r="F979" s="29">
        <v>0</v>
      </c>
      <c r="G979" s="6">
        <f t="shared" si="100"/>
        <v>0</v>
      </c>
      <c r="H979" s="7">
        <f t="shared" si="101"/>
        <v>0</v>
      </c>
      <c r="I979" s="6">
        <f t="shared" si="102"/>
        <v>0</v>
      </c>
      <c r="J979" s="7">
        <f t="shared" si="103"/>
        <v>0</v>
      </c>
      <c r="K979" s="28">
        <v>0</v>
      </c>
      <c r="L979" s="29">
        <v>0</v>
      </c>
      <c r="M979" s="35"/>
      <c r="N979" s="36"/>
      <c r="O979" s="6">
        <f t="shared" si="104"/>
        <v>0</v>
      </c>
      <c r="P979" s="7">
        <f t="shared" si="105"/>
        <v>0</v>
      </c>
      <c r="Q979" s="59"/>
      <c r="R979" s="2" t="str">
        <f t="shared" si="106"/>
        <v>653|||0|0|0|0|</v>
      </c>
      <c r="S979" s="25"/>
    </row>
    <row r="980" spans="1:19" s="34" customFormat="1" ht="12.75" customHeight="1" x14ac:dyDescent="0.2">
      <c r="A980" s="72" t="s">
        <v>233</v>
      </c>
      <c r="B980" s="61" t="s">
        <v>2214</v>
      </c>
      <c r="C980" s="37"/>
      <c r="D980" s="38"/>
      <c r="E980" s="28">
        <v>0</v>
      </c>
      <c r="F980" s="29">
        <v>0</v>
      </c>
      <c r="G980" s="6">
        <f t="shared" si="100"/>
        <v>0</v>
      </c>
      <c r="H980" s="7">
        <f t="shared" si="101"/>
        <v>0</v>
      </c>
      <c r="I980" s="6">
        <f t="shared" si="102"/>
        <v>0</v>
      </c>
      <c r="J980" s="7">
        <f t="shared" si="103"/>
        <v>0</v>
      </c>
      <c r="K980" s="28">
        <v>0</v>
      </c>
      <c r="L980" s="29">
        <v>0</v>
      </c>
      <c r="M980" s="35"/>
      <c r="N980" s="36"/>
      <c r="O980" s="6">
        <f t="shared" si="104"/>
        <v>0</v>
      </c>
      <c r="P980" s="7">
        <f t="shared" si="105"/>
        <v>0</v>
      </c>
      <c r="Q980" s="59"/>
      <c r="R980" s="2" t="str">
        <f t="shared" si="106"/>
        <v>654|||0|0|0|0|</v>
      </c>
      <c r="S980" s="25"/>
    </row>
    <row r="981" spans="1:19" s="34" customFormat="1" ht="12.75" customHeight="1" x14ac:dyDescent="0.2">
      <c r="A981" s="72" t="s">
        <v>234</v>
      </c>
      <c r="B981" s="61" t="s">
        <v>2215</v>
      </c>
      <c r="C981" s="37"/>
      <c r="D981" s="38"/>
      <c r="E981" s="28">
        <v>0</v>
      </c>
      <c r="F981" s="29">
        <v>0</v>
      </c>
      <c r="G981" s="6">
        <f t="shared" si="100"/>
        <v>0</v>
      </c>
      <c r="H981" s="7">
        <f t="shared" si="101"/>
        <v>0</v>
      </c>
      <c r="I981" s="6">
        <f t="shared" si="102"/>
        <v>0</v>
      </c>
      <c r="J981" s="7">
        <f t="shared" si="103"/>
        <v>0</v>
      </c>
      <c r="K981" s="28">
        <v>0</v>
      </c>
      <c r="L981" s="29">
        <v>0</v>
      </c>
      <c r="M981" s="35"/>
      <c r="N981" s="36"/>
      <c r="O981" s="6">
        <f t="shared" si="104"/>
        <v>0</v>
      </c>
      <c r="P981" s="7">
        <f t="shared" si="105"/>
        <v>0</v>
      </c>
      <c r="Q981" s="59"/>
      <c r="R981" s="2" t="str">
        <f t="shared" si="106"/>
        <v>65511|||0|0|0|0|</v>
      </c>
      <c r="S981" s="25"/>
    </row>
    <row r="982" spans="1:19" s="34" customFormat="1" ht="12.75" customHeight="1" x14ac:dyDescent="0.2">
      <c r="A982" s="72" t="s">
        <v>235</v>
      </c>
      <c r="B982" s="61" t="s">
        <v>2216</v>
      </c>
      <c r="C982" s="37"/>
      <c r="D982" s="38"/>
      <c r="E982" s="28">
        <v>0</v>
      </c>
      <c r="F982" s="29">
        <v>0</v>
      </c>
      <c r="G982" s="6">
        <f t="shared" si="100"/>
        <v>0</v>
      </c>
      <c r="H982" s="7">
        <f t="shared" si="101"/>
        <v>0</v>
      </c>
      <c r="I982" s="6">
        <f t="shared" si="102"/>
        <v>0</v>
      </c>
      <c r="J982" s="7">
        <f t="shared" si="103"/>
        <v>0</v>
      </c>
      <c r="K982" s="28">
        <v>0</v>
      </c>
      <c r="L982" s="29">
        <v>0</v>
      </c>
      <c r="M982" s="35"/>
      <c r="N982" s="36"/>
      <c r="O982" s="6">
        <f t="shared" si="104"/>
        <v>0</v>
      </c>
      <c r="P982" s="7">
        <f t="shared" si="105"/>
        <v>0</v>
      </c>
      <c r="Q982" s="59"/>
      <c r="R982" s="2" t="str">
        <f t="shared" si="106"/>
        <v>65512|||0|0|0|0|</v>
      </c>
      <c r="S982" s="25"/>
    </row>
    <row r="983" spans="1:19" s="34" customFormat="1" ht="12.75" customHeight="1" x14ac:dyDescent="0.2">
      <c r="A983" s="72" t="s">
        <v>236</v>
      </c>
      <c r="B983" s="61" t="s">
        <v>2217</v>
      </c>
      <c r="C983" s="37"/>
      <c r="D983" s="38"/>
      <c r="E983" s="28">
        <v>0</v>
      </c>
      <c r="F983" s="29">
        <v>0</v>
      </c>
      <c r="G983" s="6">
        <f t="shared" ref="G983:G1054" si="107">+E983</f>
        <v>0</v>
      </c>
      <c r="H983" s="7">
        <f t="shared" ref="H983:H1054" si="108">+F983</f>
        <v>0</v>
      </c>
      <c r="I983" s="6">
        <f t="shared" si="102"/>
        <v>0</v>
      </c>
      <c r="J983" s="7">
        <f t="shared" si="103"/>
        <v>0</v>
      </c>
      <c r="K983" s="28">
        <v>0</v>
      </c>
      <c r="L983" s="29">
        <v>0</v>
      </c>
      <c r="M983" s="35"/>
      <c r="N983" s="36"/>
      <c r="O983" s="6">
        <f t="shared" si="104"/>
        <v>0</v>
      </c>
      <c r="P983" s="7">
        <f t="shared" si="105"/>
        <v>0</v>
      </c>
      <c r="Q983" s="59"/>
      <c r="R983" s="2" t="str">
        <f t="shared" si="106"/>
        <v>65513|||0|0|0|0|</v>
      </c>
      <c r="S983" s="25"/>
    </row>
    <row r="984" spans="1:19" s="34" customFormat="1" ht="12.75" customHeight="1" x14ac:dyDescent="0.2">
      <c r="A984" s="72" t="s">
        <v>237</v>
      </c>
      <c r="B984" s="61" t="s">
        <v>2218</v>
      </c>
      <c r="C984" s="37"/>
      <c r="D984" s="38"/>
      <c r="E984" s="28">
        <v>0</v>
      </c>
      <c r="F984" s="29">
        <v>0</v>
      </c>
      <c r="G984" s="6">
        <f t="shared" si="107"/>
        <v>0</v>
      </c>
      <c r="H984" s="7">
        <f t="shared" si="108"/>
        <v>0</v>
      </c>
      <c r="I984" s="6">
        <f t="shared" si="102"/>
        <v>0</v>
      </c>
      <c r="J984" s="7">
        <f t="shared" si="103"/>
        <v>0</v>
      </c>
      <c r="K984" s="28">
        <v>0</v>
      </c>
      <c r="L984" s="29">
        <v>0</v>
      </c>
      <c r="M984" s="35"/>
      <c r="N984" s="36"/>
      <c r="O984" s="6">
        <f t="shared" si="104"/>
        <v>0</v>
      </c>
      <c r="P984" s="7">
        <f t="shared" si="105"/>
        <v>0</v>
      </c>
      <c r="Q984" s="59"/>
      <c r="R984" s="2" t="str">
        <f t="shared" si="106"/>
        <v>65514|||0|0|0|0|</v>
      </c>
      <c r="S984" s="25"/>
    </row>
    <row r="985" spans="1:19" s="34" customFormat="1" ht="12.75" customHeight="1" x14ac:dyDescent="0.2">
      <c r="A985" s="72" t="s">
        <v>238</v>
      </c>
      <c r="B985" s="61" t="s">
        <v>2219</v>
      </c>
      <c r="C985" s="37"/>
      <c r="D985" s="38"/>
      <c r="E985" s="28">
        <v>0</v>
      </c>
      <c r="F985" s="29">
        <v>0</v>
      </c>
      <c r="G985" s="6">
        <f t="shared" si="107"/>
        <v>0</v>
      </c>
      <c r="H985" s="7">
        <f t="shared" si="108"/>
        <v>0</v>
      </c>
      <c r="I985" s="6">
        <f t="shared" si="102"/>
        <v>0</v>
      </c>
      <c r="J985" s="7">
        <f t="shared" si="103"/>
        <v>0</v>
      </c>
      <c r="K985" s="28">
        <v>0</v>
      </c>
      <c r="L985" s="29">
        <v>0</v>
      </c>
      <c r="M985" s="35"/>
      <c r="N985" s="36"/>
      <c r="O985" s="6">
        <f t="shared" si="104"/>
        <v>0</v>
      </c>
      <c r="P985" s="7">
        <f t="shared" si="105"/>
        <v>0</v>
      </c>
      <c r="Q985" s="59"/>
      <c r="R985" s="2" t="str">
        <f t="shared" si="106"/>
        <v>65515|||0|0|0|0|</v>
      </c>
      <c r="S985" s="25"/>
    </row>
    <row r="986" spans="1:19" s="34" customFormat="1" ht="12.75" customHeight="1" x14ac:dyDescent="0.2">
      <c r="A986" s="72" t="s">
        <v>2220</v>
      </c>
      <c r="B986" s="61" t="s">
        <v>2221</v>
      </c>
      <c r="C986" s="37"/>
      <c r="D986" s="38"/>
      <c r="E986" s="28">
        <v>0</v>
      </c>
      <c r="F986" s="29">
        <v>0</v>
      </c>
      <c r="G986" s="6">
        <f t="shared" si="107"/>
        <v>0</v>
      </c>
      <c r="H986" s="7">
        <f t="shared" si="108"/>
        <v>0</v>
      </c>
      <c r="I986" s="6">
        <f t="shared" si="102"/>
        <v>0</v>
      </c>
      <c r="J986" s="7">
        <f t="shared" si="103"/>
        <v>0</v>
      </c>
      <c r="K986" s="28">
        <v>0</v>
      </c>
      <c r="L986" s="29">
        <v>0</v>
      </c>
      <c r="M986" s="35"/>
      <c r="N986" s="36"/>
      <c r="O986" s="6">
        <f t="shared" si="104"/>
        <v>0</v>
      </c>
      <c r="P986" s="7">
        <f t="shared" si="105"/>
        <v>0</v>
      </c>
      <c r="Q986" s="59"/>
      <c r="R986" s="2" t="str">
        <f t="shared" si="106"/>
        <v>65521|||0|0|0|0|</v>
      </c>
      <c r="S986" s="25"/>
    </row>
    <row r="987" spans="1:19" s="34" customFormat="1" ht="12.75" customHeight="1" x14ac:dyDescent="0.2">
      <c r="A987" s="72" t="s">
        <v>2222</v>
      </c>
      <c r="B987" s="61" t="s">
        <v>2223</v>
      </c>
      <c r="C987" s="37"/>
      <c r="D987" s="38"/>
      <c r="E987" s="28">
        <v>0</v>
      </c>
      <c r="F987" s="29">
        <v>0</v>
      </c>
      <c r="G987" s="6">
        <f t="shared" si="107"/>
        <v>0</v>
      </c>
      <c r="H987" s="7">
        <f t="shared" si="108"/>
        <v>0</v>
      </c>
      <c r="I987" s="6">
        <f t="shared" si="102"/>
        <v>0</v>
      </c>
      <c r="J987" s="7">
        <f t="shared" si="103"/>
        <v>0</v>
      </c>
      <c r="K987" s="28">
        <v>0</v>
      </c>
      <c r="L987" s="29">
        <v>0</v>
      </c>
      <c r="M987" s="35"/>
      <c r="N987" s="36"/>
      <c r="O987" s="6">
        <f t="shared" si="104"/>
        <v>0</v>
      </c>
      <c r="P987" s="7">
        <f t="shared" si="105"/>
        <v>0</v>
      </c>
      <c r="Q987" s="59"/>
      <c r="R987" s="2" t="str">
        <f t="shared" si="106"/>
        <v>65522|||0|0|0|0|</v>
      </c>
      <c r="S987" s="25"/>
    </row>
    <row r="988" spans="1:19" s="34" customFormat="1" ht="12.75" customHeight="1" x14ac:dyDescent="0.2">
      <c r="A988" s="72" t="s">
        <v>2224</v>
      </c>
      <c r="B988" s="61" t="s">
        <v>2225</v>
      </c>
      <c r="C988" s="37"/>
      <c r="D988" s="38"/>
      <c r="E988" s="28">
        <v>0</v>
      </c>
      <c r="F988" s="29">
        <v>0</v>
      </c>
      <c r="G988" s="6">
        <f t="shared" si="107"/>
        <v>0</v>
      </c>
      <c r="H988" s="7">
        <f t="shared" si="108"/>
        <v>0</v>
      </c>
      <c r="I988" s="6">
        <f t="shared" si="102"/>
        <v>0</v>
      </c>
      <c r="J988" s="7">
        <f t="shared" si="103"/>
        <v>0</v>
      </c>
      <c r="K988" s="28">
        <v>0</v>
      </c>
      <c r="L988" s="29">
        <v>0</v>
      </c>
      <c r="M988" s="35"/>
      <c r="N988" s="36"/>
      <c r="O988" s="6">
        <f t="shared" si="104"/>
        <v>0</v>
      </c>
      <c r="P988" s="7">
        <f t="shared" si="105"/>
        <v>0</v>
      </c>
      <c r="Q988" s="59"/>
      <c r="R988" s="2" t="str">
        <f t="shared" si="106"/>
        <v>65523|||0|0|0|0|</v>
      </c>
      <c r="S988" s="25"/>
    </row>
    <row r="989" spans="1:19" s="34" customFormat="1" ht="12.75" customHeight="1" x14ac:dyDescent="0.2">
      <c r="A989" s="72" t="s">
        <v>2226</v>
      </c>
      <c r="B989" s="61" t="s">
        <v>2227</v>
      </c>
      <c r="C989" s="37"/>
      <c r="D989" s="38"/>
      <c r="E989" s="28">
        <v>0</v>
      </c>
      <c r="F989" s="29">
        <v>0</v>
      </c>
      <c r="G989" s="6">
        <f t="shared" si="107"/>
        <v>0</v>
      </c>
      <c r="H989" s="7">
        <f t="shared" si="108"/>
        <v>0</v>
      </c>
      <c r="I989" s="6">
        <f t="shared" si="102"/>
        <v>0</v>
      </c>
      <c r="J989" s="7">
        <f t="shared" si="103"/>
        <v>0</v>
      </c>
      <c r="K989" s="28">
        <v>0</v>
      </c>
      <c r="L989" s="29">
        <v>0</v>
      </c>
      <c r="M989" s="35"/>
      <c r="N989" s="36"/>
      <c r="O989" s="6">
        <f t="shared" si="104"/>
        <v>0</v>
      </c>
      <c r="P989" s="7">
        <f t="shared" si="105"/>
        <v>0</v>
      </c>
      <c r="Q989" s="59"/>
      <c r="R989" s="2" t="str">
        <f t="shared" si="106"/>
        <v>65524|||0|0|0|0|</v>
      </c>
      <c r="S989" s="25"/>
    </row>
    <row r="990" spans="1:19" s="34" customFormat="1" ht="12.75" customHeight="1" x14ac:dyDescent="0.2">
      <c r="A990" s="72" t="s">
        <v>2228</v>
      </c>
      <c r="B990" s="61" t="s">
        <v>2229</v>
      </c>
      <c r="C990" s="37"/>
      <c r="D990" s="38"/>
      <c r="E990" s="28">
        <v>0</v>
      </c>
      <c r="F990" s="29">
        <v>0</v>
      </c>
      <c r="G990" s="6">
        <f t="shared" si="107"/>
        <v>0</v>
      </c>
      <c r="H990" s="7">
        <f t="shared" si="108"/>
        <v>0</v>
      </c>
      <c r="I990" s="6">
        <f t="shared" si="102"/>
        <v>0</v>
      </c>
      <c r="J990" s="7">
        <f t="shared" si="103"/>
        <v>0</v>
      </c>
      <c r="K990" s="28">
        <v>0</v>
      </c>
      <c r="L990" s="29">
        <v>0</v>
      </c>
      <c r="M990" s="35"/>
      <c r="N990" s="36"/>
      <c r="O990" s="6">
        <f t="shared" si="104"/>
        <v>0</v>
      </c>
      <c r="P990" s="7">
        <f t="shared" si="105"/>
        <v>0</v>
      </c>
      <c r="Q990" s="59"/>
      <c r="R990" s="2" t="str">
        <f t="shared" si="106"/>
        <v>65525|||0|0|0|0|</v>
      </c>
      <c r="S990" s="25"/>
    </row>
    <row r="991" spans="1:19" s="34" customFormat="1" ht="12.75" customHeight="1" x14ac:dyDescent="0.2">
      <c r="A991" s="72" t="s">
        <v>239</v>
      </c>
      <c r="B991" s="61" t="s">
        <v>2230</v>
      </c>
      <c r="C991" s="37"/>
      <c r="D991" s="38"/>
      <c r="E991" s="28">
        <v>0</v>
      </c>
      <c r="F991" s="29">
        <v>0</v>
      </c>
      <c r="G991" s="6">
        <f t="shared" si="107"/>
        <v>0</v>
      </c>
      <c r="H991" s="7">
        <f t="shared" si="108"/>
        <v>0</v>
      </c>
      <c r="I991" s="6">
        <f t="shared" si="102"/>
        <v>0</v>
      </c>
      <c r="J991" s="7">
        <f t="shared" si="103"/>
        <v>0</v>
      </c>
      <c r="K991" s="28">
        <v>0</v>
      </c>
      <c r="L991" s="29">
        <v>0</v>
      </c>
      <c r="M991" s="35"/>
      <c r="N991" s="36"/>
      <c r="O991" s="6">
        <f t="shared" si="104"/>
        <v>0</v>
      </c>
      <c r="P991" s="7">
        <f t="shared" si="105"/>
        <v>0</v>
      </c>
      <c r="Q991" s="59"/>
      <c r="R991" s="2" t="str">
        <f t="shared" si="106"/>
        <v>656|||0|0|0|0|</v>
      </c>
      <c r="S991" s="25"/>
    </row>
    <row r="992" spans="1:19" s="34" customFormat="1" ht="12.75" customHeight="1" x14ac:dyDescent="0.2">
      <c r="A992" s="72" t="s">
        <v>240</v>
      </c>
      <c r="B992" s="61" t="s">
        <v>2231</v>
      </c>
      <c r="C992" s="37"/>
      <c r="D992" s="38"/>
      <c r="E992" s="28">
        <v>0</v>
      </c>
      <c r="F992" s="29">
        <v>0</v>
      </c>
      <c r="G992" s="6">
        <f t="shared" si="107"/>
        <v>0</v>
      </c>
      <c r="H992" s="7">
        <f t="shared" si="108"/>
        <v>0</v>
      </c>
      <c r="I992" s="6">
        <f t="shared" si="102"/>
        <v>0</v>
      </c>
      <c r="J992" s="7">
        <f t="shared" si="103"/>
        <v>0</v>
      </c>
      <c r="K992" s="28">
        <v>0</v>
      </c>
      <c r="L992" s="29">
        <v>0</v>
      </c>
      <c r="M992" s="35"/>
      <c r="N992" s="36"/>
      <c r="O992" s="6">
        <f t="shared" si="104"/>
        <v>0</v>
      </c>
      <c r="P992" s="7">
        <f t="shared" si="105"/>
        <v>0</v>
      </c>
      <c r="Q992" s="59"/>
      <c r="R992" s="2" t="str">
        <f t="shared" si="106"/>
        <v>658|||0|0|0|0|</v>
      </c>
      <c r="S992" s="25"/>
    </row>
    <row r="993" spans="1:19" s="34" customFormat="1" ht="12.75" customHeight="1" x14ac:dyDescent="0.2">
      <c r="A993" s="72" t="s">
        <v>241</v>
      </c>
      <c r="B993" s="61" t="s">
        <v>2232</v>
      </c>
      <c r="C993" s="37"/>
      <c r="D993" s="38"/>
      <c r="E993" s="28">
        <v>0</v>
      </c>
      <c r="F993" s="29">
        <v>0</v>
      </c>
      <c r="G993" s="6">
        <f t="shared" si="107"/>
        <v>0</v>
      </c>
      <c r="H993" s="7">
        <f t="shared" si="108"/>
        <v>0</v>
      </c>
      <c r="I993" s="6">
        <f t="shared" si="102"/>
        <v>0</v>
      </c>
      <c r="J993" s="7">
        <f t="shared" si="103"/>
        <v>0</v>
      </c>
      <c r="K993" s="28">
        <v>0</v>
      </c>
      <c r="L993" s="29">
        <v>0</v>
      </c>
      <c r="M993" s="35"/>
      <c r="N993" s="36"/>
      <c r="O993" s="6">
        <f t="shared" si="104"/>
        <v>0</v>
      </c>
      <c r="P993" s="7">
        <f t="shared" si="105"/>
        <v>0</v>
      </c>
      <c r="Q993" s="59"/>
      <c r="R993" s="2" t="str">
        <f t="shared" si="106"/>
        <v>6591|||0|0|0|0|</v>
      </c>
      <c r="S993" s="25"/>
    </row>
    <row r="994" spans="1:19" s="34" customFormat="1" ht="12.75" customHeight="1" x14ac:dyDescent="0.2">
      <c r="A994" s="75" t="s">
        <v>2573</v>
      </c>
      <c r="B994" s="61" t="s">
        <v>2562</v>
      </c>
      <c r="C994" s="37"/>
      <c r="D994" s="38"/>
      <c r="E994" s="28">
        <v>0</v>
      </c>
      <c r="F994" s="29">
        <v>0</v>
      </c>
      <c r="G994" s="6">
        <f t="shared" ref="G994:G996" si="109">+E994</f>
        <v>0</v>
      </c>
      <c r="H994" s="7">
        <f t="shared" si="108"/>
        <v>0</v>
      </c>
      <c r="I994" s="6">
        <f t="shared" si="102"/>
        <v>0</v>
      </c>
      <c r="J994" s="7">
        <f t="shared" si="103"/>
        <v>0</v>
      </c>
      <c r="K994" s="28">
        <v>0</v>
      </c>
      <c r="L994" s="29">
        <v>0</v>
      </c>
      <c r="M994" s="35"/>
      <c r="N994" s="36"/>
      <c r="O994" s="6">
        <f t="shared" si="104"/>
        <v>0</v>
      </c>
      <c r="P994" s="7">
        <f t="shared" si="105"/>
        <v>0</v>
      </c>
      <c r="Q994" s="59"/>
      <c r="R994" s="2" t="str">
        <f t="shared" si="106"/>
        <v>65921|||0|0|0|0|</v>
      </c>
      <c r="S994" s="25"/>
    </row>
    <row r="995" spans="1:19" s="34" customFormat="1" ht="12.75" customHeight="1" x14ac:dyDescent="0.2">
      <c r="A995" s="75" t="s">
        <v>2574</v>
      </c>
      <c r="B995" s="61" t="s">
        <v>2563</v>
      </c>
      <c r="C995" s="37"/>
      <c r="D995" s="38"/>
      <c r="E995" s="28">
        <v>0</v>
      </c>
      <c r="F995" s="29">
        <v>0</v>
      </c>
      <c r="G995" s="6">
        <f t="shared" si="109"/>
        <v>0</v>
      </c>
      <c r="H995" s="7">
        <f t="shared" ref="H995:H996" si="110">+F995</f>
        <v>0</v>
      </c>
      <c r="I995" s="6">
        <f t="shared" si="102"/>
        <v>0</v>
      </c>
      <c r="J995" s="7">
        <f t="shared" si="103"/>
        <v>0</v>
      </c>
      <c r="K995" s="28">
        <v>0</v>
      </c>
      <c r="L995" s="29">
        <v>0</v>
      </c>
      <c r="M995" s="35"/>
      <c r="N995" s="36"/>
      <c r="O995" s="6">
        <f t="shared" si="104"/>
        <v>0</v>
      </c>
      <c r="P995" s="7">
        <f t="shared" si="105"/>
        <v>0</v>
      </c>
      <c r="Q995" s="59"/>
      <c r="R995" s="2" t="str">
        <f t="shared" si="106"/>
        <v>65922|||0|0|0|0|</v>
      </c>
      <c r="S995" s="25"/>
    </row>
    <row r="996" spans="1:19" s="34" customFormat="1" ht="12.75" customHeight="1" x14ac:dyDescent="0.2">
      <c r="A996" s="75" t="s">
        <v>2575</v>
      </c>
      <c r="B996" s="61" t="s">
        <v>2564</v>
      </c>
      <c r="C996" s="37"/>
      <c r="D996" s="38"/>
      <c r="E996" s="28">
        <v>0</v>
      </c>
      <c r="F996" s="29">
        <v>0</v>
      </c>
      <c r="G996" s="6">
        <f t="shared" si="109"/>
        <v>0</v>
      </c>
      <c r="H996" s="7">
        <f t="shared" si="110"/>
        <v>0</v>
      </c>
      <c r="I996" s="6">
        <f t="shared" si="102"/>
        <v>0</v>
      </c>
      <c r="J996" s="7">
        <f t="shared" si="103"/>
        <v>0</v>
      </c>
      <c r="K996" s="28">
        <v>0</v>
      </c>
      <c r="L996" s="29">
        <v>0</v>
      </c>
      <c r="M996" s="35"/>
      <c r="N996" s="36"/>
      <c r="O996" s="6">
        <f t="shared" si="104"/>
        <v>0</v>
      </c>
      <c r="P996" s="7">
        <f t="shared" si="105"/>
        <v>0</v>
      </c>
      <c r="Q996" s="59"/>
      <c r="R996" s="2" t="str">
        <f t="shared" si="106"/>
        <v>65929|||0|0|0|0|</v>
      </c>
      <c r="S996" s="25"/>
    </row>
    <row r="997" spans="1:19" s="34" customFormat="1" ht="12.75" customHeight="1" x14ac:dyDescent="0.2">
      <c r="A997" s="72" t="s">
        <v>242</v>
      </c>
      <c r="B997" s="61" t="s">
        <v>243</v>
      </c>
      <c r="C997" s="37"/>
      <c r="D997" s="38"/>
      <c r="E997" s="28">
        <v>0</v>
      </c>
      <c r="F997" s="29">
        <v>0</v>
      </c>
      <c r="G997" s="6">
        <f t="shared" si="107"/>
        <v>0</v>
      </c>
      <c r="H997" s="7">
        <f t="shared" si="108"/>
        <v>0</v>
      </c>
      <c r="I997" s="6">
        <f t="shared" si="102"/>
        <v>0</v>
      </c>
      <c r="J997" s="7">
        <f t="shared" si="103"/>
        <v>0</v>
      </c>
      <c r="K997" s="28">
        <v>0</v>
      </c>
      <c r="L997" s="29">
        <v>0</v>
      </c>
      <c r="M997" s="35"/>
      <c r="N997" s="36"/>
      <c r="O997" s="6">
        <f t="shared" si="104"/>
        <v>0</v>
      </c>
      <c r="P997" s="7">
        <f t="shared" si="105"/>
        <v>0</v>
      </c>
      <c r="Q997" s="59"/>
      <c r="R997" s="2" t="str">
        <f t="shared" ref="R997:R1060" si="111">CONCATENATE(A997,"|",C997,"|",D997,"|",E997,"|",F997,"|",K997,"|",L997,"|")</f>
        <v>6598|||0|0|0|0|</v>
      </c>
      <c r="S997" s="25"/>
    </row>
    <row r="998" spans="1:19" s="34" customFormat="1" ht="12.75" customHeight="1" x14ac:dyDescent="0.2">
      <c r="A998" s="75" t="s">
        <v>2576</v>
      </c>
      <c r="B998" s="61" t="s">
        <v>2565</v>
      </c>
      <c r="C998" s="37"/>
      <c r="D998" s="38"/>
      <c r="E998" s="28">
        <v>0</v>
      </c>
      <c r="F998" s="29">
        <v>0</v>
      </c>
      <c r="G998" s="6">
        <f t="shared" ref="G998" si="112">+E998</f>
        <v>0</v>
      </c>
      <c r="H998" s="7">
        <f t="shared" ref="H998" si="113">+F998</f>
        <v>0</v>
      </c>
      <c r="I998" s="6">
        <f t="shared" si="102"/>
        <v>0</v>
      </c>
      <c r="J998" s="7">
        <f t="shared" si="103"/>
        <v>0</v>
      </c>
      <c r="K998" s="28">
        <v>0</v>
      </c>
      <c r="L998" s="29">
        <v>0</v>
      </c>
      <c r="M998" s="35"/>
      <c r="N998" s="36"/>
      <c r="O998" s="6">
        <f t="shared" si="104"/>
        <v>0</v>
      </c>
      <c r="P998" s="7">
        <f t="shared" si="105"/>
        <v>0</v>
      </c>
      <c r="Q998" s="59"/>
      <c r="R998" s="2" t="str">
        <f t="shared" si="111"/>
        <v>6599|||0|0|0|0|</v>
      </c>
      <c r="S998" s="25"/>
    </row>
    <row r="999" spans="1:19" s="34" customFormat="1" ht="12.75" customHeight="1" x14ac:dyDescent="0.2">
      <c r="A999" s="72" t="s">
        <v>244</v>
      </c>
      <c r="B999" s="61" t="s">
        <v>2233</v>
      </c>
      <c r="C999" s="37"/>
      <c r="D999" s="38"/>
      <c r="E999" s="28">
        <v>0</v>
      </c>
      <c r="F999" s="29">
        <v>0</v>
      </c>
      <c r="G999" s="6">
        <f t="shared" si="107"/>
        <v>0</v>
      </c>
      <c r="H999" s="7">
        <f t="shared" si="108"/>
        <v>0</v>
      </c>
      <c r="I999" s="6">
        <f t="shared" si="102"/>
        <v>0</v>
      </c>
      <c r="J999" s="7">
        <f t="shared" si="103"/>
        <v>0</v>
      </c>
      <c r="K999" s="28">
        <v>0</v>
      </c>
      <c r="L999" s="29">
        <v>0</v>
      </c>
      <c r="M999" s="35"/>
      <c r="N999" s="36"/>
      <c r="O999" s="6">
        <f t="shared" si="104"/>
        <v>0</v>
      </c>
      <c r="P999" s="7">
        <f t="shared" si="105"/>
        <v>0</v>
      </c>
      <c r="Q999" s="59"/>
      <c r="R999" s="2" t="str">
        <f t="shared" si="111"/>
        <v>6611|||0|0|0|0|</v>
      </c>
      <c r="S999" s="25"/>
    </row>
    <row r="1000" spans="1:19" s="34" customFormat="1" ht="12.75" customHeight="1" x14ac:dyDescent="0.2">
      <c r="A1000" s="72" t="s">
        <v>245</v>
      </c>
      <c r="B1000" s="61" t="s">
        <v>2234</v>
      </c>
      <c r="C1000" s="37"/>
      <c r="D1000" s="38"/>
      <c r="E1000" s="28">
        <v>0</v>
      </c>
      <c r="F1000" s="29">
        <v>0</v>
      </c>
      <c r="G1000" s="6">
        <f t="shared" si="107"/>
        <v>0</v>
      </c>
      <c r="H1000" s="7">
        <f t="shared" si="108"/>
        <v>0</v>
      </c>
      <c r="I1000" s="6">
        <f t="shared" si="102"/>
        <v>0</v>
      </c>
      <c r="J1000" s="7">
        <f t="shared" si="103"/>
        <v>0</v>
      </c>
      <c r="K1000" s="28">
        <v>0</v>
      </c>
      <c r="L1000" s="29">
        <v>0</v>
      </c>
      <c r="M1000" s="35"/>
      <c r="N1000" s="36"/>
      <c r="O1000" s="6">
        <f t="shared" si="104"/>
        <v>0</v>
      </c>
      <c r="P1000" s="7">
        <f t="shared" si="105"/>
        <v>0</v>
      </c>
      <c r="Q1000" s="59"/>
      <c r="R1000" s="2" t="str">
        <f t="shared" si="111"/>
        <v>6612|||0|0|0|0|</v>
      </c>
      <c r="S1000" s="25"/>
    </row>
    <row r="1001" spans="1:19" s="34" customFormat="1" ht="12.75" customHeight="1" x14ac:dyDescent="0.2">
      <c r="A1001" s="72" t="s">
        <v>2235</v>
      </c>
      <c r="B1001" s="61" t="s">
        <v>2236</v>
      </c>
      <c r="C1001" s="37"/>
      <c r="D1001" s="38"/>
      <c r="E1001" s="28">
        <v>0</v>
      </c>
      <c r="F1001" s="29">
        <v>0</v>
      </c>
      <c r="G1001" s="6">
        <f t="shared" si="107"/>
        <v>0</v>
      </c>
      <c r="H1001" s="7">
        <f t="shared" si="108"/>
        <v>0</v>
      </c>
      <c r="I1001" s="6">
        <f t="shared" si="102"/>
        <v>0</v>
      </c>
      <c r="J1001" s="7">
        <f t="shared" si="103"/>
        <v>0</v>
      </c>
      <c r="K1001" s="28">
        <v>0</v>
      </c>
      <c r="L1001" s="29">
        <v>0</v>
      </c>
      <c r="M1001" s="35"/>
      <c r="N1001" s="36"/>
      <c r="O1001" s="6">
        <f t="shared" si="104"/>
        <v>0</v>
      </c>
      <c r="P1001" s="7">
        <f t="shared" si="105"/>
        <v>0</v>
      </c>
      <c r="Q1001" s="59"/>
      <c r="R1001" s="2" t="str">
        <f t="shared" si="111"/>
        <v>66131|||0|0|0|0|</v>
      </c>
      <c r="S1001" s="25"/>
    </row>
    <row r="1002" spans="1:19" s="34" customFormat="1" ht="12.75" customHeight="1" x14ac:dyDescent="0.2">
      <c r="A1002" s="72" t="s">
        <v>2237</v>
      </c>
      <c r="B1002" s="61" t="s">
        <v>2238</v>
      </c>
      <c r="C1002" s="37"/>
      <c r="D1002" s="38"/>
      <c r="E1002" s="28">
        <v>0</v>
      </c>
      <c r="F1002" s="29">
        <v>0</v>
      </c>
      <c r="G1002" s="6">
        <f t="shared" si="107"/>
        <v>0</v>
      </c>
      <c r="H1002" s="7">
        <f t="shared" si="108"/>
        <v>0</v>
      </c>
      <c r="I1002" s="6">
        <f t="shared" si="102"/>
        <v>0</v>
      </c>
      <c r="J1002" s="7">
        <f t="shared" si="103"/>
        <v>0</v>
      </c>
      <c r="K1002" s="28">
        <v>0</v>
      </c>
      <c r="L1002" s="29">
        <v>0</v>
      </c>
      <c r="M1002" s="35"/>
      <c r="N1002" s="36"/>
      <c r="O1002" s="6">
        <f t="shared" si="104"/>
        <v>0</v>
      </c>
      <c r="P1002" s="7">
        <f t="shared" si="105"/>
        <v>0</v>
      </c>
      <c r="Q1002" s="59"/>
      <c r="R1002" s="2" t="str">
        <f t="shared" si="111"/>
        <v>66132|||0|0|0|0|</v>
      </c>
      <c r="S1002" s="25"/>
    </row>
    <row r="1003" spans="1:19" s="34" customFormat="1" ht="12.75" customHeight="1" x14ac:dyDescent="0.2">
      <c r="A1003" s="72" t="s">
        <v>2239</v>
      </c>
      <c r="B1003" s="61" t="s">
        <v>2240</v>
      </c>
      <c r="C1003" s="37"/>
      <c r="D1003" s="38"/>
      <c r="E1003" s="28">
        <v>0</v>
      </c>
      <c r="F1003" s="29">
        <v>0</v>
      </c>
      <c r="G1003" s="6">
        <f t="shared" si="107"/>
        <v>0</v>
      </c>
      <c r="H1003" s="7">
        <f t="shared" si="108"/>
        <v>0</v>
      </c>
      <c r="I1003" s="6">
        <f t="shared" si="102"/>
        <v>0</v>
      </c>
      <c r="J1003" s="7">
        <f t="shared" si="103"/>
        <v>0</v>
      </c>
      <c r="K1003" s="28">
        <v>0</v>
      </c>
      <c r="L1003" s="29">
        <v>0</v>
      </c>
      <c r="M1003" s="35"/>
      <c r="N1003" s="36"/>
      <c r="O1003" s="6">
        <f t="shared" si="104"/>
        <v>0</v>
      </c>
      <c r="P1003" s="7">
        <f t="shared" si="105"/>
        <v>0</v>
      </c>
      <c r="Q1003" s="59"/>
      <c r="R1003" s="2" t="str">
        <f t="shared" si="111"/>
        <v>66133|||0|0|0|0|</v>
      </c>
      <c r="S1003" s="25"/>
    </row>
    <row r="1004" spans="1:19" s="34" customFormat="1" ht="12.75" customHeight="1" x14ac:dyDescent="0.2">
      <c r="A1004" s="72" t="s">
        <v>2241</v>
      </c>
      <c r="B1004" s="61" t="s">
        <v>2242</v>
      </c>
      <c r="C1004" s="37"/>
      <c r="D1004" s="38"/>
      <c r="E1004" s="28">
        <v>0</v>
      </c>
      <c r="F1004" s="29">
        <v>0</v>
      </c>
      <c r="G1004" s="6">
        <f t="shared" si="107"/>
        <v>0</v>
      </c>
      <c r="H1004" s="7">
        <f t="shared" si="108"/>
        <v>0</v>
      </c>
      <c r="I1004" s="6">
        <f t="shared" ref="I1004:I1072" si="114">IF($E1004-$F1004&gt;=0,$E1004-$F1004,0)</f>
        <v>0</v>
      </c>
      <c r="J1004" s="7">
        <f t="shared" ref="J1004:J1072" si="115">IF($E1004-$F1004&lt;0,-$E1004+$F1004,0)</f>
        <v>0</v>
      </c>
      <c r="K1004" s="28">
        <v>0</v>
      </c>
      <c r="L1004" s="29">
        <v>0</v>
      </c>
      <c r="M1004" s="35"/>
      <c r="N1004" s="36"/>
      <c r="O1004" s="6">
        <f t="shared" ref="O1004:O1072" si="116">IF($I1004-$J1004+$K1004-$L1004&gt;=0,$I1004-$J1004+$K1004-$L1004,0)</f>
        <v>0</v>
      </c>
      <c r="P1004" s="7">
        <f t="shared" ref="P1004:P1072" si="117">IF($I1004-$J1004+$K1004-$L1004&lt;0,-($I1004-$J1004+$K1004-$L1004),0)</f>
        <v>0</v>
      </c>
      <c r="Q1004" s="59"/>
      <c r="R1004" s="2" t="str">
        <f t="shared" si="111"/>
        <v>66134|||0|0|0|0|</v>
      </c>
      <c r="S1004" s="25"/>
    </row>
    <row r="1005" spans="1:19" s="34" customFormat="1" ht="12.75" customHeight="1" x14ac:dyDescent="0.2">
      <c r="A1005" s="72" t="s">
        <v>246</v>
      </c>
      <c r="B1005" s="61" t="s">
        <v>2243</v>
      </c>
      <c r="C1005" s="37"/>
      <c r="D1005" s="38"/>
      <c r="E1005" s="28">
        <v>0</v>
      </c>
      <c r="F1005" s="29">
        <v>0</v>
      </c>
      <c r="G1005" s="6">
        <f t="shared" si="107"/>
        <v>0</v>
      </c>
      <c r="H1005" s="7">
        <f t="shared" si="108"/>
        <v>0</v>
      </c>
      <c r="I1005" s="6">
        <f t="shared" si="114"/>
        <v>0</v>
      </c>
      <c r="J1005" s="7">
        <f t="shared" si="115"/>
        <v>0</v>
      </c>
      <c r="K1005" s="28">
        <v>0</v>
      </c>
      <c r="L1005" s="29">
        <v>0</v>
      </c>
      <c r="M1005" s="35"/>
      <c r="N1005" s="36"/>
      <c r="O1005" s="6">
        <f t="shared" si="116"/>
        <v>0</v>
      </c>
      <c r="P1005" s="7">
        <f t="shared" si="117"/>
        <v>0</v>
      </c>
      <c r="Q1005" s="59"/>
      <c r="R1005" s="2" t="str">
        <f t="shared" si="111"/>
        <v>6621|||0|0|0|0|</v>
      </c>
      <c r="S1005" s="25"/>
    </row>
    <row r="1006" spans="1:19" s="34" customFormat="1" ht="12.75" customHeight="1" x14ac:dyDescent="0.2">
      <c r="A1006" s="72" t="s">
        <v>247</v>
      </c>
      <c r="B1006" s="61" t="s">
        <v>2244</v>
      </c>
      <c r="C1006" s="37"/>
      <c r="D1006" s="38"/>
      <c r="E1006" s="28">
        <v>0</v>
      </c>
      <c r="F1006" s="29">
        <v>0</v>
      </c>
      <c r="G1006" s="6">
        <f t="shared" si="107"/>
        <v>0</v>
      </c>
      <c r="H1006" s="7">
        <f t="shared" si="108"/>
        <v>0</v>
      </c>
      <c r="I1006" s="6">
        <f t="shared" si="114"/>
        <v>0</v>
      </c>
      <c r="J1006" s="7">
        <f t="shared" si="115"/>
        <v>0</v>
      </c>
      <c r="K1006" s="28">
        <v>0</v>
      </c>
      <c r="L1006" s="29">
        <v>0</v>
      </c>
      <c r="M1006" s="35"/>
      <c r="N1006" s="36"/>
      <c r="O1006" s="6">
        <f t="shared" si="116"/>
        <v>0</v>
      </c>
      <c r="P1006" s="7">
        <f t="shared" si="117"/>
        <v>0</v>
      </c>
      <c r="Q1006" s="59"/>
      <c r="R1006" s="2" t="str">
        <f t="shared" si="111"/>
        <v>6622|||0|0|0|0|</v>
      </c>
      <c r="S1006" s="25"/>
    </row>
    <row r="1007" spans="1:19" s="34" customFormat="1" ht="12.75" customHeight="1" x14ac:dyDescent="0.2">
      <c r="A1007" s="72" t="s">
        <v>248</v>
      </c>
      <c r="B1007" s="61" t="s">
        <v>2245</v>
      </c>
      <c r="C1007" s="37"/>
      <c r="D1007" s="38"/>
      <c r="E1007" s="28">
        <v>0</v>
      </c>
      <c r="F1007" s="29">
        <v>0</v>
      </c>
      <c r="G1007" s="6">
        <f t="shared" si="107"/>
        <v>0</v>
      </c>
      <c r="H1007" s="7">
        <f t="shared" si="108"/>
        <v>0</v>
      </c>
      <c r="I1007" s="6">
        <f t="shared" si="114"/>
        <v>0</v>
      </c>
      <c r="J1007" s="7">
        <f t="shared" si="115"/>
        <v>0</v>
      </c>
      <c r="K1007" s="28">
        <v>0</v>
      </c>
      <c r="L1007" s="29">
        <v>0</v>
      </c>
      <c r="M1007" s="35"/>
      <c r="N1007" s="36"/>
      <c r="O1007" s="6">
        <f t="shared" si="116"/>
        <v>0</v>
      </c>
      <c r="P1007" s="7">
        <f t="shared" si="117"/>
        <v>0</v>
      </c>
      <c r="Q1007" s="59"/>
      <c r="R1007" s="2" t="str">
        <f t="shared" si="111"/>
        <v>6711|||0|0|0|0|</v>
      </c>
      <c r="S1007" s="25"/>
    </row>
    <row r="1008" spans="1:19" s="34" customFormat="1" ht="12.75" customHeight="1" x14ac:dyDescent="0.2">
      <c r="A1008" s="72" t="s">
        <v>249</v>
      </c>
      <c r="B1008" s="61" t="s">
        <v>2246</v>
      </c>
      <c r="C1008" s="37"/>
      <c r="D1008" s="38"/>
      <c r="E1008" s="28">
        <v>0</v>
      </c>
      <c r="F1008" s="29">
        <v>0</v>
      </c>
      <c r="G1008" s="6">
        <f t="shared" si="107"/>
        <v>0</v>
      </c>
      <c r="H1008" s="7">
        <f t="shared" si="108"/>
        <v>0</v>
      </c>
      <c r="I1008" s="6">
        <f t="shared" si="114"/>
        <v>0</v>
      </c>
      <c r="J1008" s="7">
        <f t="shared" si="115"/>
        <v>0</v>
      </c>
      <c r="K1008" s="28">
        <v>0</v>
      </c>
      <c r="L1008" s="29">
        <v>0</v>
      </c>
      <c r="M1008" s="35"/>
      <c r="N1008" s="36"/>
      <c r="O1008" s="6">
        <f t="shared" si="116"/>
        <v>0</v>
      </c>
      <c r="P1008" s="7">
        <f t="shared" si="117"/>
        <v>0</v>
      </c>
      <c r="Q1008" s="59"/>
      <c r="R1008" s="2" t="str">
        <f t="shared" si="111"/>
        <v>6712|||0|0|0|0|</v>
      </c>
      <c r="S1008" s="25"/>
    </row>
    <row r="1009" spans="1:19" s="34" customFormat="1" ht="12.75" customHeight="1" x14ac:dyDescent="0.2">
      <c r="A1009" s="72" t="s">
        <v>250</v>
      </c>
      <c r="B1009" s="61" t="s">
        <v>2247</v>
      </c>
      <c r="C1009" s="37"/>
      <c r="D1009" s="38"/>
      <c r="E1009" s="28">
        <v>0</v>
      </c>
      <c r="F1009" s="29">
        <v>0</v>
      </c>
      <c r="G1009" s="6">
        <f t="shared" si="107"/>
        <v>0</v>
      </c>
      <c r="H1009" s="7">
        <f t="shared" si="108"/>
        <v>0</v>
      </c>
      <c r="I1009" s="6">
        <f t="shared" si="114"/>
        <v>0</v>
      </c>
      <c r="J1009" s="7">
        <f t="shared" si="115"/>
        <v>0</v>
      </c>
      <c r="K1009" s="28">
        <v>0</v>
      </c>
      <c r="L1009" s="29">
        <v>0</v>
      </c>
      <c r="M1009" s="35"/>
      <c r="N1009" s="36"/>
      <c r="O1009" s="6">
        <f t="shared" si="116"/>
        <v>0</v>
      </c>
      <c r="P1009" s="7">
        <f t="shared" si="117"/>
        <v>0</v>
      </c>
      <c r="Q1009" s="59"/>
      <c r="R1009" s="2" t="str">
        <f t="shared" si="111"/>
        <v>6713|||0|0|0|0|</v>
      </c>
      <c r="S1009" s="25"/>
    </row>
    <row r="1010" spans="1:19" s="34" customFormat="1" ht="12.75" customHeight="1" x14ac:dyDescent="0.2">
      <c r="A1010" s="72" t="s">
        <v>251</v>
      </c>
      <c r="B1010" s="61" t="s">
        <v>2248</v>
      </c>
      <c r="C1010" s="37"/>
      <c r="D1010" s="38"/>
      <c r="E1010" s="28">
        <v>0</v>
      </c>
      <c r="F1010" s="29">
        <v>0</v>
      </c>
      <c r="G1010" s="6">
        <f t="shared" si="107"/>
        <v>0</v>
      </c>
      <c r="H1010" s="7">
        <f t="shared" si="108"/>
        <v>0</v>
      </c>
      <c r="I1010" s="6">
        <f t="shared" si="114"/>
        <v>0</v>
      </c>
      <c r="J1010" s="7">
        <f t="shared" si="115"/>
        <v>0</v>
      </c>
      <c r="K1010" s="28">
        <v>0</v>
      </c>
      <c r="L1010" s="29">
        <v>0</v>
      </c>
      <c r="M1010" s="35"/>
      <c r="N1010" s="36"/>
      <c r="O1010" s="6">
        <f t="shared" si="116"/>
        <v>0</v>
      </c>
      <c r="P1010" s="7">
        <f t="shared" si="117"/>
        <v>0</v>
      </c>
      <c r="Q1010" s="59"/>
      <c r="R1010" s="2" t="str">
        <f t="shared" si="111"/>
        <v>6714|||0|0|0|0|</v>
      </c>
      <c r="S1010" s="25"/>
    </row>
    <row r="1011" spans="1:19" s="34" customFormat="1" ht="12.75" customHeight="1" x14ac:dyDescent="0.2">
      <c r="A1011" s="72" t="s">
        <v>252</v>
      </c>
      <c r="B1011" s="61" t="s">
        <v>2249</v>
      </c>
      <c r="C1011" s="37"/>
      <c r="D1011" s="38"/>
      <c r="E1011" s="28">
        <v>0</v>
      </c>
      <c r="F1011" s="29">
        <v>0</v>
      </c>
      <c r="G1011" s="6">
        <f t="shared" si="107"/>
        <v>0</v>
      </c>
      <c r="H1011" s="7">
        <f t="shared" si="108"/>
        <v>0</v>
      </c>
      <c r="I1011" s="6">
        <f t="shared" si="114"/>
        <v>0</v>
      </c>
      <c r="J1011" s="7">
        <f t="shared" si="115"/>
        <v>0</v>
      </c>
      <c r="K1011" s="28">
        <v>0</v>
      </c>
      <c r="L1011" s="29">
        <v>0</v>
      </c>
      <c r="M1011" s="35"/>
      <c r="N1011" s="36"/>
      <c r="O1011" s="6">
        <f t="shared" si="116"/>
        <v>0</v>
      </c>
      <c r="P1011" s="7">
        <f t="shared" si="117"/>
        <v>0</v>
      </c>
      <c r="Q1011" s="59"/>
      <c r="R1011" s="2" t="str">
        <f t="shared" si="111"/>
        <v>672|||0|0|0|0|</v>
      </c>
      <c r="S1011" s="25"/>
    </row>
    <row r="1012" spans="1:19" s="34" customFormat="1" ht="12.75" customHeight="1" x14ac:dyDescent="0.2">
      <c r="A1012" s="72" t="s">
        <v>253</v>
      </c>
      <c r="B1012" s="61" t="s">
        <v>2250</v>
      </c>
      <c r="C1012" s="37"/>
      <c r="D1012" s="38"/>
      <c r="E1012" s="28">
        <v>0</v>
      </c>
      <c r="F1012" s="29">
        <v>0</v>
      </c>
      <c r="G1012" s="6">
        <f t="shared" si="107"/>
        <v>0</v>
      </c>
      <c r="H1012" s="7">
        <f t="shared" si="108"/>
        <v>0</v>
      </c>
      <c r="I1012" s="6">
        <f t="shared" si="114"/>
        <v>0</v>
      </c>
      <c r="J1012" s="7">
        <f t="shared" si="115"/>
        <v>0</v>
      </c>
      <c r="K1012" s="28">
        <v>0</v>
      </c>
      <c r="L1012" s="29">
        <v>0</v>
      </c>
      <c r="M1012" s="35"/>
      <c r="N1012" s="36"/>
      <c r="O1012" s="6">
        <f t="shared" si="116"/>
        <v>0</v>
      </c>
      <c r="P1012" s="7">
        <f t="shared" si="117"/>
        <v>0</v>
      </c>
      <c r="Q1012" s="59"/>
      <c r="R1012" s="2" t="str">
        <f t="shared" si="111"/>
        <v>67311|||0|0|0|0|</v>
      </c>
      <c r="S1012" s="25"/>
    </row>
    <row r="1013" spans="1:19" s="34" customFormat="1" ht="12.75" customHeight="1" x14ac:dyDescent="0.2">
      <c r="A1013" s="75" t="s">
        <v>2577</v>
      </c>
      <c r="B1013" s="61" t="s">
        <v>2566</v>
      </c>
      <c r="C1013" s="37"/>
      <c r="D1013" s="38"/>
      <c r="E1013" s="28">
        <v>0</v>
      </c>
      <c r="F1013" s="29">
        <v>0</v>
      </c>
      <c r="G1013" s="6">
        <f t="shared" ref="G1013:G1016" si="118">+E1013</f>
        <v>0</v>
      </c>
      <c r="H1013" s="7">
        <f t="shared" ref="H1013:H1016" si="119">+F1013</f>
        <v>0</v>
      </c>
      <c r="I1013" s="6">
        <f t="shared" si="114"/>
        <v>0</v>
      </c>
      <c r="J1013" s="7">
        <f t="shared" si="115"/>
        <v>0</v>
      </c>
      <c r="K1013" s="28">
        <v>0</v>
      </c>
      <c r="L1013" s="29">
        <v>0</v>
      </c>
      <c r="M1013" s="35"/>
      <c r="N1013" s="36"/>
      <c r="O1013" s="6">
        <f t="shared" si="116"/>
        <v>0</v>
      </c>
      <c r="P1013" s="7">
        <f t="shared" si="117"/>
        <v>0</v>
      </c>
      <c r="Q1013" s="59"/>
      <c r="R1013" s="2" t="str">
        <f t="shared" si="111"/>
        <v>673121|||0|0|0|0|</v>
      </c>
      <c r="S1013" s="25"/>
    </row>
    <row r="1014" spans="1:19" s="34" customFormat="1" ht="12.75" customHeight="1" x14ac:dyDescent="0.2">
      <c r="A1014" s="75" t="s">
        <v>2578</v>
      </c>
      <c r="B1014" s="61" t="s">
        <v>2572</v>
      </c>
      <c r="C1014" s="37"/>
      <c r="D1014" s="38"/>
      <c r="E1014" s="28">
        <v>0</v>
      </c>
      <c r="F1014" s="29">
        <v>0</v>
      </c>
      <c r="G1014" s="6">
        <f t="shared" si="118"/>
        <v>0</v>
      </c>
      <c r="H1014" s="7">
        <f t="shared" si="119"/>
        <v>0</v>
      </c>
      <c r="I1014" s="6">
        <f t="shared" si="114"/>
        <v>0</v>
      </c>
      <c r="J1014" s="7">
        <f t="shared" si="115"/>
        <v>0</v>
      </c>
      <c r="K1014" s="28">
        <v>0</v>
      </c>
      <c r="L1014" s="29">
        <v>0</v>
      </c>
      <c r="M1014" s="35"/>
      <c r="N1014" s="36"/>
      <c r="O1014" s="6">
        <f t="shared" si="116"/>
        <v>0</v>
      </c>
      <c r="P1014" s="7">
        <f t="shared" si="117"/>
        <v>0</v>
      </c>
      <c r="Q1014" s="59"/>
      <c r="R1014" s="2" t="str">
        <f t="shared" si="111"/>
        <v>673122|||0|0|0|0|</v>
      </c>
      <c r="S1014" s="25"/>
    </row>
    <row r="1015" spans="1:19" s="34" customFormat="1" ht="12.75" customHeight="1" x14ac:dyDescent="0.2">
      <c r="A1015" s="75" t="s">
        <v>2579</v>
      </c>
      <c r="B1015" s="61" t="s">
        <v>2567</v>
      </c>
      <c r="C1015" s="37"/>
      <c r="D1015" s="38"/>
      <c r="E1015" s="28">
        <v>0</v>
      </c>
      <c r="F1015" s="29">
        <v>0</v>
      </c>
      <c r="G1015" s="6">
        <f t="shared" si="118"/>
        <v>0</v>
      </c>
      <c r="H1015" s="7">
        <f t="shared" si="119"/>
        <v>0</v>
      </c>
      <c r="I1015" s="6">
        <f t="shared" si="114"/>
        <v>0</v>
      </c>
      <c r="J1015" s="7">
        <f t="shared" si="115"/>
        <v>0</v>
      </c>
      <c r="K1015" s="28">
        <v>0</v>
      </c>
      <c r="L1015" s="29">
        <v>0</v>
      </c>
      <c r="M1015" s="35"/>
      <c r="N1015" s="36"/>
      <c r="O1015" s="6">
        <f t="shared" si="116"/>
        <v>0</v>
      </c>
      <c r="P1015" s="7">
        <f t="shared" si="117"/>
        <v>0</v>
      </c>
      <c r="Q1015" s="59"/>
      <c r="R1015" s="2" t="str">
        <f t="shared" si="111"/>
        <v>673123|||0|0|0|0|</v>
      </c>
      <c r="S1015" s="25"/>
    </row>
    <row r="1016" spans="1:19" s="34" customFormat="1" ht="12.75" customHeight="1" x14ac:dyDescent="0.2">
      <c r="A1016" s="75" t="s">
        <v>2580</v>
      </c>
      <c r="B1016" s="61" t="s">
        <v>2568</v>
      </c>
      <c r="C1016" s="37"/>
      <c r="D1016" s="38"/>
      <c r="E1016" s="28">
        <v>0</v>
      </c>
      <c r="F1016" s="29">
        <v>0</v>
      </c>
      <c r="G1016" s="6">
        <f t="shared" si="118"/>
        <v>0</v>
      </c>
      <c r="H1016" s="7">
        <f t="shared" si="119"/>
        <v>0</v>
      </c>
      <c r="I1016" s="6">
        <f t="shared" si="114"/>
        <v>0</v>
      </c>
      <c r="J1016" s="7">
        <f t="shared" si="115"/>
        <v>0</v>
      </c>
      <c r="K1016" s="28">
        <v>0</v>
      </c>
      <c r="L1016" s="29">
        <v>0</v>
      </c>
      <c r="M1016" s="35"/>
      <c r="N1016" s="36"/>
      <c r="O1016" s="6">
        <f t="shared" si="116"/>
        <v>0</v>
      </c>
      <c r="P1016" s="7">
        <f t="shared" si="117"/>
        <v>0</v>
      </c>
      <c r="Q1016" s="59"/>
      <c r="R1016" s="2" t="str">
        <f t="shared" si="111"/>
        <v>673129|||0|0|0|0|</v>
      </c>
      <c r="S1016" s="25"/>
    </row>
    <row r="1017" spans="1:19" s="34" customFormat="1" ht="12.75" customHeight="1" x14ac:dyDescent="0.2">
      <c r="A1017" s="72" t="s">
        <v>254</v>
      </c>
      <c r="B1017" s="61" t="s">
        <v>2251</v>
      </c>
      <c r="C1017" s="37"/>
      <c r="D1017" s="38"/>
      <c r="E1017" s="28">
        <v>0</v>
      </c>
      <c r="F1017" s="29">
        <v>0</v>
      </c>
      <c r="G1017" s="6">
        <f t="shared" si="107"/>
        <v>0</v>
      </c>
      <c r="H1017" s="7">
        <f t="shared" si="108"/>
        <v>0</v>
      </c>
      <c r="I1017" s="6">
        <f t="shared" si="114"/>
        <v>0</v>
      </c>
      <c r="J1017" s="7">
        <f t="shared" si="115"/>
        <v>0</v>
      </c>
      <c r="K1017" s="28">
        <v>0</v>
      </c>
      <c r="L1017" s="29">
        <v>0</v>
      </c>
      <c r="M1017" s="35"/>
      <c r="N1017" s="36"/>
      <c r="O1017" s="6">
        <f t="shared" si="116"/>
        <v>0</v>
      </c>
      <c r="P1017" s="7">
        <f t="shared" si="117"/>
        <v>0</v>
      </c>
      <c r="Q1017" s="59"/>
      <c r="R1017" s="2" t="str">
        <f t="shared" si="111"/>
        <v>6732|||0|0|0|0|</v>
      </c>
      <c r="S1017" s="25"/>
    </row>
    <row r="1018" spans="1:19" s="34" customFormat="1" ht="12.75" customHeight="1" x14ac:dyDescent="0.2">
      <c r="A1018" s="72" t="s">
        <v>255</v>
      </c>
      <c r="B1018" s="61" t="s">
        <v>2252</v>
      </c>
      <c r="C1018" s="37"/>
      <c r="D1018" s="38"/>
      <c r="E1018" s="28">
        <v>0</v>
      </c>
      <c r="F1018" s="29">
        <v>0</v>
      </c>
      <c r="G1018" s="6">
        <f t="shared" si="107"/>
        <v>0</v>
      </c>
      <c r="H1018" s="7">
        <f t="shared" si="108"/>
        <v>0</v>
      </c>
      <c r="I1018" s="6">
        <f t="shared" si="114"/>
        <v>0</v>
      </c>
      <c r="J1018" s="7">
        <f t="shared" si="115"/>
        <v>0</v>
      </c>
      <c r="K1018" s="28">
        <v>0</v>
      </c>
      <c r="L1018" s="29">
        <v>0</v>
      </c>
      <c r="M1018" s="35"/>
      <c r="N1018" s="36"/>
      <c r="O1018" s="6">
        <f t="shared" si="116"/>
        <v>0</v>
      </c>
      <c r="P1018" s="7">
        <f t="shared" si="117"/>
        <v>0</v>
      </c>
      <c r="Q1018" s="59"/>
      <c r="R1018" s="2" t="str">
        <f t="shared" si="111"/>
        <v>6733|||0|0|0|0|</v>
      </c>
      <c r="S1018" s="25"/>
    </row>
    <row r="1019" spans="1:19" s="34" customFormat="1" ht="12.75" customHeight="1" x14ac:dyDescent="0.2">
      <c r="A1019" s="72" t="s">
        <v>256</v>
      </c>
      <c r="B1019" s="61" t="s">
        <v>2253</v>
      </c>
      <c r="C1019" s="37"/>
      <c r="D1019" s="38"/>
      <c r="E1019" s="28">
        <v>0</v>
      </c>
      <c r="F1019" s="29">
        <v>0</v>
      </c>
      <c r="G1019" s="6">
        <f t="shared" si="107"/>
        <v>0</v>
      </c>
      <c r="H1019" s="7">
        <f t="shared" si="108"/>
        <v>0</v>
      </c>
      <c r="I1019" s="6">
        <f t="shared" si="114"/>
        <v>0</v>
      </c>
      <c r="J1019" s="7">
        <f t="shared" si="115"/>
        <v>0</v>
      </c>
      <c r="K1019" s="28">
        <v>0</v>
      </c>
      <c r="L1019" s="29">
        <v>0</v>
      </c>
      <c r="M1019" s="35"/>
      <c r="N1019" s="36"/>
      <c r="O1019" s="6">
        <f t="shared" si="116"/>
        <v>0</v>
      </c>
      <c r="P1019" s="7">
        <f t="shared" si="117"/>
        <v>0</v>
      </c>
      <c r="Q1019" s="59"/>
      <c r="R1019" s="2" t="str">
        <f t="shared" si="111"/>
        <v>6734|||0|0|0|0|</v>
      </c>
      <c r="S1019" s="25"/>
    </row>
    <row r="1020" spans="1:19" s="34" customFormat="1" ht="12.75" customHeight="1" x14ac:dyDescent="0.2">
      <c r="A1020" s="72" t="s">
        <v>257</v>
      </c>
      <c r="B1020" s="61" t="s">
        <v>2254</v>
      </c>
      <c r="C1020" s="37"/>
      <c r="D1020" s="38"/>
      <c r="E1020" s="28">
        <v>0</v>
      </c>
      <c r="F1020" s="29">
        <v>0</v>
      </c>
      <c r="G1020" s="6">
        <f t="shared" si="107"/>
        <v>0</v>
      </c>
      <c r="H1020" s="7">
        <f t="shared" si="108"/>
        <v>0</v>
      </c>
      <c r="I1020" s="6">
        <f t="shared" si="114"/>
        <v>0</v>
      </c>
      <c r="J1020" s="7">
        <f t="shared" si="115"/>
        <v>0</v>
      </c>
      <c r="K1020" s="28">
        <v>0</v>
      </c>
      <c r="L1020" s="29">
        <v>0</v>
      </c>
      <c r="M1020" s="35"/>
      <c r="N1020" s="36"/>
      <c r="O1020" s="6">
        <f t="shared" si="116"/>
        <v>0</v>
      </c>
      <c r="P1020" s="7">
        <f t="shared" si="117"/>
        <v>0</v>
      </c>
      <c r="Q1020" s="59"/>
      <c r="R1020" s="2" t="str">
        <f t="shared" si="111"/>
        <v>6735|||0|0|0|0|</v>
      </c>
      <c r="S1020" s="25"/>
    </row>
    <row r="1021" spans="1:19" s="34" customFormat="1" ht="12.75" customHeight="1" x14ac:dyDescent="0.2">
      <c r="A1021" s="72" t="s">
        <v>258</v>
      </c>
      <c r="B1021" s="61" t="s">
        <v>2255</v>
      </c>
      <c r="C1021" s="37"/>
      <c r="D1021" s="38"/>
      <c r="E1021" s="28">
        <v>0</v>
      </c>
      <c r="F1021" s="29">
        <v>0</v>
      </c>
      <c r="G1021" s="6">
        <f t="shared" si="107"/>
        <v>0</v>
      </c>
      <c r="H1021" s="7">
        <f t="shared" si="108"/>
        <v>0</v>
      </c>
      <c r="I1021" s="6">
        <f t="shared" si="114"/>
        <v>0</v>
      </c>
      <c r="J1021" s="7">
        <f t="shared" si="115"/>
        <v>0</v>
      </c>
      <c r="K1021" s="28">
        <v>0</v>
      </c>
      <c r="L1021" s="29">
        <v>0</v>
      </c>
      <c r="M1021" s="35"/>
      <c r="N1021" s="36"/>
      <c r="O1021" s="6">
        <f t="shared" si="116"/>
        <v>0</v>
      </c>
      <c r="P1021" s="7">
        <f t="shared" si="117"/>
        <v>0</v>
      </c>
      <c r="Q1021" s="59"/>
      <c r="R1021" s="2" t="str">
        <f t="shared" si="111"/>
        <v>6736|||0|0|0|0|</v>
      </c>
      <c r="S1021" s="25"/>
    </row>
    <row r="1022" spans="1:19" s="34" customFormat="1" ht="12.75" customHeight="1" x14ac:dyDescent="0.2">
      <c r="A1022" s="75" t="s">
        <v>2581</v>
      </c>
      <c r="B1022" s="61" t="s">
        <v>2569</v>
      </c>
      <c r="C1022" s="37"/>
      <c r="D1022" s="38"/>
      <c r="E1022" s="28">
        <v>0</v>
      </c>
      <c r="F1022" s="29">
        <v>0</v>
      </c>
      <c r="G1022" s="6">
        <f t="shared" ref="G1022:G1024" si="120">+E1022</f>
        <v>0</v>
      </c>
      <c r="H1022" s="7">
        <f t="shared" ref="H1022:H1024" si="121">+F1022</f>
        <v>0</v>
      </c>
      <c r="I1022" s="6">
        <f t="shared" si="114"/>
        <v>0</v>
      </c>
      <c r="J1022" s="7">
        <f t="shared" si="115"/>
        <v>0</v>
      </c>
      <c r="K1022" s="28">
        <v>0</v>
      </c>
      <c r="L1022" s="29">
        <v>0</v>
      </c>
      <c r="M1022" s="35"/>
      <c r="N1022" s="36"/>
      <c r="O1022" s="6">
        <f t="shared" si="116"/>
        <v>0</v>
      </c>
      <c r="P1022" s="7">
        <f t="shared" si="117"/>
        <v>0</v>
      </c>
      <c r="Q1022" s="59"/>
      <c r="R1022" s="2" t="str">
        <f t="shared" si="111"/>
        <v>67371|||0|0|0|0|</v>
      </c>
      <c r="S1022" s="25"/>
    </row>
    <row r="1023" spans="1:19" s="34" customFormat="1" ht="12.75" customHeight="1" x14ac:dyDescent="0.2">
      <c r="A1023" s="75" t="s">
        <v>2582</v>
      </c>
      <c r="B1023" s="61" t="s">
        <v>2570</v>
      </c>
      <c r="C1023" s="37"/>
      <c r="D1023" s="38"/>
      <c r="E1023" s="28">
        <v>0</v>
      </c>
      <c r="F1023" s="29">
        <v>0</v>
      </c>
      <c r="G1023" s="6">
        <f t="shared" si="120"/>
        <v>0</v>
      </c>
      <c r="H1023" s="7">
        <f t="shared" si="121"/>
        <v>0</v>
      </c>
      <c r="I1023" s="6">
        <f t="shared" si="114"/>
        <v>0</v>
      </c>
      <c r="J1023" s="7">
        <f t="shared" si="115"/>
        <v>0</v>
      </c>
      <c r="K1023" s="28">
        <v>0</v>
      </c>
      <c r="L1023" s="29">
        <v>0</v>
      </c>
      <c r="M1023" s="35"/>
      <c r="N1023" s="36"/>
      <c r="O1023" s="6">
        <f t="shared" si="116"/>
        <v>0</v>
      </c>
      <c r="P1023" s="7">
        <f t="shared" si="117"/>
        <v>0</v>
      </c>
      <c r="Q1023" s="59"/>
      <c r="R1023" s="2" t="str">
        <f t="shared" si="111"/>
        <v>67372|||0|0|0|0|</v>
      </c>
      <c r="S1023" s="25"/>
    </row>
    <row r="1024" spans="1:19" s="34" customFormat="1" ht="12.75" customHeight="1" x14ac:dyDescent="0.2">
      <c r="A1024" s="75" t="s">
        <v>2583</v>
      </c>
      <c r="B1024" s="61" t="s">
        <v>2571</v>
      </c>
      <c r="C1024" s="37"/>
      <c r="D1024" s="38"/>
      <c r="E1024" s="28">
        <v>0</v>
      </c>
      <c r="F1024" s="29">
        <v>0</v>
      </c>
      <c r="G1024" s="6">
        <f t="shared" si="120"/>
        <v>0</v>
      </c>
      <c r="H1024" s="7">
        <f t="shared" si="121"/>
        <v>0</v>
      </c>
      <c r="I1024" s="6">
        <f t="shared" si="114"/>
        <v>0</v>
      </c>
      <c r="J1024" s="7">
        <f t="shared" si="115"/>
        <v>0</v>
      </c>
      <c r="K1024" s="28">
        <v>0</v>
      </c>
      <c r="L1024" s="29">
        <v>0</v>
      </c>
      <c r="M1024" s="35"/>
      <c r="N1024" s="36"/>
      <c r="O1024" s="6">
        <f t="shared" si="116"/>
        <v>0</v>
      </c>
      <c r="P1024" s="7">
        <f t="shared" si="117"/>
        <v>0</v>
      </c>
      <c r="Q1024" s="59"/>
      <c r="R1024" s="2" t="str">
        <f t="shared" si="111"/>
        <v>67379|||0|0|0|0|</v>
      </c>
      <c r="S1024" s="25"/>
    </row>
    <row r="1025" spans="1:19" s="34" customFormat="1" ht="12.75" customHeight="1" x14ac:dyDescent="0.2">
      <c r="A1025" s="72" t="s">
        <v>2256</v>
      </c>
      <c r="B1025" s="61" t="s">
        <v>2257</v>
      </c>
      <c r="C1025" s="37"/>
      <c r="D1025" s="38"/>
      <c r="E1025" s="28">
        <v>0</v>
      </c>
      <c r="F1025" s="29">
        <v>0</v>
      </c>
      <c r="G1025" s="6">
        <f t="shared" si="107"/>
        <v>0</v>
      </c>
      <c r="H1025" s="7">
        <f t="shared" si="108"/>
        <v>0</v>
      </c>
      <c r="I1025" s="6">
        <f t="shared" si="114"/>
        <v>0</v>
      </c>
      <c r="J1025" s="7">
        <f t="shared" si="115"/>
        <v>0</v>
      </c>
      <c r="K1025" s="28">
        <v>0</v>
      </c>
      <c r="L1025" s="29">
        <v>0</v>
      </c>
      <c r="M1025" s="35"/>
      <c r="N1025" s="36"/>
      <c r="O1025" s="6">
        <f t="shared" si="116"/>
        <v>0</v>
      </c>
      <c r="P1025" s="7">
        <f t="shared" si="117"/>
        <v>0</v>
      </c>
      <c r="Q1025" s="59"/>
      <c r="R1025" s="2" t="str">
        <f t="shared" si="111"/>
        <v>6741|||0|0|0|0|</v>
      </c>
      <c r="S1025" s="25"/>
    </row>
    <row r="1026" spans="1:19" s="34" customFormat="1" ht="12.75" customHeight="1" x14ac:dyDescent="0.2">
      <c r="A1026" s="73" t="s">
        <v>259</v>
      </c>
      <c r="B1026" s="61" t="s">
        <v>226</v>
      </c>
      <c r="C1026" s="37"/>
      <c r="D1026" s="38"/>
      <c r="E1026" s="28">
        <v>0</v>
      </c>
      <c r="F1026" s="29">
        <v>0</v>
      </c>
      <c r="G1026" s="6">
        <f t="shared" si="107"/>
        <v>0</v>
      </c>
      <c r="H1026" s="7">
        <f t="shared" si="108"/>
        <v>0</v>
      </c>
      <c r="I1026" s="6">
        <f t="shared" si="114"/>
        <v>0</v>
      </c>
      <c r="J1026" s="7">
        <f t="shared" si="115"/>
        <v>0</v>
      </c>
      <c r="K1026" s="28">
        <v>0</v>
      </c>
      <c r="L1026" s="29">
        <v>0</v>
      </c>
      <c r="M1026" s="35"/>
      <c r="N1026" s="36"/>
      <c r="O1026" s="6">
        <f t="shared" si="116"/>
        <v>0</v>
      </c>
      <c r="P1026" s="7">
        <f t="shared" si="117"/>
        <v>0</v>
      </c>
      <c r="Q1026" s="59"/>
      <c r="R1026" s="2" t="str">
        <f t="shared" si="111"/>
        <v>675|||0|0|0|0|</v>
      </c>
      <c r="S1026" s="25"/>
    </row>
    <row r="1027" spans="1:19" s="34" customFormat="1" ht="12.75" customHeight="1" x14ac:dyDescent="0.2">
      <c r="A1027" s="73" t="s">
        <v>260</v>
      </c>
      <c r="B1027" s="61" t="s">
        <v>2258</v>
      </c>
      <c r="C1027" s="37"/>
      <c r="D1027" s="38"/>
      <c r="E1027" s="28">
        <v>0</v>
      </c>
      <c r="F1027" s="29">
        <v>0</v>
      </c>
      <c r="G1027" s="6">
        <f t="shared" si="107"/>
        <v>0</v>
      </c>
      <c r="H1027" s="7">
        <f t="shared" si="108"/>
        <v>0</v>
      </c>
      <c r="I1027" s="6">
        <f t="shared" si="114"/>
        <v>0</v>
      </c>
      <c r="J1027" s="7">
        <f t="shared" si="115"/>
        <v>0</v>
      </c>
      <c r="K1027" s="28">
        <v>0</v>
      </c>
      <c r="L1027" s="29">
        <v>0</v>
      </c>
      <c r="M1027" s="35"/>
      <c r="N1027" s="36"/>
      <c r="O1027" s="6">
        <f t="shared" si="116"/>
        <v>0</v>
      </c>
      <c r="P1027" s="7">
        <f t="shared" si="117"/>
        <v>0</v>
      </c>
      <c r="Q1027" s="59"/>
      <c r="R1027" s="2" t="str">
        <f t="shared" si="111"/>
        <v>676|||0|0|0|0|</v>
      </c>
      <c r="S1027" s="25"/>
    </row>
    <row r="1028" spans="1:19" s="34" customFormat="1" ht="12.75" customHeight="1" x14ac:dyDescent="0.2">
      <c r="A1028" s="73" t="s">
        <v>2259</v>
      </c>
      <c r="B1028" s="61" t="s">
        <v>2260</v>
      </c>
      <c r="C1028" s="37"/>
      <c r="D1028" s="38"/>
      <c r="E1028" s="28">
        <v>0</v>
      </c>
      <c r="F1028" s="29">
        <v>0</v>
      </c>
      <c r="G1028" s="6">
        <f t="shared" si="107"/>
        <v>0</v>
      </c>
      <c r="H1028" s="7">
        <f t="shared" si="108"/>
        <v>0</v>
      </c>
      <c r="I1028" s="6">
        <f t="shared" si="114"/>
        <v>0</v>
      </c>
      <c r="J1028" s="7">
        <f t="shared" si="115"/>
        <v>0</v>
      </c>
      <c r="K1028" s="28">
        <v>0</v>
      </c>
      <c r="L1028" s="29">
        <v>0</v>
      </c>
      <c r="M1028" s="35"/>
      <c r="N1028" s="36"/>
      <c r="O1028" s="6">
        <f t="shared" si="116"/>
        <v>0</v>
      </c>
      <c r="P1028" s="7">
        <f t="shared" si="117"/>
        <v>0</v>
      </c>
      <c r="Q1028" s="59"/>
      <c r="R1028" s="2" t="str">
        <f t="shared" si="111"/>
        <v>6771|||0|0|0|0|</v>
      </c>
      <c r="S1028" s="25"/>
    </row>
    <row r="1029" spans="1:19" s="34" customFormat="1" ht="12.75" customHeight="1" x14ac:dyDescent="0.2">
      <c r="A1029" s="73" t="s">
        <v>2261</v>
      </c>
      <c r="B1029" s="61" t="s">
        <v>2262</v>
      </c>
      <c r="C1029" s="37"/>
      <c r="D1029" s="38"/>
      <c r="E1029" s="28">
        <v>0</v>
      </c>
      <c r="F1029" s="29">
        <v>0</v>
      </c>
      <c r="G1029" s="6">
        <f t="shared" si="107"/>
        <v>0</v>
      </c>
      <c r="H1029" s="7">
        <f t="shared" si="108"/>
        <v>0</v>
      </c>
      <c r="I1029" s="6">
        <f t="shared" si="114"/>
        <v>0</v>
      </c>
      <c r="J1029" s="7">
        <f t="shared" si="115"/>
        <v>0</v>
      </c>
      <c r="K1029" s="28">
        <v>0</v>
      </c>
      <c r="L1029" s="29">
        <v>0</v>
      </c>
      <c r="M1029" s="35"/>
      <c r="N1029" s="36"/>
      <c r="O1029" s="6">
        <f t="shared" si="116"/>
        <v>0</v>
      </c>
      <c r="P1029" s="7">
        <f t="shared" si="117"/>
        <v>0</v>
      </c>
      <c r="Q1029" s="59"/>
      <c r="R1029" s="2" t="str">
        <f t="shared" si="111"/>
        <v>6772|||0|0|0|0|</v>
      </c>
      <c r="S1029" s="25"/>
    </row>
    <row r="1030" spans="1:19" s="34" customFormat="1" ht="12.75" customHeight="1" x14ac:dyDescent="0.2">
      <c r="A1030" s="73" t="s">
        <v>2263</v>
      </c>
      <c r="B1030" s="61" t="s">
        <v>2264</v>
      </c>
      <c r="C1030" s="37"/>
      <c r="D1030" s="38"/>
      <c r="E1030" s="28">
        <v>0</v>
      </c>
      <c r="F1030" s="29">
        <v>0</v>
      </c>
      <c r="G1030" s="6">
        <f t="shared" si="107"/>
        <v>0</v>
      </c>
      <c r="H1030" s="7">
        <f t="shared" si="108"/>
        <v>0</v>
      </c>
      <c r="I1030" s="6">
        <f t="shared" si="114"/>
        <v>0</v>
      </c>
      <c r="J1030" s="7">
        <f t="shared" si="115"/>
        <v>0</v>
      </c>
      <c r="K1030" s="28">
        <v>0</v>
      </c>
      <c r="L1030" s="29">
        <v>0</v>
      </c>
      <c r="M1030" s="35"/>
      <c r="N1030" s="36"/>
      <c r="O1030" s="6">
        <f t="shared" si="116"/>
        <v>0</v>
      </c>
      <c r="P1030" s="7">
        <f t="shared" si="117"/>
        <v>0</v>
      </c>
      <c r="Q1030" s="59"/>
      <c r="R1030" s="2" t="str">
        <f t="shared" si="111"/>
        <v>6773|||0|0|0|0|</v>
      </c>
      <c r="S1030" s="25"/>
    </row>
    <row r="1031" spans="1:19" s="34" customFormat="1" ht="12.75" customHeight="1" x14ac:dyDescent="0.2">
      <c r="A1031" s="73" t="s">
        <v>2265</v>
      </c>
      <c r="B1031" s="61" t="s">
        <v>2266</v>
      </c>
      <c r="C1031" s="37"/>
      <c r="D1031" s="38"/>
      <c r="E1031" s="28">
        <v>0</v>
      </c>
      <c r="F1031" s="29">
        <v>0</v>
      </c>
      <c r="G1031" s="6">
        <f t="shared" si="107"/>
        <v>0</v>
      </c>
      <c r="H1031" s="7">
        <f t="shared" si="108"/>
        <v>0</v>
      </c>
      <c r="I1031" s="6">
        <f t="shared" si="114"/>
        <v>0</v>
      </c>
      <c r="J1031" s="7">
        <f t="shared" si="115"/>
        <v>0</v>
      </c>
      <c r="K1031" s="28">
        <v>0</v>
      </c>
      <c r="L1031" s="29">
        <v>0</v>
      </c>
      <c r="M1031" s="35"/>
      <c r="N1031" s="36"/>
      <c r="O1031" s="6">
        <f t="shared" si="116"/>
        <v>0</v>
      </c>
      <c r="P1031" s="7">
        <f t="shared" si="117"/>
        <v>0</v>
      </c>
      <c r="Q1031" s="59"/>
      <c r="R1031" s="2" t="str">
        <f t="shared" si="111"/>
        <v>6781|||0|0|0|0|</v>
      </c>
      <c r="S1031" s="25"/>
    </row>
    <row r="1032" spans="1:19" s="34" customFormat="1" ht="12.75" customHeight="1" x14ac:dyDescent="0.2">
      <c r="A1032" s="73" t="s">
        <v>2267</v>
      </c>
      <c r="B1032" s="61" t="s">
        <v>2268</v>
      </c>
      <c r="C1032" s="37"/>
      <c r="D1032" s="38"/>
      <c r="E1032" s="28">
        <v>0</v>
      </c>
      <c r="F1032" s="29">
        <v>0</v>
      </c>
      <c r="G1032" s="6">
        <f t="shared" si="107"/>
        <v>0</v>
      </c>
      <c r="H1032" s="7">
        <f t="shared" si="108"/>
        <v>0</v>
      </c>
      <c r="I1032" s="6">
        <f t="shared" si="114"/>
        <v>0</v>
      </c>
      <c r="J1032" s="7">
        <f t="shared" si="115"/>
        <v>0</v>
      </c>
      <c r="K1032" s="28">
        <v>0</v>
      </c>
      <c r="L1032" s="29">
        <v>0</v>
      </c>
      <c r="M1032" s="35"/>
      <c r="N1032" s="36"/>
      <c r="O1032" s="6">
        <f t="shared" si="116"/>
        <v>0</v>
      </c>
      <c r="P1032" s="7">
        <f t="shared" si="117"/>
        <v>0</v>
      </c>
      <c r="Q1032" s="59"/>
      <c r="R1032" s="2" t="str">
        <f t="shared" si="111"/>
        <v>6782|||0|0|0|0|</v>
      </c>
      <c r="S1032" s="25"/>
    </row>
    <row r="1033" spans="1:19" s="34" customFormat="1" ht="12.75" customHeight="1" x14ac:dyDescent="0.2">
      <c r="A1033" s="73" t="s">
        <v>261</v>
      </c>
      <c r="B1033" s="61" t="s">
        <v>2269</v>
      </c>
      <c r="C1033" s="37"/>
      <c r="D1033" s="38"/>
      <c r="E1033" s="28">
        <v>0</v>
      </c>
      <c r="F1033" s="29">
        <v>0</v>
      </c>
      <c r="G1033" s="6">
        <f t="shared" si="107"/>
        <v>0</v>
      </c>
      <c r="H1033" s="7">
        <f t="shared" si="108"/>
        <v>0</v>
      </c>
      <c r="I1033" s="6">
        <f t="shared" si="114"/>
        <v>0</v>
      </c>
      <c r="J1033" s="7">
        <f t="shared" si="115"/>
        <v>0</v>
      </c>
      <c r="K1033" s="28">
        <v>0</v>
      </c>
      <c r="L1033" s="29">
        <v>0</v>
      </c>
      <c r="M1033" s="35"/>
      <c r="N1033" s="36"/>
      <c r="O1033" s="6">
        <f t="shared" si="116"/>
        <v>0</v>
      </c>
      <c r="P1033" s="7">
        <f t="shared" si="117"/>
        <v>0</v>
      </c>
      <c r="Q1033" s="59"/>
      <c r="R1033" s="2" t="str">
        <f t="shared" si="111"/>
        <v>6791|||0|0|0|0|</v>
      </c>
      <c r="S1033" s="25"/>
    </row>
    <row r="1034" spans="1:19" s="34" customFormat="1" ht="12.75" customHeight="1" x14ac:dyDescent="0.2">
      <c r="A1034" s="73" t="s">
        <v>262</v>
      </c>
      <c r="B1034" s="61" t="s">
        <v>2270</v>
      </c>
      <c r="C1034" s="37"/>
      <c r="D1034" s="38"/>
      <c r="E1034" s="28">
        <v>0</v>
      </c>
      <c r="F1034" s="29">
        <v>0</v>
      </c>
      <c r="G1034" s="6">
        <f t="shared" si="107"/>
        <v>0</v>
      </c>
      <c r="H1034" s="7">
        <f t="shared" si="108"/>
        <v>0</v>
      </c>
      <c r="I1034" s="6">
        <f t="shared" si="114"/>
        <v>0</v>
      </c>
      <c r="J1034" s="7">
        <f t="shared" si="115"/>
        <v>0</v>
      </c>
      <c r="K1034" s="28">
        <v>0</v>
      </c>
      <c r="L1034" s="29">
        <v>0</v>
      </c>
      <c r="M1034" s="35"/>
      <c r="N1034" s="36"/>
      <c r="O1034" s="6">
        <f t="shared" si="116"/>
        <v>0</v>
      </c>
      <c r="P1034" s="7">
        <f t="shared" si="117"/>
        <v>0</v>
      </c>
      <c r="Q1034" s="59"/>
      <c r="R1034" s="2" t="str">
        <f t="shared" si="111"/>
        <v>6792|||0|0|0|0|</v>
      </c>
      <c r="S1034" s="25"/>
    </row>
    <row r="1035" spans="1:19" s="34" customFormat="1" ht="12.75" customHeight="1" x14ac:dyDescent="0.2">
      <c r="A1035" s="73" t="s">
        <v>263</v>
      </c>
      <c r="B1035" s="61" t="s">
        <v>2271</v>
      </c>
      <c r="C1035" s="37"/>
      <c r="D1035" s="38"/>
      <c r="E1035" s="28">
        <v>0</v>
      </c>
      <c r="F1035" s="29">
        <v>0</v>
      </c>
      <c r="G1035" s="6">
        <f t="shared" si="107"/>
        <v>0</v>
      </c>
      <c r="H1035" s="7">
        <f t="shared" si="108"/>
        <v>0</v>
      </c>
      <c r="I1035" s="6">
        <f t="shared" si="114"/>
        <v>0</v>
      </c>
      <c r="J1035" s="7">
        <f t="shared" si="115"/>
        <v>0</v>
      </c>
      <c r="K1035" s="28">
        <v>0</v>
      </c>
      <c r="L1035" s="29">
        <v>0</v>
      </c>
      <c r="M1035" s="35"/>
      <c r="N1035" s="36"/>
      <c r="O1035" s="6">
        <f t="shared" si="116"/>
        <v>0</v>
      </c>
      <c r="P1035" s="7">
        <f t="shared" si="117"/>
        <v>0</v>
      </c>
      <c r="Q1035" s="59"/>
      <c r="R1035" s="2" t="str">
        <f t="shared" si="111"/>
        <v>68111|||0|0|0|0|</v>
      </c>
      <c r="S1035" s="25"/>
    </row>
    <row r="1036" spans="1:19" s="34" customFormat="1" ht="12.75" customHeight="1" x14ac:dyDescent="0.2">
      <c r="A1036" s="73" t="s">
        <v>264</v>
      </c>
      <c r="B1036" s="61" t="s">
        <v>2272</v>
      </c>
      <c r="C1036" s="37"/>
      <c r="D1036" s="38"/>
      <c r="E1036" s="28">
        <v>0</v>
      </c>
      <c r="F1036" s="29">
        <v>0</v>
      </c>
      <c r="G1036" s="6">
        <f t="shared" si="107"/>
        <v>0</v>
      </c>
      <c r="H1036" s="7">
        <f t="shared" si="108"/>
        <v>0</v>
      </c>
      <c r="I1036" s="6">
        <f t="shared" si="114"/>
        <v>0</v>
      </c>
      <c r="J1036" s="7">
        <f t="shared" si="115"/>
        <v>0</v>
      </c>
      <c r="K1036" s="28">
        <v>0</v>
      </c>
      <c r="L1036" s="29">
        <v>0</v>
      </c>
      <c r="M1036" s="35"/>
      <c r="N1036" s="36"/>
      <c r="O1036" s="6">
        <f t="shared" si="116"/>
        <v>0</v>
      </c>
      <c r="P1036" s="7">
        <f t="shared" si="117"/>
        <v>0</v>
      </c>
      <c r="Q1036" s="59"/>
      <c r="R1036" s="2" t="str">
        <f t="shared" si="111"/>
        <v>68112|||0|0|0|0|</v>
      </c>
      <c r="S1036" s="25"/>
    </row>
    <row r="1037" spans="1:19" s="34" customFormat="1" ht="12.75" customHeight="1" x14ac:dyDescent="0.2">
      <c r="A1037" s="73" t="s">
        <v>265</v>
      </c>
      <c r="B1037" s="61" t="s">
        <v>2273</v>
      </c>
      <c r="C1037" s="37"/>
      <c r="D1037" s="38"/>
      <c r="E1037" s="28">
        <v>0</v>
      </c>
      <c r="F1037" s="29">
        <v>0</v>
      </c>
      <c r="G1037" s="6">
        <f t="shared" si="107"/>
        <v>0</v>
      </c>
      <c r="H1037" s="7">
        <f t="shared" si="108"/>
        <v>0</v>
      </c>
      <c r="I1037" s="6">
        <f t="shared" si="114"/>
        <v>0</v>
      </c>
      <c r="J1037" s="7">
        <f t="shared" si="115"/>
        <v>0</v>
      </c>
      <c r="K1037" s="28">
        <v>0</v>
      </c>
      <c r="L1037" s="29">
        <v>0</v>
      </c>
      <c r="M1037" s="35"/>
      <c r="N1037" s="36"/>
      <c r="O1037" s="6">
        <f t="shared" si="116"/>
        <v>0</v>
      </c>
      <c r="P1037" s="7">
        <f t="shared" si="117"/>
        <v>0</v>
      </c>
      <c r="Q1037" s="59"/>
      <c r="R1037" s="2" t="str">
        <f t="shared" si="111"/>
        <v>68113|||0|0|0|0|</v>
      </c>
      <c r="S1037" s="25"/>
    </row>
    <row r="1038" spans="1:19" s="34" customFormat="1" ht="12.75" customHeight="1" x14ac:dyDescent="0.2">
      <c r="A1038" s="73" t="s">
        <v>266</v>
      </c>
      <c r="B1038" s="61" t="s">
        <v>2274</v>
      </c>
      <c r="C1038" s="37"/>
      <c r="D1038" s="38"/>
      <c r="E1038" s="28">
        <v>0</v>
      </c>
      <c r="F1038" s="29">
        <v>0</v>
      </c>
      <c r="G1038" s="6">
        <f t="shared" si="107"/>
        <v>0</v>
      </c>
      <c r="H1038" s="7">
        <f t="shared" si="108"/>
        <v>0</v>
      </c>
      <c r="I1038" s="6">
        <f t="shared" si="114"/>
        <v>0</v>
      </c>
      <c r="J1038" s="7">
        <f t="shared" si="115"/>
        <v>0</v>
      </c>
      <c r="K1038" s="28">
        <v>0</v>
      </c>
      <c r="L1038" s="29">
        <v>0</v>
      </c>
      <c r="M1038" s="35"/>
      <c r="N1038" s="36"/>
      <c r="O1038" s="6">
        <f t="shared" si="116"/>
        <v>0</v>
      </c>
      <c r="P1038" s="7">
        <f t="shared" si="117"/>
        <v>0</v>
      </c>
      <c r="Q1038" s="59"/>
      <c r="R1038" s="2" t="str">
        <f t="shared" si="111"/>
        <v>68121|||0|0|0|0|</v>
      </c>
      <c r="S1038" s="25"/>
    </row>
    <row r="1039" spans="1:19" s="34" customFormat="1" ht="12.75" customHeight="1" x14ac:dyDescent="0.2">
      <c r="A1039" s="73" t="s">
        <v>267</v>
      </c>
      <c r="B1039" s="61" t="s">
        <v>2275</v>
      </c>
      <c r="C1039" s="37"/>
      <c r="D1039" s="38"/>
      <c r="E1039" s="28">
        <v>0</v>
      </c>
      <c r="F1039" s="29">
        <v>0</v>
      </c>
      <c r="G1039" s="6">
        <f t="shared" si="107"/>
        <v>0</v>
      </c>
      <c r="H1039" s="7">
        <f t="shared" si="108"/>
        <v>0</v>
      </c>
      <c r="I1039" s="6">
        <f t="shared" si="114"/>
        <v>0</v>
      </c>
      <c r="J1039" s="7">
        <f t="shared" si="115"/>
        <v>0</v>
      </c>
      <c r="K1039" s="28">
        <v>0</v>
      </c>
      <c r="L1039" s="29">
        <v>0</v>
      </c>
      <c r="M1039" s="35"/>
      <c r="N1039" s="36"/>
      <c r="O1039" s="6">
        <f t="shared" si="116"/>
        <v>0</v>
      </c>
      <c r="P1039" s="7">
        <f t="shared" si="117"/>
        <v>0</v>
      </c>
      <c r="Q1039" s="59"/>
      <c r="R1039" s="2" t="str">
        <f t="shared" si="111"/>
        <v>68131|||0|0|0|0|</v>
      </c>
      <c r="S1039" s="25"/>
    </row>
    <row r="1040" spans="1:19" s="34" customFormat="1" ht="12.75" customHeight="1" x14ac:dyDescent="0.2">
      <c r="A1040" s="73" t="s">
        <v>268</v>
      </c>
      <c r="B1040" s="61" t="s">
        <v>2276</v>
      </c>
      <c r="C1040" s="37"/>
      <c r="D1040" s="38"/>
      <c r="E1040" s="28">
        <v>0</v>
      </c>
      <c r="F1040" s="29">
        <v>0</v>
      </c>
      <c r="G1040" s="6">
        <f t="shared" si="107"/>
        <v>0</v>
      </c>
      <c r="H1040" s="7">
        <f t="shared" si="108"/>
        <v>0</v>
      </c>
      <c r="I1040" s="6">
        <f t="shared" si="114"/>
        <v>0</v>
      </c>
      <c r="J1040" s="7">
        <f t="shared" si="115"/>
        <v>0</v>
      </c>
      <c r="K1040" s="28">
        <v>0</v>
      </c>
      <c r="L1040" s="29">
        <v>0</v>
      </c>
      <c r="M1040" s="35"/>
      <c r="N1040" s="36"/>
      <c r="O1040" s="6">
        <f t="shared" si="116"/>
        <v>0</v>
      </c>
      <c r="P1040" s="7">
        <f t="shared" si="117"/>
        <v>0</v>
      </c>
      <c r="Q1040" s="59"/>
      <c r="R1040" s="2" t="str">
        <f t="shared" si="111"/>
        <v>68132|||0|0|0|0|</v>
      </c>
      <c r="S1040" s="25"/>
    </row>
    <row r="1041" spans="1:19" s="34" customFormat="1" ht="12.75" customHeight="1" x14ac:dyDescent="0.2">
      <c r="A1041" s="73" t="s">
        <v>269</v>
      </c>
      <c r="B1041" s="61" t="s">
        <v>2277</v>
      </c>
      <c r="C1041" s="37"/>
      <c r="D1041" s="38"/>
      <c r="E1041" s="28">
        <v>0</v>
      </c>
      <c r="F1041" s="29">
        <v>0</v>
      </c>
      <c r="G1041" s="6">
        <f t="shared" si="107"/>
        <v>0</v>
      </c>
      <c r="H1041" s="7">
        <f t="shared" si="108"/>
        <v>0</v>
      </c>
      <c r="I1041" s="6">
        <f t="shared" si="114"/>
        <v>0</v>
      </c>
      <c r="J1041" s="7">
        <f t="shared" si="115"/>
        <v>0</v>
      </c>
      <c r="K1041" s="28">
        <v>0</v>
      </c>
      <c r="L1041" s="29">
        <v>0</v>
      </c>
      <c r="M1041" s="35"/>
      <c r="N1041" s="36"/>
      <c r="O1041" s="6">
        <f t="shared" si="116"/>
        <v>0</v>
      </c>
      <c r="P1041" s="7">
        <f t="shared" si="117"/>
        <v>0</v>
      </c>
      <c r="Q1041" s="59"/>
      <c r="R1041" s="2" t="str">
        <f t="shared" si="111"/>
        <v>68133|||0|0|0|0|</v>
      </c>
      <c r="S1041" s="25"/>
    </row>
    <row r="1042" spans="1:19" s="34" customFormat="1" ht="12.75" customHeight="1" x14ac:dyDescent="0.2">
      <c r="A1042" s="73" t="s">
        <v>270</v>
      </c>
      <c r="B1042" s="61" t="s">
        <v>2278</v>
      </c>
      <c r="C1042" s="37"/>
      <c r="D1042" s="38"/>
      <c r="E1042" s="28">
        <v>0</v>
      </c>
      <c r="F1042" s="29">
        <v>0</v>
      </c>
      <c r="G1042" s="6">
        <f t="shared" si="107"/>
        <v>0</v>
      </c>
      <c r="H1042" s="7">
        <f t="shared" si="108"/>
        <v>0</v>
      </c>
      <c r="I1042" s="6">
        <f t="shared" si="114"/>
        <v>0</v>
      </c>
      <c r="J1042" s="7">
        <f t="shared" si="115"/>
        <v>0</v>
      </c>
      <c r="K1042" s="28">
        <v>0</v>
      </c>
      <c r="L1042" s="29">
        <v>0</v>
      </c>
      <c r="M1042" s="35"/>
      <c r="N1042" s="36"/>
      <c r="O1042" s="6">
        <f t="shared" si="116"/>
        <v>0</v>
      </c>
      <c r="P1042" s="7">
        <f t="shared" si="117"/>
        <v>0</v>
      </c>
      <c r="Q1042" s="59"/>
      <c r="R1042" s="2" t="str">
        <f t="shared" si="111"/>
        <v>68134|||0|0|0|0|</v>
      </c>
      <c r="S1042" s="25"/>
    </row>
    <row r="1043" spans="1:19" s="34" customFormat="1" ht="12.75" customHeight="1" x14ac:dyDescent="0.2">
      <c r="A1043" s="73" t="s">
        <v>271</v>
      </c>
      <c r="B1043" s="61" t="s">
        <v>2279</v>
      </c>
      <c r="C1043" s="37"/>
      <c r="D1043" s="38"/>
      <c r="E1043" s="28">
        <v>0</v>
      </c>
      <c r="F1043" s="29">
        <v>0</v>
      </c>
      <c r="G1043" s="6">
        <f t="shared" si="107"/>
        <v>0</v>
      </c>
      <c r="H1043" s="7">
        <f t="shared" si="108"/>
        <v>0</v>
      </c>
      <c r="I1043" s="6">
        <f t="shared" si="114"/>
        <v>0</v>
      </c>
      <c r="J1043" s="7">
        <f t="shared" si="115"/>
        <v>0</v>
      </c>
      <c r="K1043" s="28">
        <v>0</v>
      </c>
      <c r="L1043" s="29">
        <v>0</v>
      </c>
      <c r="M1043" s="35"/>
      <c r="N1043" s="36"/>
      <c r="O1043" s="6">
        <f t="shared" si="116"/>
        <v>0</v>
      </c>
      <c r="P1043" s="7">
        <f t="shared" si="117"/>
        <v>0</v>
      </c>
      <c r="Q1043" s="59"/>
      <c r="R1043" s="2" t="str">
        <f t="shared" si="111"/>
        <v>68141|||0|0|0|0|</v>
      </c>
      <c r="S1043" s="25"/>
    </row>
    <row r="1044" spans="1:19" s="34" customFormat="1" ht="12.75" customHeight="1" x14ac:dyDescent="0.2">
      <c r="A1044" s="73" t="s">
        <v>272</v>
      </c>
      <c r="B1044" s="61" t="s">
        <v>2280</v>
      </c>
      <c r="C1044" s="37"/>
      <c r="D1044" s="38"/>
      <c r="E1044" s="28">
        <v>0</v>
      </c>
      <c r="F1044" s="29">
        <v>0</v>
      </c>
      <c r="G1044" s="6">
        <f t="shared" si="107"/>
        <v>0</v>
      </c>
      <c r="H1044" s="7">
        <f t="shared" si="108"/>
        <v>0</v>
      </c>
      <c r="I1044" s="6">
        <f t="shared" si="114"/>
        <v>0</v>
      </c>
      <c r="J1044" s="7">
        <f t="shared" si="115"/>
        <v>0</v>
      </c>
      <c r="K1044" s="28">
        <v>0</v>
      </c>
      <c r="L1044" s="29">
        <v>0</v>
      </c>
      <c r="M1044" s="35"/>
      <c r="N1044" s="36"/>
      <c r="O1044" s="6">
        <f t="shared" si="116"/>
        <v>0</v>
      </c>
      <c r="P1044" s="7">
        <f t="shared" si="117"/>
        <v>0</v>
      </c>
      <c r="Q1044" s="59"/>
      <c r="R1044" s="2" t="str">
        <f t="shared" si="111"/>
        <v>68142|||0|0|0|0|</v>
      </c>
      <c r="S1044" s="25"/>
    </row>
    <row r="1045" spans="1:19" s="34" customFormat="1" ht="12.75" customHeight="1" x14ac:dyDescent="0.2">
      <c r="A1045" s="73" t="s">
        <v>273</v>
      </c>
      <c r="B1045" s="61" t="s">
        <v>2281</v>
      </c>
      <c r="C1045" s="37"/>
      <c r="D1045" s="38"/>
      <c r="E1045" s="28">
        <v>0</v>
      </c>
      <c r="F1045" s="29">
        <v>0</v>
      </c>
      <c r="G1045" s="6">
        <f t="shared" si="107"/>
        <v>0</v>
      </c>
      <c r="H1045" s="7">
        <f t="shared" si="108"/>
        <v>0</v>
      </c>
      <c r="I1045" s="6">
        <f t="shared" si="114"/>
        <v>0</v>
      </c>
      <c r="J1045" s="7">
        <f t="shared" si="115"/>
        <v>0</v>
      </c>
      <c r="K1045" s="28">
        <v>0</v>
      </c>
      <c r="L1045" s="29">
        <v>0</v>
      </c>
      <c r="M1045" s="35"/>
      <c r="N1045" s="36"/>
      <c r="O1045" s="6">
        <f t="shared" si="116"/>
        <v>0</v>
      </c>
      <c r="P1045" s="7">
        <f t="shared" si="117"/>
        <v>0</v>
      </c>
      <c r="Q1045" s="59"/>
      <c r="R1045" s="2" t="str">
        <f t="shared" si="111"/>
        <v>68143|||0|0|0|0|</v>
      </c>
      <c r="S1045" s="25"/>
    </row>
    <row r="1046" spans="1:19" s="34" customFormat="1" ht="12.75" customHeight="1" x14ac:dyDescent="0.2">
      <c r="A1046" s="73" t="s">
        <v>274</v>
      </c>
      <c r="B1046" s="61" t="s">
        <v>2282</v>
      </c>
      <c r="C1046" s="37"/>
      <c r="D1046" s="38"/>
      <c r="E1046" s="28">
        <v>0</v>
      </c>
      <c r="F1046" s="29">
        <v>0</v>
      </c>
      <c r="G1046" s="6">
        <f t="shared" si="107"/>
        <v>0</v>
      </c>
      <c r="H1046" s="7">
        <f t="shared" si="108"/>
        <v>0</v>
      </c>
      <c r="I1046" s="6">
        <f t="shared" si="114"/>
        <v>0</v>
      </c>
      <c r="J1046" s="7">
        <f t="shared" si="115"/>
        <v>0</v>
      </c>
      <c r="K1046" s="28">
        <v>0</v>
      </c>
      <c r="L1046" s="29">
        <v>0</v>
      </c>
      <c r="M1046" s="35"/>
      <c r="N1046" s="36"/>
      <c r="O1046" s="6">
        <f t="shared" si="116"/>
        <v>0</v>
      </c>
      <c r="P1046" s="7">
        <f t="shared" si="117"/>
        <v>0</v>
      </c>
      <c r="Q1046" s="59"/>
      <c r="R1046" s="2" t="str">
        <f t="shared" si="111"/>
        <v>68144|||0|0|0|0|</v>
      </c>
      <c r="S1046" s="25"/>
    </row>
    <row r="1047" spans="1:19" s="34" customFormat="1" ht="12.75" customHeight="1" x14ac:dyDescent="0.2">
      <c r="A1047" s="73" t="s">
        <v>275</v>
      </c>
      <c r="B1047" s="61" t="s">
        <v>2283</v>
      </c>
      <c r="C1047" s="37"/>
      <c r="D1047" s="38"/>
      <c r="E1047" s="28">
        <v>0</v>
      </c>
      <c r="F1047" s="29">
        <v>0</v>
      </c>
      <c r="G1047" s="6">
        <f t="shared" si="107"/>
        <v>0</v>
      </c>
      <c r="H1047" s="7">
        <f t="shared" si="108"/>
        <v>0</v>
      </c>
      <c r="I1047" s="6">
        <f t="shared" si="114"/>
        <v>0</v>
      </c>
      <c r="J1047" s="7">
        <f t="shared" si="115"/>
        <v>0</v>
      </c>
      <c r="K1047" s="28">
        <v>0</v>
      </c>
      <c r="L1047" s="29">
        <v>0</v>
      </c>
      <c r="M1047" s="35"/>
      <c r="N1047" s="36"/>
      <c r="O1047" s="6">
        <f t="shared" si="116"/>
        <v>0</v>
      </c>
      <c r="P1047" s="7">
        <f t="shared" si="117"/>
        <v>0</v>
      </c>
      <c r="Q1047" s="59"/>
      <c r="R1047" s="2" t="str">
        <f t="shared" si="111"/>
        <v>68145|||0|0|0|0|</v>
      </c>
      <c r="S1047" s="25"/>
    </row>
    <row r="1048" spans="1:19" s="34" customFormat="1" ht="12.75" customHeight="1" x14ac:dyDescent="0.2">
      <c r="A1048" s="73" t="s">
        <v>276</v>
      </c>
      <c r="B1048" s="61" t="s">
        <v>2284</v>
      </c>
      <c r="C1048" s="37"/>
      <c r="D1048" s="38"/>
      <c r="E1048" s="28">
        <v>0</v>
      </c>
      <c r="F1048" s="29">
        <v>0</v>
      </c>
      <c r="G1048" s="6">
        <f t="shared" si="107"/>
        <v>0</v>
      </c>
      <c r="H1048" s="7">
        <f t="shared" si="108"/>
        <v>0</v>
      </c>
      <c r="I1048" s="6">
        <f t="shared" si="114"/>
        <v>0</v>
      </c>
      <c r="J1048" s="7">
        <f t="shared" si="115"/>
        <v>0</v>
      </c>
      <c r="K1048" s="28">
        <v>0</v>
      </c>
      <c r="L1048" s="29">
        <v>0</v>
      </c>
      <c r="M1048" s="35"/>
      <c r="N1048" s="36"/>
      <c r="O1048" s="6">
        <f t="shared" si="116"/>
        <v>0</v>
      </c>
      <c r="P1048" s="7">
        <f t="shared" si="117"/>
        <v>0</v>
      </c>
      <c r="Q1048" s="59"/>
      <c r="R1048" s="2" t="str">
        <f t="shared" si="111"/>
        <v>68146|||0|0|0|0|</v>
      </c>
      <c r="S1048" s="25"/>
    </row>
    <row r="1049" spans="1:19" s="34" customFormat="1" ht="12.75" customHeight="1" x14ac:dyDescent="0.2">
      <c r="A1049" s="73" t="s">
        <v>277</v>
      </c>
      <c r="B1049" s="61" t="s">
        <v>2285</v>
      </c>
      <c r="C1049" s="37"/>
      <c r="D1049" s="38"/>
      <c r="E1049" s="28">
        <v>0</v>
      </c>
      <c r="F1049" s="29">
        <v>0</v>
      </c>
      <c r="G1049" s="6">
        <f t="shared" si="107"/>
        <v>0</v>
      </c>
      <c r="H1049" s="7">
        <f t="shared" si="108"/>
        <v>0</v>
      </c>
      <c r="I1049" s="6">
        <f t="shared" si="114"/>
        <v>0</v>
      </c>
      <c r="J1049" s="7">
        <f t="shared" si="115"/>
        <v>0</v>
      </c>
      <c r="K1049" s="28">
        <v>0</v>
      </c>
      <c r="L1049" s="29">
        <v>0</v>
      </c>
      <c r="M1049" s="35"/>
      <c r="N1049" s="36"/>
      <c r="O1049" s="6">
        <f t="shared" si="116"/>
        <v>0</v>
      </c>
      <c r="P1049" s="7">
        <f t="shared" si="117"/>
        <v>0</v>
      </c>
      <c r="Q1049" s="59"/>
      <c r="R1049" s="2" t="str">
        <f t="shared" si="111"/>
        <v>68151|||0|0|0|0|</v>
      </c>
      <c r="S1049" s="25"/>
    </row>
    <row r="1050" spans="1:19" s="34" customFormat="1" ht="12.75" customHeight="1" x14ac:dyDescent="0.2">
      <c r="A1050" s="72" t="s">
        <v>278</v>
      </c>
      <c r="B1050" s="61" t="s">
        <v>2286</v>
      </c>
      <c r="C1050" s="37"/>
      <c r="D1050" s="38"/>
      <c r="E1050" s="28">
        <v>0</v>
      </c>
      <c r="F1050" s="29">
        <v>0</v>
      </c>
      <c r="G1050" s="6">
        <f t="shared" si="107"/>
        <v>0</v>
      </c>
      <c r="H1050" s="7">
        <f t="shared" si="108"/>
        <v>0</v>
      </c>
      <c r="I1050" s="6">
        <f t="shared" si="114"/>
        <v>0</v>
      </c>
      <c r="J1050" s="7">
        <f t="shared" si="115"/>
        <v>0</v>
      </c>
      <c r="K1050" s="28">
        <v>0</v>
      </c>
      <c r="L1050" s="29">
        <v>0</v>
      </c>
      <c r="M1050" s="35"/>
      <c r="N1050" s="36"/>
      <c r="O1050" s="6">
        <f t="shared" si="116"/>
        <v>0</v>
      </c>
      <c r="P1050" s="7">
        <f t="shared" si="117"/>
        <v>0</v>
      </c>
      <c r="Q1050" s="59"/>
      <c r="R1050" s="2" t="str">
        <f t="shared" si="111"/>
        <v>68152|||0|0|0|0|</v>
      </c>
      <c r="S1050" s="25"/>
    </row>
    <row r="1051" spans="1:19" s="34" customFormat="1" ht="12.75" customHeight="1" x14ac:dyDescent="0.2">
      <c r="A1051" s="72" t="s">
        <v>279</v>
      </c>
      <c r="B1051" s="61" t="s">
        <v>2287</v>
      </c>
      <c r="C1051" s="37"/>
      <c r="D1051" s="38"/>
      <c r="E1051" s="28">
        <v>0</v>
      </c>
      <c r="F1051" s="29">
        <v>0</v>
      </c>
      <c r="G1051" s="6">
        <f t="shared" si="107"/>
        <v>0</v>
      </c>
      <c r="H1051" s="7">
        <f t="shared" si="108"/>
        <v>0</v>
      </c>
      <c r="I1051" s="6">
        <f t="shared" si="114"/>
        <v>0</v>
      </c>
      <c r="J1051" s="7">
        <f t="shared" si="115"/>
        <v>0</v>
      </c>
      <c r="K1051" s="28">
        <v>0</v>
      </c>
      <c r="L1051" s="29">
        <v>0</v>
      </c>
      <c r="M1051" s="35"/>
      <c r="N1051" s="36"/>
      <c r="O1051" s="6">
        <f t="shared" si="116"/>
        <v>0</v>
      </c>
      <c r="P1051" s="7">
        <f t="shared" si="117"/>
        <v>0</v>
      </c>
      <c r="Q1051" s="59"/>
      <c r="R1051" s="2" t="str">
        <f t="shared" si="111"/>
        <v>68153|||0|0|0|0|</v>
      </c>
      <c r="S1051" s="25"/>
    </row>
    <row r="1052" spans="1:19" s="34" customFormat="1" ht="12.75" customHeight="1" x14ac:dyDescent="0.2">
      <c r="A1052" s="72" t="s">
        <v>280</v>
      </c>
      <c r="B1052" s="61" t="s">
        <v>2288</v>
      </c>
      <c r="C1052" s="37"/>
      <c r="D1052" s="38"/>
      <c r="E1052" s="28">
        <v>0</v>
      </c>
      <c r="F1052" s="29">
        <v>0</v>
      </c>
      <c r="G1052" s="6">
        <f t="shared" si="107"/>
        <v>0</v>
      </c>
      <c r="H1052" s="7">
        <f t="shared" si="108"/>
        <v>0</v>
      </c>
      <c r="I1052" s="6">
        <f t="shared" si="114"/>
        <v>0</v>
      </c>
      <c r="J1052" s="7">
        <f t="shared" si="115"/>
        <v>0</v>
      </c>
      <c r="K1052" s="28">
        <v>0</v>
      </c>
      <c r="L1052" s="29">
        <v>0</v>
      </c>
      <c r="M1052" s="35"/>
      <c r="N1052" s="36"/>
      <c r="O1052" s="6">
        <f t="shared" si="116"/>
        <v>0</v>
      </c>
      <c r="P1052" s="7">
        <f t="shared" si="117"/>
        <v>0</v>
      </c>
      <c r="Q1052" s="59"/>
      <c r="R1052" s="2" t="str">
        <f t="shared" si="111"/>
        <v>68154|||0|0|0|0|</v>
      </c>
      <c r="S1052" s="25"/>
    </row>
    <row r="1053" spans="1:19" s="34" customFormat="1" ht="12.75" customHeight="1" x14ac:dyDescent="0.2">
      <c r="A1053" s="72" t="s">
        <v>281</v>
      </c>
      <c r="B1053" s="61" t="s">
        <v>2289</v>
      </c>
      <c r="C1053" s="37"/>
      <c r="D1053" s="38"/>
      <c r="E1053" s="28">
        <v>0</v>
      </c>
      <c r="F1053" s="29">
        <v>0</v>
      </c>
      <c r="G1053" s="6">
        <f t="shared" si="107"/>
        <v>0</v>
      </c>
      <c r="H1053" s="7">
        <f t="shared" si="108"/>
        <v>0</v>
      </c>
      <c r="I1053" s="6">
        <f t="shared" si="114"/>
        <v>0</v>
      </c>
      <c r="J1053" s="7">
        <f t="shared" si="115"/>
        <v>0</v>
      </c>
      <c r="K1053" s="28">
        <v>0</v>
      </c>
      <c r="L1053" s="29">
        <v>0</v>
      </c>
      <c r="M1053" s="35"/>
      <c r="N1053" s="36"/>
      <c r="O1053" s="6">
        <f t="shared" si="116"/>
        <v>0</v>
      </c>
      <c r="P1053" s="7">
        <f t="shared" si="117"/>
        <v>0</v>
      </c>
      <c r="Q1053" s="59"/>
      <c r="R1053" s="2" t="str">
        <f t="shared" si="111"/>
        <v>68155|||0|0|0|0|</v>
      </c>
      <c r="S1053" s="25"/>
    </row>
    <row r="1054" spans="1:19" s="34" customFormat="1" ht="12.75" customHeight="1" x14ac:dyDescent="0.2">
      <c r="A1054" s="72" t="s">
        <v>366</v>
      </c>
      <c r="B1054" s="61" t="s">
        <v>2290</v>
      </c>
      <c r="C1054" s="37"/>
      <c r="D1054" s="38"/>
      <c r="E1054" s="28">
        <v>0</v>
      </c>
      <c r="F1054" s="29">
        <v>0</v>
      </c>
      <c r="G1054" s="6">
        <f t="shared" si="107"/>
        <v>0</v>
      </c>
      <c r="H1054" s="7">
        <f t="shared" si="108"/>
        <v>0</v>
      </c>
      <c r="I1054" s="6">
        <f t="shared" si="114"/>
        <v>0</v>
      </c>
      <c r="J1054" s="7">
        <f t="shared" si="115"/>
        <v>0</v>
      </c>
      <c r="K1054" s="28">
        <v>0</v>
      </c>
      <c r="L1054" s="29">
        <v>0</v>
      </c>
      <c r="M1054" s="35"/>
      <c r="N1054" s="36"/>
      <c r="O1054" s="6">
        <f t="shared" si="116"/>
        <v>0</v>
      </c>
      <c r="P1054" s="7">
        <f t="shared" si="117"/>
        <v>0</v>
      </c>
      <c r="Q1054" s="59"/>
      <c r="R1054" s="2" t="str">
        <f t="shared" si="111"/>
        <v>68156|||0|0|0|0|</v>
      </c>
      <c r="S1054" s="25"/>
    </row>
    <row r="1055" spans="1:19" s="34" customFormat="1" ht="12.75" customHeight="1" x14ac:dyDescent="0.2">
      <c r="A1055" s="72" t="s">
        <v>367</v>
      </c>
      <c r="B1055" s="61" t="s">
        <v>2291</v>
      </c>
      <c r="C1055" s="37"/>
      <c r="D1055" s="38"/>
      <c r="E1055" s="28">
        <v>0</v>
      </c>
      <c r="F1055" s="29">
        <v>0</v>
      </c>
      <c r="G1055" s="6">
        <f t="shared" ref="G1055:G1118" si="122">+E1055</f>
        <v>0</v>
      </c>
      <c r="H1055" s="7">
        <f t="shared" ref="H1055:H1118" si="123">+F1055</f>
        <v>0</v>
      </c>
      <c r="I1055" s="6">
        <f t="shared" si="114"/>
        <v>0</v>
      </c>
      <c r="J1055" s="7">
        <f t="shared" si="115"/>
        <v>0</v>
      </c>
      <c r="K1055" s="28">
        <v>0</v>
      </c>
      <c r="L1055" s="29">
        <v>0</v>
      </c>
      <c r="M1055" s="35"/>
      <c r="N1055" s="36"/>
      <c r="O1055" s="6">
        <f t="shared" si="116"/>
        <v>0</v>
      </c>
      <c r="P1055" s="7">
        <f t="shared" si="117"/>
        <v>0</v>
      </c>
      <c r="Q1055" s="59"/>
      <c r="R1055" s="2" t="str">
        <f t="shared" si="111"/>
        <v>68161|||0|0|0|0|</v>
      </c>
      <c r="S1055" s="25"/>
    </row>
    <row r="1056" spans="1:19" s="34" customFormat="1" ht="12.75" customHeight="1" x14ac:dyDescent="0.2">
      <c r="A1056" s="72" t="s">
        <v>368</v>
      </c>
      <c r="B1056" s="61" t="s">
        <v>2292</v>
      </c>
      <c r="C1056" s="37"/>
      <c r="D1056" s="38"/>
      <c r="E1056" s="28">
        <v>0</v>
      </c>
      <c r="F1056" s="29">
        <v>0</v>
      </c>
      <c r="G1056" s="6">
        <f t="shared" si="122"/>
        <v>0</v>
      </c>
      <c r="H1056" s="7">
        <f t="shared" si="123"/>
        <v>0</v>
      </c>
      <c r="I1056" s="6">
        <f t="shared" si="114"/>
        <v>0</v>
      </c>
      <c r="J1056" s="7">
        <f t="shared" si="115"/>
        <v>0</v>
      </c>
      <c r="K1056" s="28">
        <v>0</v>
      </c>
      <c r="L1056" s="29">
        <v>0</v>
      </c>
      <c r="M1056" s="35"/>
      <c r="N1056" s="36"/>
      <c r="O1056" s="6">
        <f t="shared" si="116"/>
        <v>0</v>
      </c>
      <c r="P1056" s="7">
        <f t="shared" si="117"/>
        <v>0</v>
      </c>
      <c r="Q1056" s="59"/>
      <c r="R1056" s="2" t="str">
        <f t="shared" si="111"/>
        <v>68162|||0|0|0|0|</v>
      </c>
      <c r="S1056" s="25"/>
    </row>
    <row r="1057" spans="1:19" s="34" customFormat="1" ht="12.75" customHeight="1" x14ac:dyDescent="0.2">
      <c r="A1057" s="72" t="s">
        <v>369</v>
      </c>
      <c r="B1057" s="61" t="s">
        <v>2293</v>
      </c>
      <c r="C1057" s="37"/>
      <c r="D1057" s="38"/>
      <c r="E1057" s="28">
        <v>0</v>
      </c>
      <c r="F1057" s="29">
        <v>0</v>
      </c>
      <c r="G1057" s="6">
        <f t="shared" si="122"/>
        <v>0</v>
      </c>
      <c r="H1057" s="7">
        <f t="shared" si="123"/>
        <v>0</v>
      </c>
      <c r="I1057" s="6">
        <f t="shared" si="114"/>
        <v>0</v>
      </c>
      <c r="J1057" s="7">
        <f t="shared" si="115"/>
        <v>0</v>
      </c>
      <c r="K1057" s="28">
        <v>0</v>
      </c>
      <c r="L1057" s="29">
        <v>0</v>
      </c>
      <c r="M1057" s="35"/>
      <c r="N1057" s="36"/>
      <c r="O1057" s="6">
        <f t="shared" si="116"/>
        <v>0</v>
      </c>
      <c r="P1057" s="7">
        <f t="shared" si="117"/>
        <v>0</v>
      </c>
      <c r="Q1057" s="59"/>
      <c r="R1057" s="2" t="str">
        <f t="shared" si="111"/>
        <v>68171|||0|0|0|0|</v>
      </c>
      <c r="S1057" s="25"/>
    </row>
    <row r="1058" spans="1:19" s="34" customFormat="1" ht="12.75" customHeight="1" x14ac:dyDescent="0.2">
      <c r="A1058" s="72" t="s">
        <v>370</v>
      </c>
      <c r="B1058" s="61" t="s">
        <v>2294</v>
      </c>
      <c r="C1058" s="37"/>
      <c r="D1058" s="38"/>
      <c r="E1058" s="28">
        <v>0</v>
      </c>
      <c r="F1058" s="29">
        <v>0</v>
      </c>
      <c r="G1058" s="6">
        <f t="shared" si="122"/>
        <v>0</v>
      </c>
      <c r="H1058" s="7">
        <f t="shared" si="123"/>
        <v>0</v>
      </c>
      <c r="I1058" s="6">
        <f t="shared" si="114"/>
        <v>0</v>
      </c>
      <c r="J1058" s="7">
        <f t="shared" si="115"/>
        <v>0</v>
      </c>
      <c r="K1058" s="28">
        <v>0</v>
      </c>
      <c r="L1058" s="29">
        <v>0</v>
      </c>
      <c r="M1058" s="35"/>
      <c r="N1058" s="36"/>
      <c r="O1058" s="6">
        <f t="shared" si="116"/>
        <v>0</v>
      </c>
      <c r="P1058" s="7">
        <f t="shared" si="117"/>
        <v>0</v>
      </c>
      <c r="Q1058" s="59"/>
      <c r="R1058" s="2" t="str">
        <f t="shared" si="111"/>
        <v>68172|||0|0|0|0|</v>
      </c>
      <c r="S1058" s="25"/>
    </row>
    <row r="1059" spans="1:19" s="34" customFormat="1" ht="12.75" customHeight="1" x14ac:dyDescent="0.2">
      <c r="A1059" s="72" t="s">
        <v>371</v>
      </c>
      <c r="B1059" s="61" t="s">
        <v>2295</v>
      </c>
      <c r="C1059" s="37"/>
      <c r="D1059" s="38"/>
      <c r="E1059" s="28">
        <v>0</v>
      </c>
      <c r="F1059" s="29">
        <v>0</v>
      </c>
      <c r="G1059" s="6">
        <f t="shared" si="122"/>
        <v>0</v>
      </c>
      <c r="H1059" s="7">
        <f t="shared" si="123"/>
        <v>0</v>
      </c>
      <c r="I1059" s="6">
        <f t="shared" si="114"/>
        <v>0</v>
      </c>
      <c r="J1059" s="7">
        <f t="shared" si="115"/>
        <v>0</v>
      </c>
      <c r="K1059" s="28">
        <v>0</v>
      </c>
      <c r="L1059" s="29">
        <v>0</v>
      </c>
      <c r="M1059" s="35"/>
      <c r="N1059" s="36"/>
      <c r="O1059" s="6">
        <f t="shared" si="116"/>
        <v>0</v>
      </c>
      <c r="P1059" s="7">
        <f t="shared" si="117"/>
        <v>0</v>
      </c>
      <c r="Q1059" s="59"/>
      <c r="R1059" s="2" t="str">
        <f t="shared" si="111"/>
        <v>68181|||0|0|0|0|</v>
      </c>
      <c r="S1059" s="25"/>
    </row>
    <row r="1060" spans="1:19" s="34" customFormat="1" ht="12.75" customHeight="1" x14ac:dyDescent="0.2">
      <c r="A1060" s="72" t="s">
        <v>372</v>
      </c>
      <c r="B1060" s="61" t="s">
        <v>2296</v>
      </c>
      <c r="C1060" s="37"/>
      <c r="D1060" s="38"/>
      <c r="E1060" s="28">
        <v>0</v>
      </c>
      <c r="F1060" s="29">
        <v>0</v>
      </c>
      <c r="G1060" s="6">
        <f t="shared" si="122"/>
        <v>0</v>
      </c>
      <c r="H1060" s="7">
        <f t="shared" si="123"/>
        <v>0</v>
      </c>
      <c r="I1060" s="6">
        <f t="shared" si="114"/>
        <v>0</v>
      </c>
      <c r="J1060" s="7">
        <f t="shared" si="115"/>
        <v>0</v>
      </c>
      <c r="K1060" s="28">
        <v>0</v>
      </c>
      <c r="L1060" s="29">
        <v>0</v>
      </c>
      <c r="M1060" s="35"/>
      <c r="N1060" s="36"/>
      <c r="O1060" s="6">
        <f t="shared" si="116"/>
        <v>0</v>
      </c>
      <c r="P1060" s="7">
        <f t="shared" si="117"/>
        <v>0</v>
      </c>
      <c r="Q1060" s="59"/>
      <c r="R1060" s="2" t="str">
        <f t="shared" si="111"/>
        <v>68182|||0|0|0|0|</v>
      </c>
      <c r="S1060" s="25"/>
    </row>
    <row r="1061" spans="1:19" s="34" customFormat="1" ht="12.75" customHeight="1" x14ac:dyDescent="0.2">
      <c r="A1061" s="72" t="s">
        <v>373</v>
      </c>
      <c r="B1061" s="61" t="s">
        <v>2297</v>
      </c>
      <c r="C1061" s="37"/>
      <c r="D1061" s="38"/>
      <c r="E1061" s="28">
        <v>0</v>
      </c>
      <c r="F1061" s="29">
        <v>0</v>
      </c>
      <c r="G1061" s="6">
        <f t="shared" si="122"/>
        <v>0</v>
      </c>
      <c r="H1061" s="7">
        <f t="shared" si="123"/>
        <v>0</v>
      </c>
      <c r="I1061" s="6">
        <f t="shared" si="114"/>
        <v>0</v>
      </c>
      <c r="J1061" s="7">
        <f t="shared" si="115"/>
        <v>0</v>
      </c>
      <c r="K1061" s="28">
        <v>0</v>
      </c>
      <c r="L1061" s="29">
        <v>0</v>
      </c>
      <c r="M1061" s="35"/>
      <c r="N1061" s="36"/>
      <c r="O1061" s="6">
        <f t="shared" si="116"/>
        <v>0</v>
      </c>
      <c r="P1061" s="7">
        <f t="shared" si="117"/>
        <v>0</v>
      </c>
      <c r="Q1061" s="59"/>
      <c r="R1061" s="2" t="str">
        <f t="shared" ref="R1061:R1124" si="124">CONCATENATE(A1061,"|",C1061,"|",D1061,"|",E1061,"|",F1061,"|",K1061,"|",L1061,"|")</f>
        <v>68211|||0|0|0|0|</v>
      </c>
      <c r="S1061" s="25"/>
    </row>
    <row r="1062" spans="1:19" s="34" customFormat="1" ht="12.75" customHeight="1" x14ac:dyDescent="0.2">
      <c r="A1062" s="72" t="s">
        <v>374</v>
      </c>
      <c r="B1062" s="61" t="s">
        <v>2298</v>
      </c>
      <c r="C1062" s="37"/>
      <c r="D1062" s="38"/>
      <c r="E1062" s="28">
        <v>0</v>
      </c>
      <c r="F1062" s="29">
        <v>0</v>
      </c>
      <c r="G1062" s="6">
        <f t="shared" si="122"/>
        <v>0</v>
      </c>
      <c r="H1062" s="7">
        <f t="shared" si="123"/>
        <v>0</v>
      </c>
      <c r="I1062" s="6">
        <f t="shared" si="114"/>
        <v>0</v>
      </c>
      <c r="J1062" s="7">
        <f t="shared" si="115"/>
        <v>0</v>
      </c>
      <c r="K1062" s="28">
        <v>0</v>
      </c>
      <c r="L1062" s="29">
        <v>0</v>
      </c>
      <c r="M1062" s="35"/>
      <c r="N1062" s="36"/>
      <c r="O1062" s="6">
        <f t="shared" si="116"/>
        <v>0</v>
      </c>
      <c r="P1062" s="7">
        <f t="shared" si="117"/>
        <v>0</v>
      </c>
      <c r="Q1062" s="59"/>
      <c r="R1062" s="2" t="str">
        <f t="shared" si="124"/>
        <v>68212|||0|0|0|0|</v>
      </c>
      <c r="S1062" s="25"/>
    </row>
    <row r="1063" spans="1:19" s="34" customFormat="1" ht="12.75" customHeight="1" x14ac:dyDescent="0.2">
      <c r="A1063" s="72" t="s">
        <v>375</v>
      </c>
      <c r="B1063" s="61" t="s">
        <v>2299</v>
      </c>
      <c r="C1063" s="37"/>
      <c r="D1063" s="38"/>
      <c r="E1063" s="28">
        <v>0</v>
      </c>
      <c r="F1063" s="29">
        <v>0</v>
      </c>
      <c r="G1063" s="6">
        <f t="shared" si="122"/>
        <v>0</v>
      </c>
      <c r="H1063" s="7">
        <f t="shared" si="123"/>
        <v>0</v>
      </c>
      <c r="I1063" s="6">
        <f t="shared" si="114"/>
        <v>0</v>
      </c>
      <c r="J1063" s="7">
        <f t="shared" si="115"/>
        <v>0</v>
      </c>
      <c r="K1063" s="28">
        <v>0</v>
      </c>
      <c r="L1063" s="29">
        <v>0</v>
      </c>
      <c r="M1063" s="35"/>
      <c r="N1063" s="36"/>
      <c r="O1063" s="6">
        <f t="shared" si="116"/>
        <v>0</v>
      </c>
      <c r="P1063" s="7">
        <f t="shared" si="117"/>
        <v>0</v>
      </c>
      <c r="Q1063" s="59"/>
      <c r="R1063" s="2" t="str">
        <f t="shared" si="124"/>
        <v>68213|||0|0|0|0|</v>
      </c>
      <c r="S1063" s="25"/>
    </row>
    <row r="1064" spans="1:19" s="34" customFormat="1" ht="12.75" customHeight="1" x14ac:dyDescent="0.2">
      <c r="A1064" s="72" t="s">
        <v>376</v>
      </c>
      <c r="B1064" s="61" t="s">
        <v>2300</v>
      </c>
      <c r="C1064" s="37"/>
      <c r="D1064" s="38"/>
      <c r="E1064" s="28">
        <v>0</v>
      </c>
      <c r="F1064" s="29">
        <v>0</v>
      </c>
      <c r="G1064" s="6">
        <f t="shared" si="122"/>
        <v>0</v>
      </c>
      <c r="H1064" s="7">
        <f t="shared" si="123"/>
        <v>0</v>
      </c>
      <c r="I1064" s="6">
        <f t="shared" si="114"/>
        <v>0</v>
      </c>
      <c r="J1064" s="7">
        <f t="shared" si="115"/>
        <v>0</v>
      </c>
      <c r="K1064" s="28">
        <v>0</v>
      </c>
      <c r="L1064" s="29">
        <v>0</v>
      </c>
      <c r="M1064" s="35"/>
      <c r="N1064" s="36"/>
      <c r="O1064" s="6">
        <f t="shared" si="116"/>
        <v>0</v>
      </c>
      <c r="P1064" s="7">
        <f t="shared" si="117"/>
        <v>0</v>
      </c>
      <c r="Q1064" s="59"/>
      <c r="R1064" s="2" t="str">
        <f t="shared" si="124"/>
        <v>68214|||0|0|0|0|</v>
      </c>
      <c r="S1064" s="25"/>
    </row>
    <row r="1065" spans="1:19" s="34" customFormat="1" ht="12.75" customHeight="1" x14ac:dyDescent="0.2">
      <c r="A1065" s="72" t="s">
        <v>377</v>
      </c>
      <c r="B1065" s="61" t="s">
        <v>2301</v>
      </c>
      <c r="C1065" s="37"/>
      <c r="D1065" s="38"/>
      <c r="E1065" s="28">
        <v>0</v>
      </c>
      <c r="F1065" s="29">
        <v>0</v>
      </c>
      <c r="G1065" s="6">
        <f t="shared" si="122"/>
        <v>0</v>
      </c>
      <c r="H1065" s="7">
        <f t="shared" si="123"/>
        <v>0</v>
      </c>
      <c r="I1065" s="6">
        <f t="shared" si="114"/>
        <v>0</v>
      </c>
      <c r="J1065" s="7">
        <f t="shared" si="115"/>
        <v>0</v>
      </c>
      <c r="K1065" s="28">
        <v>0</v>
      </c>
      <c r="L1065" s="29">
        <v>0</v>
      </c>
      <c r="M1065" s="35"/>
      <c r="N1065" s="36"/>
      <c r="O1065" s="6">
        <f t="shared" si="116"/>
        <v>0</v>
      </c>
      <c r="P1065" s="7">
        <f t="shared" si="117"/>
        <v>0</v>
      </c>
      <c r="Q1065" s="59"/>
      <c r="R1065" s="2" t="str">
        <f t="shared" si="124"/>
        <v>68215|||0|0|0|0|</v>
      </c>
      <c r="S1065" s="25"/>
    </row>
    <row r="1066" spans="1:19" s="34" customFormat="1" ht="12.75" customHeight="1" x14ac:dyDescent="0.2">
      <c r="A1066" s="72" t="s">
        <v>378</v>
      </c>
      <c r="B1066" s="61" t="s">
        <v>2302</v>
      </c>
      <c r="C1066" s="37"/>
      <c r="D1066" s="38"/>
      <c r="E1066" s="28">
        <v>0</v>
      </c>
      <c r="F1066" s="29">
        <v>0</v>
      </c>
      <c r="G1066" s="6">
        <f t="shared" si="122"/>
        <v>0</v>
      </c>
      <c r="H1066" s="7">
        <f t="shared" si="123"/>
        <v>0</v>
      </c>
      <c r="I1066" s="6">
        <f t="shared" si="114"/>
        <v>0</v>
      </c>
      <c r="J1066" s="7">
        <f t="shared" si="115"/>
        <v>0</v>
      </c>
      <c r="K1066" s="28">
        <v>0</v>
      </c>
      <c r="L1066" s="29">
        <v>0</v>
      </c>
      <c r="M1066" s="35"/>
      <c r="N1066" s="36"/>
      <c r="O1066" s="6">
        <f t="shared" si="116"/>
        <v>0</v>
      </c>
      <c r="P1066" s="7">
        <f t="shared" si="117"/>
        <v>0</v>
      </c>
      <c r="Q1066" s="59"/>
      <c r="R1066" s="2" t="str">
        <f t="shared" si="124"/>
        <v>68219|||0|0|0|0|</v>
      </c>
      <c r="S1066" s="25"/>
    </row>
    <row r="1067" spans="1:19" s="34" customFormat="1" ht="12.75" customHeight="1" x14ac:dyDescent="0.2">
      <c r="A1067" s="72" t="s">
        <v>379</v>
      </c>
      <c r="B1067" s="61" t="s">
        <v>2303</v>
      </c>
      <c r="C1067" s="37"/>
      <c r="D1067" s="38"/>
      <c r="E1067" s="28">
        <v>0</v>
      </c>
      <c r="F1067" s="29">
        <v>0</v>
      </c>
      <c r="G1067" s="6">
        <f t="shared" si="122"/>
        <v>0</v>
      </c>
      <c r="H1067" s="7">
        <f t="shared" si="123"/>
        <v>0</v>
      </c>
      <c r="I1067" s="6">
        <f t="shared" si="114"/>
        <v>0</v>
      </c>
      <c r="J1067" s="7">
        <f t="shared" si="115"/>
        <v>0</v>
      </c>
      <c r="K1067" s="28">
        <v>0</v>
      </c>
      <c r="L1067" s="29">
        <v>0</v>
      </c>
      <c r="M1067" s="35"/>
      <c r="N1067" s="36"/>
      <c r="O1067" s="6">
        <f t="shared" si="116"/>
        <v>0</v>
      </c>
      <c r="P1067" s="7">
        <f t="shared" si="117"/>
        <v>0</v>
      </c>
      <c r="Q1067" s="59"/>
      <c r="R1067" s="2" t="str">
        <f t="shared" si="124"/>
        <v>68221|||0|0|0|0|</v>
      </c>
      <c r="S1067" s="25"/>
    </row>
    <row r="1068" spans="1:19" x14ac:dyDescent="0.2">
      <c r="A1068" s="72" t="s">
        <v>380</v>
      </c>
      <c r="B1068" s="61" t="s">
        <v>2304</v>
      </c>
      <c r="C1068" s="37"/>
      <c r="D1068" s="38"/>
      <c r="E1068" s="28">
        <v>0</v>
      </c>
      <c r="F1068" s="29">
        <v>0</v>
      </c>
      <c r="G1068" s="6">
        <f t="shared" si="122"/>
        <v>0</v>
      </c>
      <c r="H1068" s="7">
        <f t="shared" si="123"/>
        <v>0</v>
      </c>
      <c r="I1068" s="6">
        <f t="shared" si="114"/>
        <v>0</v>
      </c>
      <c r="J1068" s="7">
        <f t="shared" si="115"/>
        <v>0</v>
      </c>
      <c r="K1068" s="28">
        <v>0</v>
      </c>
      <c r="L1068" s="29">
        <v>0</v>
      </c>
      <c r="M1068" s="35"/>
      <c r="N1068" s="36"/>
      <c r="O1068" s="6">
        <f t="shared" si="116"/>
        <v>0</v>
      </c>
      <c r="P1068" s="7">
        <f t="shared" si="117"/>
        <v>0</v>
      </c>
      <c r="Q1068" s="59"/>
      <c r="R1068" s="2" t="str">
        <f t="shared" si="124"/>
        <v>68222|||0|0|0|0|</v>
      </c>
      <c r="S1068" s="25"/>
    </row>
    <row r="1069" spans="1:19" x14ac:dyDescent="0.2">
      <c r="A1069" s="72" t="s">
        <v>381</v>
      </c>
      <c r="B1069" s="61" t="s">
        <v>2305</v>
      </c>
      <c r="C1069" s="37"/>
      <c r="D1069" s="38"/>
      <c r="E1069" s="28">
        <v>0</v>
      </c>
      <c r="F1069" s="29">
        <v>0</v>
      </c>
      <c r="G1069" s="6">
        <f t="shared" si="122"/>
        <v>0</v>
      </c>
      <c r="H1069" s="7">
        <f t="shared" si="123"/>
        <v>0</v>
      </c>
      <c r="I1069" s="6">
        <f t="shared" si="114"/>
        <v>0</v>
      </c>
      <c r="J1069" s="7">
        <f t="shared" si="115"/>
        <v>0</v>
      </c>
      <c r="K1069" s="28">
        <v>0</v>
      </c>
      <c r="L1069" s="29">
        <v>0</v>
      </c>
      <c r="M1069" s="35"/>
      <c r="N1069" s="36"/>
      <c r="O1069" s="6">
        <f t="shared" si="116"/>
        <v>0</v>
      </c>
      <c r="P1069" s="7">
        <f t="shared" si="117"/>
        <v>0</v>
      </c>
      <c r="Q1069" s="59"/>
      <c r="R1069" s="2" t="str">
        <f t="shared" si="124"/>
        <v>68223|||0|0|0|0|</v>
      </c>
      <c r="S1069" s="25"/>
    </row>
    <row r="1070" spans="1:19" x14ac:dyDescent="0.2">
      <c r="A1070" s="72" t="s">
        <v>382</v>
      </c>
      <c r="B1070" s="61" t="s">
        <v>2306</v>
      </c>
      <c r="C1070" s="37"/>
      <c r="D1070" s="38"/>
      <c r="E1070" s="28">
        <v>0</v>
      </c>
      <c r="F1070" s="29">
        <v>0</v>
      </c>
      <c r="G1070" s="6">
        <f t="shared" si="122"/>
        <v>0</v>
      </c>
      <c r="H1070" s="7">
        <f t="shared" si="123"/>
        <v>0</v>
      </c>
      <c r="I1070" s="6">
        <f t="shared" si="114"/>
        <v>0</v>
      </c>
      <c r="J1070" s="7">
        <f t="shared" si="115"/>
        <v>0</v>
      </c>
      <c r="K1070" s="28">
        <v>0</v>
      </c>
      <c r="L1070" s="29">
        <v>0</v>
      </c>
      <c r="M1070" s="35"/>
      <c r="N1070" s="36"/>
      <c r="O1070" s="6">
        <f t="shared" si="116"/>
        <v>0</v>
      </c>
      <c r="P1070" s="7">
        <f t="shared" si="117"/>
        <v>0</v>
      </c>
      <c r="Q1070" s="59"/>
      <c r="R1070" s="2" t="str">
        <f t="shared" si="124"/>
        <v>68224|||0|0|0|0|</v>
      </c>
      <c r="S1070" s="25"/>
    </row>
    <row r="1071" spans="1:19" x14ac:dyDescent="0.2">
      <c r="A1071" s="72" t="s">
        <v>383</v>
      </c>
      <c r="B1071" s="61" t="s">
        <v>2307</v>
      </c>
      <c r="C1071" s="37"/>
      <c r="D1071" s="38"/>
      <c r="E1071" s="28">
        <v>0</v>
      </c>
      <c r="F1071" s="29">
        <v>0</v>
      </c>
      <c r="G1071" s="6">
        <f t="shared" si="122"/>
        <v>0</v>
      </c>
      <c r="H1071" s="7">
        <f t="shared" si="123"/>
        <v>0</v>
      </c>
      <c r="I1071" s="6">
        <f t="shared" si="114"/>
        <v>0</v>
      </c>
      <c r="J1071" s="7">
        <f t="shared" si="115"/>
        <v>0</v>
      </c>
      <c r="K1071" s="28">
        <v>0</v>
      </c>
      <c r="L1071" s="29">
        <v>0</v>
      </c>
      <c r="M1071" s="35"/>
      <c r="N1071" s="36"/>
      <c r="O1071" s="6">
        <f t="shared" si="116"/>
        <v>0</v>
      </c>
      <c r="P1071" s="7">
        <f t="shared" si="117"/>
        <v>0</v>
      </c>
      <c r="Q1071" s="59"/>
      <c r="R1071" s="2" t="str">
        <f t="shared" si="124"/>
        <v>68225|||0|0|0|0|</v>
      </c>
      <c r="S1071" s="25"/>
    </row>
    <row r="1072" spans="1:19" x14ac:dyDescent="0.2">
      <c r="A1072" s="72" t="s">
        <v>384</v>
      </c>
      <c r="B1072" s="61" t="s">
        <v>2308</v>
      </c>
      <c r="C1072" s="37"/>
      <c r="D1072" s="38"/>
      <c r="E1072" s="28">
        <v>0</v>
      </c>
      <c r="F1072" s="29">
        <v>0</v>
      </c>
      <c r="G1072" s="6">
        <f t="shared" si="122"/>
        <v>0</v>
      </c>
      <c r="H1072" s="7">
        <f t="shared" si="123"/>
        <v>0</v>
      </c>
      <c r="I1072" s="6">
        <f t="shared" si="114"/>
        <v>0</v>
      </c>
      <c r="J1072" s="7">
        <f t="shared" si="115"/>
        <v>0</v>
      </c>
      <c r="K1072" s="28">
        <v>0</v>
      </c>
      <c r="L1072" s="29">
        <v>0</v>
      </c>
      <c r="M1072" s="35"/>
      <c r="N1072" s="36"/>
      <c r="O1072" s="6">
        <f t="shared" si="116"/>
        <v>0</v>
      </c>
      <c r="P1072" s="7">
        <f t="shared" si="117"/>
        <v>0</v>
      </c>
      <c r="Q1072" s="59"/>
      <c r="R1072" s="2" t="str">
        <f t="shared" si="124"/>
        <v>68229|||0|0|0|0|</v>
      </c>
      <c r="S1072" s="25"/>
    </row>
    <row r="1073" spans="1:19" x14ac:dyDescent="0.2">
      <c r="A1073" s="72" t="s">
        <v>385</v>
      </c>
      <c r="B1073" s="61" t="s">
        <v>2309</v>
      </c>
      <c r="C1073" s="37"/>
      <c r="D1073" s="38"/>
      <c r="E1073" s="28">
        <v>0</v>
      </c>
      <c r="F1073" s="29">
        <v>0</v>
      </c>
      <c r="G1073" s="6">
        <f t="shared" si="122"/>
        <v>0</v>
      </c>
      <c r="H1073" s="7">
        <f t="shared" si="123"/>
        <v>0</v>
      </c>
      <c r="I1073" s="6">
        <f t="shared" ref="I1073:I1136" si="125">IF($E1073-$F1073&gt;=0,$E1073-$F1073,0)</f>
        <v>0</v>
      </c>
      <c r="J1073" s="7">
        <f t="shared" ref="J1073:J1136" si="126">IF($E1073-$F1073&lt;0,-$E1073+$F1073,0)</f>
        <v>0</v>
      </c>
      <c r="K1073" s="28">
        <v>0</v>
      </c>
      <c r="L1073" s="29">
        <v>0</v>
      </c>
      <c r="M1073" s="35"/>
      <c r="N1073" s="36"/>
      <c r="O1073" s="6">
        <f t="shared" ref="O1073:O1136" si="127">IF($I1073-$J1073+$K1073-$L1073&gt;=0,$I1073-$J1073+$K1073-$L1073,0)</f>
        <v>0</v>
      </c>
      <c r="P1073" s="7">
        <f t="shared" ref="P1073:P1136" si="128">IF($I1073-$J1073+$K1073-$L1073&lt;0,-($I1073-$J1073+$K1073-$L1073),0)</f>
        <v>0</v>
      </c>
      <c r="Q1073" s="59"/>
      <c r="R1073" s="2" t="str">
        <f t="shared" si="124"/>
        <v>6831|||0|0|0|0|</v>
      </c>
      <c r="S1073" s="25"/>
    </row>
    <row r="1074" spans="1:19" x14ac:dyDescent="0.2">
      <c r="A1074" s="72" t="s">
        <v>2310</v>
      </c>
      <c r="B1074" s="61" t="s">
        <v>2311</v>
      </c>
      <c r="C1074" s="37"/>
      <c r="D1074" s="38"/>
      <c r="E1074" s="28">
        <v>0</v>
      </c>
      <c r="F1074" s="29">
        <v>0</v>
      </c>
      <c r="G1074" s="6">
        <f t="shared" si="122"/>
        <v>0</v>
      </c>
      <c r="H1074" s="7">
        <f t="shared" si="123"/>
        <v>0</v>
      </c>
      <c r="I1074" s="6">
        <f t="shared" si="125"/>
        <v>0</v>
      </c>
      <c r="J1074" s="7">
        <f t="shared" si="126"/>
        <v>0</v>
      </c>
      <c r="K1074" s="28">
        <v>0</v>
      </c>
      <c r="L1074" s="29">
        <v>0</v>
      </c>
      <c r="M1074" s="35"/>
      <c r="N1074" s="36"/>
      <c r="O1074" s="6">
        <f t="shared" si="127"/>
        <v>0</v>
      </c>
      <c r="P1074" s="7">
        <f t="shared" si="128"/>
        <v>0</v>
      </c>
      <c r="Q1074" s="59"/>
      <c r="R1074" s="2" t="str">
        <f t="shared" si="124"/>
        <v>68411|||0|0|0|0|</v>
      </c>
      <c r="S1074" s="25"/>
    </row>
    <row r="1075" spans="1:19" x14ac:dyDescent="0.2">
      <c r="A1075" s="72" t="s">
        <v>2312</v>
      </c>
      <c r="B1075" s="61" t="s">
        <v>2313</v>
      </c>
      <c r="C1075" s="37"/>
      <c r="D1075" s="38"/>
      <c r="E1075" s="28">
        <v>0</v>
      </c>
      <c r="F1075" s="29">
        <v>0</v>
      </c>
      <c r="G1075" s="6">
        <f t="shared" si="122"/>
        <v>0</v>
      </c>
      <c r="H1075" s="7">
        <f t="shared" si="123"/>
        <v>0</v>
      </c>
      <c r="I1075" s="6">
        <f t="shared" si="125"/>
        <v>0</v>
      </c>
      <c r="J1075" s="7">
        <f t="shared" si="126"/>
        <v>0</v>
      </c>
      <c r="K1075" s="28">
        <v>0</v>
      </c>
      <c r="L1075" s="29">
        <v>0</v>
      </c>
      <c r="M1075" s="35"/>
      <c r="N1075" s="36"/>
      <c r="O1075" s="6">
        <f t="shared" si="127"/>
        <v>0</v>
      </c>
      <c r="P1075" s="7">
        <f t="shared" si="128"/>
        <v>0</v>
      </c>
      <c r="Q1075" s="59"/>
      <c r="R1075" s="2" t="str">
        <f t="shared" si="124"/>
        <v>68412|||0|0|0|0|</v>
      </c>
      <c r="S1075" s="25"/>
    </row>
    <row r="1076" spans="1:19" x14ac:dyDescent="0.2">
      <c r="A1076" s="72" t="s">
        <v>2314</v>
      </c>
      <c r="B1076" s="61" t="s">
        <v>2315</v>
      </c>
      <c r="C1076" s="37"/>
      <c r="D1076" s="38"/>
      <c r="E1076" s="28">
        <v>0</v>
      </c>
      <c r="F1076" s="29">
        <v>0</v>
      </c>
      <c r="G1076" s="6">
        <f t="shared" si="122"/>
        <v>0</v>
      </c>
      <c r="H1076" s="7">
        <f t="shared" si="123"/>
        <v>0</v>
      </c>
      <c r="I1076" s="6">
        <f t="shared" si="125"/>
        <v>0</v>
      </c>
      <c r="J1076" s="7">
        <f t="shared" si="126"/>
        <v>0</v>
      </c>
      <c r="K1076" s="28">
        <v>0</v>
      </c>
      <c r="L1076" s="29">
        <v>0</v>
      </c>
      <c r="M1076" s="35"/>
      <c r="N1076" s="36"/>
      <c r="O1076" s="6">
        <f t="shared" si="127"/>
        <v>0</v>
      </c>
      <c r="P1076" s="7">
        <f t="shared" si="128"/>
        <v>0</v>
      </c>
      <c r="Q1076" s="59"/>
      <c r="R1076" s="2" t="str">
        <f t="shared" si="124"/>
        <v>68413|||0|0|0|0|</v>
      </c>
      <c r="S1076" s="25"/>
    </row>
    <row r="1077" spans="1:19" x14ac:dyDescent="0.2">
      <c r="A1077" s="72" t="s">
        <v>2316</v>
      </c>
      <c r="B1077" s="61" t="s">
        <v>2317</v>
      </c>
      <c r="C1077" s="37"/>
      <c r="D1077" s="38"/>
      <c r="E1077" s="28">
        <v>0</v>
      </c>
      <c r="F1077" s="29">
        <v>0</v>
      </c>
      <c r="G1077" s="6">
        <f t="shared" si="122"/>
        <v>0</v>
      </c>
      <c r="H1077" s="7">
        <f t="shared" si="123"/>
        <v>0</v>
      </c>
      <c r="I1077" s="6">
        <f t="shared" si="125"/>
        <v>0</v>
      </c>
      <c r="J1077" s="7">
        <f t="shared" si="126"/>
        <v>0</v>
      </c>
      <c r="K1077" s="28">
        <v>0</v>
      </c>
      <c r="L1077" s="29">
        <v>0</v>
      </c>
      <c r="M1077" s="35"/>
      <c r="N1077" s="36"/>
      <c r="O1077" s="6">
        <f t="shared" si="127"/>
        <v>0</v>
      </c>
      <c r="P1077" s="7">
        <f t="shared" si="128"/>
        <v>0</v>
      </c>
      <c r="Q1077" s="59"/>
      <c r="R1077" s="2" t="str">
        <f t="shared" si="124"/>
        <v>68414|||0|0|0|0|</v>
      </c>
      <c r="S1077" s="25"/>
    </row>
    <row r="1078" spans="1:19" x14ac:dyDescent="0.2">
      <c r="A1078" s="72" t="s">
        <v>2318</v>
      </c>
      <c r="B1078" s="61" t="s">
        <v>2319</v>
      </c>
      <c r="C1078" s="37"/>
      <c r="D1078" s="38"/>
      <c r="E1078" s="28">
        <v>0</v>
      </c>
      <c r="F1078" s="29">
        <v>0</v>
      </c>
      <c r="G1078" s="6">
        <f t="shared" si="122"/>
        <v>0</v>
      </c>
      <c r="H1078" s="7">
        <f t="shared" si="123"/>
        <v>0</v>
      </c>
      <c r="I1078" s="6">
        <f t="shared" si="125"/>
        <v>0</v>
      </c>
      <c r="J1078" s="7">
        <f t="shared" si="126"/>
        <v>0</v>
      </c>
      <c r="K1078" s="28">
        <v>0</v>
      </c>
      <c r="L1078" s="29">
        <v>0</v>
      </c>
      <c r="M1078" s="35"/>
      <c r="N1078" s="36"/>
      <c r="O1078" s="6">
        <f t="shared" si="127"/>
        <v>0</v>
      </c>
      <c r="P1078" s="7">
        <f t="shared" si="128"/>
        <v>0</v>
      </c>
      <c r="Q1078" s="59"/>
      <c r="R1078" s="2" t="str">
        <f t="shared" si="124"/>
        <v>68415|||0|0|0|0|</v>
      </c>
      <c r="S1078" s="25"/>
    </row>
    <row r="1079" spans="1:19" x14ac:dyDescent="0.2">
      <c r="A1079" s="72" t="s">
        <v>2320</v>
      </c>
      <c r="B1079" s="61" t="s">
        <v>2321</v>
      </c>
      <c r="C1079" s="37"/>
      <c r="D1079" s="38"/>
      <c r="E1079" s="28">
        <v>0</v>
      </c>
      <c r="F1079" s="29">
        <v>0</v>
      </c>
      <c r="G1079" s="6">
        <f t="shared" si="122"/>
        <v>0</v>
      </c>
      <c r="H1079" s="7">
        <f t="shared" si="123"/>
        <v>0</v>
      </c>
      <c r="I1079" s="6">
        <f t="shared" si="125"/>
        <v>0</v>
      </c>
      <c r="J1079" s="7">
        <f t="shared" si="126"/>
        <v>0</v>
      </c>
      <c r="K1079" s="28">
        <v>0</v>
      </c>
      <c r="L1079" s="29">
        <v>0</v>
      </c>
      <c r="M1079" s="35"/>
      <c r="N1079" s="36"/>
      <c r="O1079" s="6">
        <f t="shared" si="127"/>
        <v>0</v>
      </c>
      <c r="P1079" s="7">
        <f t="shared" si="128"/>
        <v>0</v>
      </c>
      <c r="Q1079" s="59"/>
      <c r="R1079" s="2" t="str">
        <f t="shared" si="124"/>
        <v>68431|||0|0|0|0|</v>
      </c>
      <c r="S1079" s="25"/>
    </row>
    <row r="1080" spans="1:19" x14ac:dyDescent="0.2">
      <c r="A1080" s="72" t="s">
        <v>2322</v>
      </c>
      <c r="B1080" s="61" t="s">
        <v>2323</v>
      </c>
      <c r="C1080" s="37"/>
      <c r="D1080" s="38"/>
      <c r="E1080" s="28">
        <v>0</v>
      </c>
      <c r="F1080" s="29">
        <v>0</v>
      </c>
      <c r="G1080" s="6">
        <f t="shared" si="122"/>
        <v>0</v>
      </c>
      <c r="H1080" s="7">
        <f t="shared" si="123"/>
        <v>0</v>
      </c>
      <c r="I1080" s="6">
        <f t="shared" si="125"/>
        <v>0</v>
      </c>
      <c r="J1080" s="7">
        <f t="shared" si="126"/>
        <v>0</v>
      </c>
      <c r="K1080" s="28">
        <v>0</v>
      </c>
      <c r="L1080" s="29">
        <v>0</v>
      </c>
      <c r="M1080" s="35"/>
      <c r="N1080" s="36"/>
      <c r="O1080" s="6">
        <f t="shared" si="127"/>
        <v>0</v>
      </c>
      <c r="P1080" s="7">
        <f t="shared" si="128"/>
        <v>0</v>
      </c>
      <c r="Q1080" s="59"/>
      <c r="R1080" s="2" t="str">
        <f t="shared" si="124"/>
        <v>68432|||0|0|0|0|</v>
      </c>
      <c r="S1080" s="25"/>
    </row>
    <row r="1081" spans="1:19" x14ac:dyDescent="0.2">
      <c r="A1081" s="72" t="s">
        <v>386</v>
      </c>
      <c r="B1081" s="61" t="s">
        <v>2324</v>
      </c>
      <c r="C1081" s="37"/>
      <c r="D1081" s="38"/>
      <c r="E1081" s="28">
        <v>0</v>
      </c>
      <c r="F1081" s="29">
        <v>0</v>
      </c>
      <c r="G1081" s="6">
        <f t="shared" si="122"/>
        <v>0</v>
      </c>
      <c r="H1081" s="7">
        <f t="shared" si="123"/>
        <v>0</v>
      </c>
      <c r="I1081" s="6">
        <f t="shared" si="125"/>
        <v>0</v>
      </c>
      <c r="J1081" s="7">
        <f t="shared" si="126"/>
        <v>0</v>
      </c>
      <c r="K1081" s="28">
        <v>0</v>
      </c>
      <c r="L1081" s="29">
        <v>0</v>
      </c>
      <c r="M1081" s="35"/>
      <c r="N1081" s="36"/>
      <c r="O1081" s="6">
        <f t="shared" si="127"/>
        <v>0</v>
      </c>
      <c r="P1081" s="7">
        <f t="shared" si="128"/>
        <v>0</v>
      </c>
      <c r="Q1081" s="59"/>
      <c r="R1081" s="2" t="str">
        <f t="shared" si="124"/>
        <v>68511|||0|0|0|0|</v>
      </c>
      <c r="S1081" s="25"/>
    </row>
    <row r="1082" spans="1:19" x14ac:dyDescent="0.2">
      <c r="A1082" s="72" t="s">
        <v>387</v>
      </c>
      <c r="B1082" s="61" t="s">
        <v>2325</v>
      </c>
      <c r="C1082" s="37"/>
      <c r="D1082" s="38"/>
      <c r="E1082" s="28">
        <v>0</v>
      </c>
      <c r="F1082" s="29">
        <v>0</v>
      </c>
      <c r="G1082" s="6">
        <f t="shared" si="122"/>
        <v>0</v>
      </c>
      <c r="H1082" s="7">
        <f t="shared" si="123"/>
        <v>0</v>
      </c>
      <c r="I1082" s="6">
        <f t="shared" si="125"/>
        <v>0</v>
      </c>
      <c r="J1082" s="7">
        <f t="shared" si="126"/>
        <v>0</v>
      </c>
      <c r="K1082" s="28">
        <v>0</v>
      </c>
      <c r="L1082" s="29">
        <v>0</v>
      </c>
      <c r="M1082" s="35"/>
      <c r="N1082" s="36"/>
      <c r="O1082" s="6">
        <f t="shared" si="127"/>
        <v>0</v>
      </c>
      <c r="P1082" s="7">
        <f t="shared" si="128"/>
        <v>0</v>
      </c>
      <c r="Q1082" s="59"/>
      <c r="R1082" s="2" t="str">
        <f t="shared" si="124"/>
        <v>68521|||0|0|0|0|</v>
      </c>
      <c r="S1082" s="25"/>
    </row>
    <row r="1083" spans="1:19" x14ac:dyDescent="0.2">
      <c r="A1083" s="72" t="s">
        <v>388</v>
      </c>
      <c r="B1083" s="61" t="s">
        <v>2326</v>
      </c>
      <c r="C1083" s="37"/>
      <c r="D1083" s="38"/>
      <c r="E1083" s="28">
        <v>0</v>
      </c>
      <c r="F1083" s="29">
        <v>0</v>
      </c>
      <c r="G1083" s="6">
        <f t="shared" si="122"/>
        <v>0</v>
      </c>
      <c r="H1083" s="7">
        <f t="shared" si="123"/>
        <v>0</v>
      </c>
      <c r="I1083" s="6">
        <f t="shared" si="125"/>
        <v>0</v>
      </c>
      <c r="J1083" s="7">
        <f t="shared" si="126"/>
        <v>0</v>
      </c>
      <c r="K1083" s="28">
        <v>0</v>
      </c>
      <c r="L1083" s="29">
        <v>0</v>
      </c>
      <c r="M1083" s="35"/>
      <c r="N1083" s="36"/>
      <c r="O1083" s="6">
        <f t="shared" si="127"/>
        <v>0</v>
      </c>
      <c r="P1083" s="7">
        <f t="shared" si="128"/>
        <v>0</v>
      </c>
      <c r="Q1083" s="59"/>
      <c r="R1083" s="2" t="str">
        <f t="shared" si="124"/>
        <v>68522|||0|0|0|0|</v>
      </c>
      <c r="S1083" s="25"/>
    </row>
    <row r="1084" spans="1:19" x14ac:dyDescent="0.2">
      <c r="A1084" s="72" t="s">
        <v>389</v>
      </c>
      <c r="B1084" s="61" t="s">
        <v>2327</v>
      </c>
      <c r="C1084" s="37"/>
      <c r="D1084" s="38"/>
      <c r="E1084" s="28">
        <v>0</v>
      </c>
      <c r="F1084" s="29">
        <v>0</v>
      </c>
      <c r="G1084" s="6">
        <f t="shared" si="122"/>
        <v>0</v>
      </c>
      <c r="H1084" s="7">
        <f t="shared" si="123"/>
        <v>0</v>
      </c>
      <c r="I1084" s="6">
        <f t="shared" si="125"/>
        <v>0</v>
      </c>
      <c r="J1084" s="7">
        <f t="shared" si="126"/>
        <v>0</v>
      </c>
      <c r="K1084" s="28">
        <v>0</v>
      </c>
      <c r="L1084" s="29">
        <v>0</v>
      </c>
      <c r="M1084" s="35"/>
      <c r="N1084" s="36"/>
      <c r="O1084" s="6">
        <f t="shared" si="127"/>
        <v>0</v>
      </c>
      <c r="P1084" s="7">
        <f t="shared" si="128"/>
        <v>0</v>
      </c>
      <c r="Q1084" s="59"/>
      <c r="R1084" s="2" t="str">
        <f t="shared" si="124"/>
        <v>68523|||0|0|0|0|</v>
      </c>
      <c r="S1084" s="25"/>
    </row>
    <row r="1085" spans="1:19" x14ac:dyDescent="0.2">
      <c r="A1085" s="72" t="s">
        <v>390</v>
      </c>
      <c r="B1085" s="61" t="s">
        <v>2328</v>
      </c>
      <c r="C1085" s="37"/>
      <c r="D1085" s="38"/>
      <c r="E1085" s="28">
        <v>0</v>
      </c>
      <c r="F1085" s="29">
        <v>0</v>
      </c>
      <c r="G1085" s="6">
        <f t="shared" si="122"/>
        <v>0</v>
      </c>
      <c r="H1085" s="7">
        <f t="shared" si="123"/>
        <v>0</v>
      </c>
      <c r="I1085" s="6">
        <f t="shared" si="125"/>
        <v>0</v>
      </c>
      <c r="J1085" s="7">
        <f t="shared" si="126"/>
        <v>0</v>
      </c>
      <c r="K1085" s="28">
        <v>0</v>
      </c>
      <c r="L1085" s="29">
        <v>0</v>
      </c>
      <c r="M1085" s="35"/>
      <c r="N1085" s="36"/>
      <c r="O1085" s="6">
        <f t="shared" si="127"/>
        <v>0</v>
      </c>
      <c r="P1085" s="7">
        <f t="shared" si="128"/>
        <v>0</v>
      </c>
      <c r="Q1085" s="59"/>
      <c r="R1085" s="2" t="str">
        <f t="shared" si="124"/>
        <v>68524|||0|0|0|0|</v>
      </c>
      <c r="S1085" s="25"/>
    </row>
    <row r="1086" spans="1:19" x14ac:dyDescent="0.2">
      <c r="A1086" s="72" t="s">
        <v>391</v>
      </c>
      <c r="B1086" s="61" t="s">
        <v>2329</v>
      </c>
      <c r="C1086" s="37"/>
      <c r="D1086" s="38"/>
      <c r="E1086" s="28">
        <v>0</v>
      </c>
      <c r="F1086" s="29">
        <v>0</v>
      </c>
      <c r="G1086" s="6">
        <f t="shared" si="122"/>
        <v>0</v>
      </c>
      <c r="H1086" s="7">
        <f t="shared" si="123"/>
        <v>0</v>
      </c>
      <c r="I1086" s="6">
        <f t="shared" si="125"/>
        <v>0</v>
      </c>
      <c r="J1086" s="7">
        <f t="shared" si="126"/>
        <v>0</v>
      </c>
      <c r="K1086" s="28">
        <v>0</v>
      </c>
      <c r="L1086" s="29">
        <v>0</v>
      </c>
      <c r="M1086" s="35"/>
      <c r="N1086" s="36"/>
      <c r="O1086" s="6">
        <f t="shared" si="127"/>
        <v>0</v>
      </c>
      <c r="P1086" s="7">
        <f t="shared" si="128"/>
        <v>0</v>
      </c>
      <c r="Q1086" s="59"/>
      <c r="R1086" s="2" t="str">
        <f t="shared" si="124"/>
        <v>68525|||0|0|0|0|</v>
      </c>
      <c r="S1086" s="25"/>
    </row>
    <row r="1087" spans="1:19" x14ac:dyDescent="0.2">
      <c r="A1087" s="72" t="s">
        <v>392</v>
      </c>
      <c r="B1087" s="61" t="s">
        <v>2330</v>
      </c>
      <c r="C1087" s="37"/>
      <c r="D1087" s="38"/>
      <c r="E1087" s="28">
        <v>0</v>
      </c>
      <c r="F1087" s="29">
        <v>0</v>
      </c>
      <c r="G1087" s="6">
        <f t="shared" si="122"/>
        <v>0</v>
      </c>
      <c r="H1087" s="7">
        <f t="shared" si="123"/>
        <v>0</v>
      </c>
      <c r="I1087" s="6">
        <f t="shared" si="125"/>
        <v>0</v>
      </c>
      <c r="J1087" s="7">
        <f t="shared" si="126"/>
        <v>0</v>
      </c>
      <c r="K1087" s="28">
        <v>0</v>
      </c>
      <c r="L1087" s="29">
        <v>0</v>
      </c>
      <c r="M1087" s="35"/>
      <c r="N1087" s="36"/>
      <c r="O1087" s="6">
        <f t="shared" si="127"/>
        <v>0</v>
      </c>
      <c r="P1087" s="7">
        <f t="shared" si="128"/>
        <v>0</v>
      </c>
      <c r="Q1087" s="59"/>
      <c r="R1087" s="2" t="str">
        <f t="shared" si="124"/>
        <v>68526|||0|0|0|0|</v>
      </c>
      <c r="S1087" s="25"/>
    </row>
    <row r="1088" spans="1:19" x14ac:dyDescent="0.2">
      <c r="A1088" s="72" t="s">
        <v>393</v>
      </c>
      <c r="B1088" s="61" t="s">
        <v>2331</v>
      </c>
      <c r="C1088" s="37"/>
      <c r="D1088" s="38"/>
      <c r="E1088" s="28">
        <v>0</v>
      </c>
      <c r="F1088" s="29">
        <v>0</v>
      </c>
      <c r="G1088" s="6">
        <f t="shared" si="122"/>
        <v>0</v>
      </c>
      <c r="H1088" s="7">
        <f t="shared" si="123"/>
        <v>0</v>
      </c>
      <c r="I1088" s="6">
        <f t="shared" si="125"/>
        <v>0</v>
      </c>
      <c r="J1088" s="7">
        <f t="shared" si="126"/>
        <v>0</v>
      </c>
      <c r="K1088" s="28">
        <v>0</v>
      </c>
      <c r="L1088" s="29">
        <v>0</v>
      </c>
      <c r="M1088" s="35"/>
      <c r="N1088" s="36"/>
      <c r="O1088" s="6">
        <f t="shared" si="127"/>
        <v>0</v>
      </c>
      <c r="P1088" s="7">
        <f t="shared" si="128"/>
        <v>0</v>
      </c>
      <c r="Q1088" s="59"/>
      <c r="R1088" s="2" t="str">
        <f t="shared" si="124"/>
        <v>68531|||0|0|0|0|</v>
      </c>
      <c r="S1088" s="25"/>
    </row>
    <row r="1089" spans="1:19" x14ac:dyDescent="0.2">
      <c r="A1089" s="72" t="s">
        <v>394</v>
      </c>
      <c r="B1089" s="61" t="s">
        <v>2332</v>
      </c>
      <c r="C1089" s="37"/>
      <c r="D1089" s="38"/>
      <c r="E1089" s="28">
        <v>0</v>
      </c>
      <c r="F1089" s="29">
        <v>0</v>
      </c>
      <c r="G1089" s="6">
        <f t="shared" si="122"/>
        <v>0</v>
      </c>
      <c r="H1089" s="7">
        <f t="shared" si="123"/>
        <v>0</v>
      </c>
      <c r="I1089" s="6">
        <f t="shared" si="125"/>
        <v>0</v>
      </c>
      <c r="J1089" s="7">
        <f t="shared" si="126"/>
        <v>0</v>
      </c>
      <c r="K1089" s="28">
        <v>0</v>
      </c>
      <c r="L1089" s="29">
        <v>0</v>
      </c>
      <c r="M1089" s="35"/>
      <c r="N1089" s="36"/>
      <c r="O1089" s="6">
        <f t="shared" si="127"/>
        <v>0</v>
      </c>
      <c r="P1089" s="7">
        <f t="shared" si="128"/>
        <v>0</v>
      </c>
      <c r="Q1089" s="59"/>
      <c r="R1089" s="2" t="str">
        <f t="shared" si="124"/>
        <v>68532|||0|0|0|0|</v>
      </c>
      <c r="S1089" s="25"/>
    </row>
    <row r="1090" spans="1:19" x14ac:dyDescent="0.2">
      <c r="A1090" s="72" t="s">
        <v>395</v>
      </c>
      <c r="B1090" s="61" t="s">
        <v>2333</v>
      </c>
      <c r="C1090" s="37"/>
      <c r="D1090" s="38"/>
      <c r="E1090" s="28">
        <v>0</v>
      </c>
      <c r="F1090" s="29">
        <v>0</v>
      </c>
      <c r="G1090" s="6">
        <f t="shared" si="122"/>
        <v>0</v>
      </c>
      <c r="H1090" s="7">
        <f t="shared" si="123"/>
        <v>0</v>
      </c>
      <c r="I1090" s="6">
        <f t="shared" si="125"/>
        <v>0</v>
      </c>
      <c r="J1090" s="7">
        <f t="shared" si="126"/>
        <v>0</v>
      </c>
      <c r="K1090" s="28">
        <v>0</v>
      </c>
      <c r="L1090" s="29">
        <v>0</v>
      </c>
      <c r="M1090" s="35"/>
      <c r="N1090" s="36"/>
      <c r="O1090" s="6">
        <f t="shared" si="127"/>
        <v>0</v>
      </c>
      <c r="P1090" s="7">
        <f t="shared" si="128"/>
        <v>0</v>
      </c>
      <c r="Q1090" s="59"/>
      <c r="R1090" s="2" t="str">
        <f t="shared" si="124"/>
        <v>68533|||0|0|0|0|</v>
      </c>
      <c r="S1090" s="25"/>
    </row>
    <row r="1091" spans="1:19" x14ac:dyDescent="0.2">
      <c r="A1091" s="72" t="s">
        <v>396</v>
      </c>
      <c r="B1091" s="61" t="s">
        <v>2334</v>
      </c>
      <c r="C1091" s="37"/>
      <c r="D1091" s="38"/>
      <c r="E1091" s="28">
        <v>0</v>
      </c>
      <c r="F1091" s="29">
        <v>0</v>
      </c>
      <c r="G1091" s="6">
        <f t="shared" si="122"/>
        <v>0</v>
      </c>
      <c r="H1091" s="7">
        <f t="shared" si="123"/>
        <v>0</v>
      </c>
      <c r="I1091" s="6">
        <f t="shared" si="125"/>
        <v>0</v>
      </c>
      <c r="J1091" s="7">
        <f t="shared" si="126"/>
        <v>0</v>
      </c>
      <c r="K1091" s="28">
        <v>0</v>
      </c>
      <c r="L1091" s="29">
        <v>0</v>
      </c>
      <c r="M1091" s="35"/>
      <c r="N1091" s="36"/>
      <c r="O1091" s="6">
        <f t="shared" si="127"/>
        <v>0</v>
      </c>
      <c r="P1091" s="7">
        <f t="shared" si="128"/>
        <v>0</v>
      </c>
      <c r="Q1091" s="59"/>
      <c r="R1091" s="2" t="str">
        <f t="shared" si="124"/>
        <v>68534|||0|0|0|0|</v>
      </c>
      <c r="S1091" s="25"/>
    </row>
    <row r="1092" spans="1:19" x14ac:dyDescent="0.2">
      <c r="A1092" s="72" t="s">
        <v>397</v>
      </c>
      <c r="B1092" s="61" t="s">
        <v>2335</v>
      </c>
      <c r="C1092" s="37"/>
      <c r="D1092" s="38"/>
      <c r="E1092" s="28">
        <v>0</v>
      </c>
      <c r="F1092" s="29">
        <v>0</v>
      </c>
      <c r="G1092" s="6">
        <f t="shared" si="122"/>
        <v>0</v>
      </c>
      <c r="H1092" s="7">
        <f t="shared" si="123"/>
        <v>0</v>
      </c>
      <c r="I1092" s="6">
        <f t="shared" si="125"/>
        <v>0</v>
      </c>
      <c r="J1092" s="7">
        <f t="shared" si="126"/>
        <v>0</v>
      </c>
      <c r="K1092" s="28">
        <v>0</v>
      </c>
      <c r="L1092" s="29">
        <v>0</v>
      </c>
      <c r="M1092" s="35"/>
      <c r="N1092" s="36"/>
      <c r="O1092" s="6">
        <f t="shared" si="127"/>
        <v>0</v>
      </c>
      <c r="P1092" s="7">
        <f t="shared" si="128"/>
        <v>0</v>
      </c>
      <c r="Q1092" s="59"/>
      <c r="R1092" s="2" t="str">
        <f t="shared" si="124"/>
        <v>68535|||0|0|0|0|</v>
      </c>
      <c r="S1092" s="25"/>
    </row>
    <row r="1093" spans="1:19" x14ac:dyDescent="0.2">
      <c r="A1093" s="72" t="s">
        <v>398</v>
      </c>
      <c r="B1093" s="61" t="s">
        <v>2336</v>
      </c>
      <c r="C1093" s="37"/>
      <c r="D1093" s="38"/>
      <c r="E1093" s="28">
        <v>0</v>
      </c>
      <c r="F1093" s="29">
        <v>0</v>
      </c>
      <c r="G1093" s="6">
        <f t="shared" si="122"/>
        <v>0</v>
      </c>
      <c r="H1093" s="7">
        <f t="shared" si="123"/>
        <v>0</v>
      </c>
      <c r="I1093" s="6">
        <f t="shared" si="125"/>
        <v>0</v>
      </c>
      <c r="J1093" s="7">
        <f t="shared" si="126"/>
        <v>0</v>
      </c>
      <c r="K1093" s="28">
        <v>0</v>
      </c>
      <c r="L1093" s="29">
        <v>0</v>
      </c>
      <c r="M1093" s="35"/>
      <c r="N1093" s="36"/>
      <c r="O1093" s="6">
        <f t="shared" si="127"/>
        <v>0</v>
      </c>
      <c r="P1093" s="7">
        <f t="shared" si="128"/>
        <v>0</v>
      </c>
      <c r="Q1093" s="59"/>
      <c r="R1093" s="2" t="str">
        <f t="shared" si="124"/>
        <v>68536|||0|0|0|0|</v>
      </c>
      <c r="S1093" s="25"/>
    </row>
    <row r="1094" spans="1:19" x14ac:dyDescent="0.2">
      <c r="A1094" s="72" t="s">
        <v>2337</v>
      </c>
      <c r="B1094" s="61" t="s">
        <v>2338</v>
      </c>
      <c r="C1094" s="37"/>
      <c r="D1094" s="38"/>
      <c r="E1094" s="28">
        <v>0</v>
      </c>
      <c r="F1094" s="29">
        <v>0</v>
      </c>
      <c r="G1094" s="6">
        <f t="shared" si="122"/>
        <v>0</v>
      </c>
      <c r="H1094" s="7">
        <f t="shared" si="123"/>
        <v>0</v>
      </c>
      <c r="I1094" s="6">
        <f t="shared" si="125"/>
        <v>0</v>
      </c>
      <c r="J1094" s="7">
        <f t="shared" si="126"/>
        <v>0</v>
      </c>
      <c r="K1094" s="28">
        <v>0</v>
      </c>
      <c r="L1094" s="29">
        <v>0</v>
      </c>
      <c r="M1094" s="35"/>
      <c r="N1094" s="36"/>
      <c r="O1094" s="6">
        <f t="shared" si="127"/>
        <v>0</v>
      </c>
      <c r="P1094" s="7">
        <f t="shared" si="128"/>
        <v>0</v>
      </c>
      <c r="Q1094" s="59"/>
      <c r="R1094" s="2" t="str">
        <f t="shared" si="124"/>
        <v>68537|||0|0|0|0|</v>
      </c>
      <c r="S1094" s="25"/>
    </row>
    <row r="1095" spans="1:19" x14ac:dyDescent="0.2">
      <c r="A1095" s="72" t="s">
        <v>399</v>
      </c>
      <c r="B1095" s="61" t="s">
        <v>2339</v>
      </c>
      <c r="C1095" s="37"/>
      <c r="D1095" s="38"/>
      <c r="E1095" s="28">
        <v>0</v>
      </c>
      <c r="F1095" s="29">
        <v>0</v>
      </c>
      <c r="G1095" s="6">
        <f t="shared" si="122"/>
        <v>0</v>
      </c>
      <c r="H1095" s="7">
        <f t="shared" si="123"/>
        <v>0</v>
      </c>
      <c r="I1095" s="6">
        <f t="shared" si="125"/>
        <v>0</v>
      </c>
      <c r="J1095" s="7">
        <f t="shared" si="126"/>
        <v>0</v>
      </c>
      <c r="K1095" s="28">
        <v>0</v>
      </c>
      <c r="L1095" s="29">
        <v>0</v>
      </c>
      <c r="M1095" s="35"/>
      <c r="N1095" s="36"/>
      <c r="O1095" s="6">
        <f t="shared" si="127"/>
        <v>0</v>
      </c>
      <c r="P1095" s="7">
        <f t="shared" si="128"/>
        <v>0</v>
      </c>
      <c r="Q1095" s="59"/>
      <c r="R1095" s="2" t="str">
        <f t="shared" si="124"/>
        <v>68541|||0|0|0|0|</v>
      </c>
      <c r="S1095" s="25"/>
    </row>
    <row r="1096" spans="1:19" x14ac:dyDescent="0.2">
      <c r="A1096" s="72" t="s">
        <v>400</v>
      </c>
      <c r="B1096" s="61" t="s">
        <v>2340</v>
      </c>
      <c r="C1096" s="37"/>
      <c r="D1096" s="38"/>
      <c r="E1096" s="28">
        <v>0</v>
      </c>
      <c r="F1096" s="29">
        <v>0</v>
      </c>
      <c r="G1096" s="6">
        <f t="shared" si="122"/>
        <v>0</v>
      </c>
      <c r="H1096" s="7">
        <f t="shared" si="123"/>
        <v>0</v>
      </c>
      <c r="I1096" s="6">
        <f t="shared" si="125"/>
        <v>0</v>
      </c>
      <c r="J1096" s="7">
        <f t="shared" si="126"/>
        <v>0</v>
      </c>
      <c r="K1096" s="28">
        <v>0</v>
      </c>
      <c r="L1096" s="29">
        <v>0</v>
      </c>
      <c r="M1096" s="35"/>
      <c r="N1096" s="36"/>
      <c r="O1096" s="6">
        <f t="shared" si="127"/>
        <v>0</v>
      </c>
      <c r="P1096" s="7">
        <f t="shared" si="128"/>
        <v>0</v>
      </c>
      <c r="Q1096" s="59"/>
      <c r="R1096" s="2" t="str">
        <f t="shared" si="124"/>
        <v>68542|||0|0|0|0|</v>
      </c>
      <c r="S1096" s="25"/>
    </row>
    <row r="1097" spans="1:19" x14ac:dyDescent="0.2">
      <c r="A1097" s="72" t="s">
        <v>401</v>
      </c>
      <c r="B1097" s="61" t="s">
        <v>2341</v>
      </c>
      <c r="C1097" s="37"/>
      <c r="D1097" s="38"/>
      <c r="E1097" s="28">
        <v>0</v>
      </c>
      <c r="F1097" s="29">
        <v>0</v>
      </c>
      <c r="G1097" s="6">
        <f t="shared" si="122"/>
        <v>0</v>
      </c>
      <c r="H1097" s="7">
        <f t="shared" si="123"/>
        <v>0</v>
      </c>
      <c r="I1097" s="6">
        <f t="shared" si="125"/>
        <v>0</v>
      </c>
      <c r="J1097" s="7">
        <f t="shared" si="126"/>
        <v>0</v>
      </c>
      <c r="K1097" s="28">
        <v>0</v>
      </c>
      <c r="L1097" s="29">
        <v>0</v>
      </c>
      <c r="M1097" s="35"/>
      <c r="N1097" s="36"/>
      <c r="O1097" s="6">
        <f t="shared" si="127"/>
        <v>0</v>
      </c>
      <c r="P1097" s="7">
        <f t="shared" si="128"/>
        <v>0</v>
      </c>
      <c r="Q1097" s="59"/>
      <c r="R1097" s="2" t="str">
        <f t="shared" si="124"/>
        <v>68611|||0|0|0|0|</v>
      </c>
      <c r="S1097" s="25"/>
    </row>
    <row r="1098" spans="1:19" x14ac:dyDescent="0.2">
      <c r="A1098" s="72" t="s">
        <v>402</v>
      </c>
      <c r="B1098" s="61" t="s">
        <v>2342</v>
      </c>
      <c r="C1098" s="37"/>
      <c r="D1098" s="38"/>
      <c r="E1098" s="28">
        <v>0</v>
      </c>
      <c r="F1098" s="29">
        <v>0</v>
      </c>
      <c r="G1098" s="6">
        <f t="shared" si="122"/>
        <v>0</v>
      </c>
      <c r="H1098" s="7">
        <f t="shared" si="123"/>
        <v>0</v>
      </c>
      <c r="I1098" s="6">
        <f t="shared" si="125"/>
        <v>0</v>
      </c>
      <c r="J1098" s="7">
        <f t="shared" si="126"/>
        <v>0</v>
      </c>
      <c r="K1098" s="28">
        <v>0</v>
      </c>
      <c r="L1098" s="29">
        <v>0</v>
      </c>
      <c r="M1098" s="35"/>
      <c r="N1098" s="36"/>
      <c r="O1098" s="6">
        <f t="shared" si="127"/>
        <v>0</v>
      </c>
      <c r="P1098" s="7">
        <f t="shared" si="128"/>
        <v>0</v>
      </c>
      <c r="Q1098" s="59"/>
      <c r="R1098" s="2" t="str">
        <f t="shared" si="124"/>
        <v>68612|||0|0|0|0|</v>
      </c>
      <c r="S1098" s="25"/>
    </row>
    <row r="1099" spans="1:19" x14ac:dyDescent="0.2">
      <c r="A1099" s="72" t="s">
        <v>403</v>
      </c>
      <c r="B1099" s="61" t="s">
        <v>2343</v>
      </c>
      <c r="C1099" s="37"/>
      <c r="D1099" s="38"/>
      <c r="E1099" s="28">
        <v>0</v>
      </c>
      <c r="F1099" s="29">
        <v>0</v>
      </c>
      <c r="G1099" s="6">
        <f t="shared" si="122"/>
        <v>0</v>
      </c>
      <c r="H1099" s="7">
        <f t="shared" si="123"/>
        <v>0</v>
      </c>
      <c r="I1099" s="6">
        <f t="shared" si="125"/>
        <v>0</v>
      </c>
      <c r="J1099" s="7">
        <f t="shared" si="126"/>
        <v>0</v>
      </c>
      <c r="K1099" s="28">
        <v>0</v>
      </c>
      <c r="L1099" s="29">
        <v>0</v>
      </c>
      <c r="M1099" s="35"/>
      <c r="N1099" s="36"/>
      <c r="O1099" s="6">
        <f t="shared" si="127"/>
        <v>0</v>
      </c>
      <c r="P1099" s="7">
        <f t="shared" si="128"/>
        <v>0</v>
      </c>
      <c r="Q1099" s="59"/>
      <c r="R1099" s="2" t="str">
        <f t="shared" si="124"/>
        <v>68621|||0|0|0|0|</v>
      </c>
      <c r="S1099" s="25"/>
    </row>
    <row r="1100" spans="1:19" x14ac:dyDescent="0.2">
      <c r="A1100" s="72" t="s">
        <v>404</v>
      </c>
      <c r="B1100" s="61" t="s">
        <v>2344</v>
      </c>
      <c r="C1100" s="37"/>
      <c r="D1100" s="38"/>
      <c r="E1100" s="28">
        <v>0</v>
      </c>
      <c r="F1100" s="29">
        <v>0</v>
      </c>
      <c r="G1100" s="6">
        <f t="shared" si="122"/>
        <v>0</v>
      </c>
      <c r="H1100" s="7">
        <f t="shared" si="123"/>
        <v>0</v>
      </c>
      <c r="I1100" s="6">
        <f t="shared" si="125"/>
        <v>0</v>
      </c>
      <c r="J1100" s="7">
        <f t="shared" si="126"/>
        <v>0</v>
      </c>
      <c r="K1100" s="28">
        <v>0</v>
      </c>
      <c r="L1100" s="29">
        <v>0</v>
      </c>
      <c r="M1100" s="35"/>
      <c r="N1100" s="36"/>
      <c r="O1100" s="6">
        <f t="shared" si="127"/>
        <v>0</v>
      </c>
      <c r="P1100" s="7">
        <f t="shared" si="128"/>
        <v>0</v>
      </c>
      <c r="Q1100" s="59"/>
      <c r="R1100" s="2" t="str">
        <f t="shared" si="124"/>
        <v>68622|||0|0|0|0|</v>
      </c>
      <c r="S1100" s="25"/>
    </row>
    <row r="1101" spans="1:19" x14ac:dyDescent="0.2">
      <c r="A1101" s="72" t="s">
        <v>405</v>
      </c>
      <c r="B1101" s="61" t="s">
        <v>2345</v>
      </c>
      <c r="C1101" s="37"/>
      <c r="D1101" s="38"/>
      <c r="E1101" s="28">
        <v>0</v>
      </c>
      <c r="F1101" s="29">
        <v>0</v>
      </c>
      <c r="G1101" s="6">
        <f t="shared" si="122"/>
        <v>0</v>
      </c>
      <c r="H1101" s="7">
        <f t="shared" si="123"/>
        <v>0</v>
      </c>
      <c r="I1101" s="6">
        <f t="shared" si="125"/>
        <v>0</v>
      </c>
      <c r="J1101" s="7">
        <f t="shared" si="126"/>
        <v>0</v>
      </c>
      <c r="K1101" s="28">
        <v>0</v>
      </c>
      <c r="L1101" s="29">
        <v>0</v>
      </c>
      <c r="M1101" s="35"/>
      <c r="N1101" s="36"/>
      <c r="O1101" s="6">
        <f t="shared" si="127"/>
        <v>0</v>
      </c>
      <c r="P1101" s="7">
        <f t="shared" si="128"/>
        <v>0</v>
      </c>
      <c r="Q1101" s="59"/>
      <c r="R1101" s="2" t="str">
        <f t="shared" si="124"/>
        <v>6863|||0|0|0|0|</v>
      </c>
      <c r="S1101" s="25"/>
    </row>
    <row r="1102" spans="1:19" x14ac:dyDescent="0.2">
      <c r="A1102" s="72" t="s">
        <v>2346</v>
      </c>
      <c r="B1102" s="61" t="s">
        <v>2347</v>
      </c>
      <c r="C1102" s="37"/>
      <c r="D1102" s="38"/>
      <c r="E1102" s="28">
        <v>0</v>
      </c>
      <c r="F1102" s="29">
        <v>0</v>
      </c>
      <c r="G1102" s="6">
        <f t="shared" si="122"/>
        <v>0</v>
      </c>
      <c r="H1102" s="7">
        <f t="shared" si="123"/>
        <v>0</v>
      </c>
      <c r="I1102" s="6">
        <f t="shared" si="125"/>
        <v>0</v>
      </c>
      <c r="J1102" s="7">
        <f t="shared" si="126"/>
        <v>0</v>
      </c>
      <c r="K1102" s="28">
        <v>0</v>
      </c>
      <c r="L1102" s="29">
        <v>0</v>
      </c>
      <c r="M1102" s="35"/>
      <c r="N1102" s="36"/>
      <c r="O1102" s="6">
        <f t="shared" si="127"/>
        <v>0</v>
      </c>
      <c r="P1102" s="7">
        <f t="shared" si="128"/>
        <v>0</v>
      </c>
      <c r="Q1102" s="59"/>
      <c r="R1102" s="2" t="str">
        <f t="shared" si="124"/>
        <v>68641|||0|0|0|0|</v>
      </c>
      <c r="S1102" s="25"/>
    </row>
    <row r="1103" spans="1:19" x14ac:dyDescent="0.2">
      <c r="A1103" s="72" t="s">
        <v>2348</v>
      </c>
      <c r="B1103" s="61" t="s">
        <v>2349</v>
      </c>
      <c r="C1103" s="37"/>
      <c r="D1103" s="38"/>
      <c r="E1103" s="28">
        <v>0</v>
      </c>
      <c r="F1103" s="29">
        <v>0</v>
      </c>
      <c r="G1103" s="6">
        <f t="shared" si="122"/>
        <v>0</v>
      </c>
      <c r="H1103" s="7">
        <f t="shared" si="123"/>
        <v>0</v>
      </c>
      <c r="I1103" s="6">
        <f t="shared" si="125"/>
        <v>0</v>
      </c>
      <c r="J1103" s="7">
        <f t="shared" si="126"/>
        <v>0</v>
      </c>
      <c r="K1103" s="28">
        <v>0</v>
      </c>
      <c r="L1103" s="29">
        <v>0</v>
      </c>
      <c r="M1103" s="35"/>
      <c r="N1103" s="36"/>
      <c r="O1103" s="6">
        <f t="shared" si="127"/>
        <v>0</v>
      </c>
      <c r="P1103" s="7">
        <f t="shared" si="128"/>
        <v>0</v>
      </c>
      <c r="Q1103" s="59"/>
      <c r="R1103" s="2" t="str">
        <f t="shared" si="124"/>
        <v>68642|||0|0|0|0|</v>
      </c>
      <c r="S1103" s="25"/>
    </row>
    <row r="1104" spans="1:19" x14ac:dyDescent="0.2">
      <c r="A1104" s="72" t="s">
        <v>2350</v>
      </c>
      <c r="B1104" s="61" t="s">
        <v>2351</v>
      </c>
      <c r="C1104" s="37"/>
      <c r="D1104" s="38"/>
      <c r="E1104" s="28">
        <v>0</v>
      </c>
      <c r="F1104" s="29">
        <v>0</v>
      </c>
      <c r="G1104" s="6">
        <f t="shared" si="122"/>
        <v>0</v>
      </c>
      <c r="H1104" s="7">
        <f t="shared" si="123"/>
        <v>0</v>
      </c>
      <c r="I1104" s="6">
        <f t="shared" si="125"/>
        <v>0</v>
      </c>
      <c r="J1104" s="7">
        <f t="shared" si="126"/>
        <v>0</v>
      </c>
      <c r="K1104" s="28">
        <v>0</v>
      </c>
      <c r="L1104" s="29">
        <v>0</v>
      </c>
      <c r="M1104" s="35"/>
      <c r="N1104" s="36"/>
      <c r="O1104" s="6">
        <f t="shared" si="127"/>
        <v>0</v>
      </c>
      <c r="P1104" s="7">
        <f t="shared" si="128"/>
        <v>0</v>
      </c>
      <c r="Q1104" s="59"/>
      <c r="R1104" s="2" t="str">
        <f t="shared" si="124"/>
        <v>68661|||0|0|0|0|</v>
      </c>
      <c r="S1104" s="25"/>
    </row>
    <row r="1105" spans="1:19" x14ac:dyDescent="0.2">
      <c r="A1105" s="72" t="s">
        <v>2352</v>
      </c>
      <c r="B1105" s="61" t="s">
        <v>2353</v>
      </c>
      <c r="C1105" s="37"/>
      <c r="D1105" s="38"/>
      <c r="E1105" s="28">
        <v>0</v>
      </c>
      <c r="F1105" s="29">
        <v>0</v>
      </c>
      <c r="G1105" s="6">
        <f t="shared" si="122"/>
        <v>0</v>
      </c>
      <c r="H1105" s="7">
        <f t="shared" si="123"/>
        <v>0</v>
      </c>
      <c r="I1105" s="6">
        <f t="shared" si="125"/>
        <v>0</v>
      </c>
      <c r="J1105" s="7">
        <f t="shared" si="126"/>
        <v>0</v>
      </c>
      <c r="K1105" s="28">
        <v>0</v>
      </c>
      <c r="L1105" s="29">
        <v>0</v>
      </c>
      <c r="M1105" s="35"/>
      <c r="N1105" s="36"/>
      <c r="O1105" s="6">
        <f t="shared" si="127"/>
        <v>0</v>
      </c>
      <c r="P1105" s="7">
        <f t="shared" si="128"/>
        <v>0</v>
      </c>
      <c r="Q1105" s="59"/>
      <c r="R1105" s="2" t="str">
        <f t="shared" si="124"/>
        <v>68662|||0|0|0|0|</v>
      </c>
      <c r="S1105" s="25"/>
    </row>
    <row r="1106" spans="1:19" x14ac:dyDescent="0.2">
      <c r="A1106" s="72" t="s">
        <v>406</v>
      </c>
      <c r="B1106" s="61" t="s">
        <v>2354</v>
      </c>
      <c r="C1106" s="37"/>
      <c r="D1106" s="38"/>
      <c r="E1106" s="28">
        <v>0</v>
      </c>
      <c r="F1106" s="29">
        <v>0</v>
      </c>
      <c r="G1106" s="6">
        <f t="shared" si="122"/>
        <v>0</v>
      </c>
      <c r="H1106" s="7">
        <f t="shared" si="123"/>
        <v>0</v>
      </c>
      <c r="I1106" s="6">
        <f t="shared" si="125"/>
        <v>0</v>
      </c>
      <c r="J1106" s="7">
        <f t="shared" si="126"/>
        <v>0</v>
      </c>
      <c r="K1106" s="28">
        <v>0</v>
      </c>
      <c r="L1106" s="29">
        <v>0</v>
      </c>
      <c r="M1106" s="35"/>
      <c r="N1106" s="36"/>
      <c r="O1106" s="6">
        <f t="shared" si="127"/>
        <v>0</v>
      </c>
      <c r="P1106" s="7">
        <f t="shared" si="128"/>
        <v>0</v>
      </c>
      <c r="Q1106" s="59"/>
      <c r="R1106" s="2" t="str">
        <f t="shared" si="124"/>
        <v>6869|||0|0|0|0|</v>
      </c>
      <c r="S1106" s="25"/>
    </row>
    <row r="1107" spans="1:19" x14ac:dyDescent="0.2">
      <c r="A1107" s="72" t="s">
        <v>407</v>
      </c>
      <c r="B1107" s="61" t="s">
        <v>2355</v>
      </c>
      <c r="C1107" s="37"/>
      <c r="D1107" s="38"/>
      <c r="E1107" s="28">
        <v>0</v>
      </c>
      <c r="F1107" s="29">
        <v>0</v>
      </c>
      <c r="G1107" s="6">
        <f t="shared" si="122"/>
        <v>0</v>
      </c>
      <c r="H1107" s="7">
        <f t="shared" si="123"/>
        <v>0</v>
      </c>
      <c r="I1107" s="6">
        <f t="shared" si="125"/>
        <v>0</v>
      </c>
      <c r="J1107" s="7">
        <f t="shared" si="126"/>
        <v>0</v>
      </c>
      <c r="K1107" s="28">
        <v>0</v>
      </c>
      <c r="L1107" s="29">
        <v>0</v>
      </c>
      <c r="M1107" s="35"/>
      <c r="N1107" s="36"/>
      <c r="O1107" s="6">
        <f t="shared" si="127"/>
        <v>0</v>
      </c>
      <c r="P1107" s="7">
        <f t="shared" si="128"/>
        <v>0</v>
      </c>
      <c r="Q1107" s="59"/>
      <c r="R1107" s="2" t="str">
        <f t="shared" si="124"/>
        <v>69111|||0|0|0|0|</v>
      </c>
      <c r="S1107" s="25"/>
    </row>
    <row r="1108" spans="1:19" x14ac:dyDescent="0.2">
      <c r="A1108" s="72" t="s">
        <v>408</v>
      </c>
      <c r="B1108" s="61" t="s">
        <v>2356</v>
      </c>
      <c r="C1108" s="37"/>
      <c r="D1108" s="38"/>
      <c r="E1108" s="28">
        <v>0</v>
      </c>
      <c r="F1108" s="29">
        <v>0</v>
      </c>
      <c r="G1108" s="6">
        <f t="shared" si="122"/>
        <v>0</v>
      </c>
      <c r="H1108" s="7">
        <f t="shared" si="123"/>
        <v>0</v>
      </c>
      <c r="I1108" s="6">
        <f t="shared" si="125"/>
        <v>0</v>
      </c>
      <c r="J1108" s="7">
        <f t="shared" si="126"/>
        <v>0</v>
      </c>
      <c r="K1108" s="28">
        <v>0</v>
      </c>
      <c r="L1108" s="29">
        <v>0</v>
      </c>
      <c r="M1108" s="35"/>
      <c r="N1108" s="36"/>
      <c r="O1108" s="6">
        <f t="shared" si="127"/>
        <v>0</v>
      </c>
      <c r="P1108" s="7">
        <f t="shared" si="128"/>
        <v>0</v>
      </c>
      <c r="Q1108" s="59"/>
      <c r="R1108" s="2" t="str">
        <f t="shared" si="124"/>
        <v>69112|||0|0|0|0|</v>
      </c>
      <c r="S1108" s="25"/>
    </row>
    <row r="1109" spans="1:19" x14ac:dyDescent="0.2">
      <c r="A1109" s="72" t="s">
        <v>409</v>
      </c>
      <c r="B1109" s="61" t="s">
        <v>2357</v>
      </c>
      <c r="C1109" s="37"/>
      <c r="D1109" s="38"/>
      <c r="E1109" s="28">
        <v>0</v>
      </c>
      <c r="F1109" s="29">
        <v>0</v>
      </c>
      <c r="G1109" s="6">
        <f t="shared" si="122"/>
        <v>0</v>
      </c>
      <c r="H1109" s="7">
        <f t="shared" si="123"/>
        <v>0</v>
      </c>
      <c r="I1109" s="6">
        <f t="shared" si="125"/>
        <v>0</v>
      </c>
      <c r="J1109" s="7">
        <f t="shared" si="126"/>
        <v>0</v>
      </c>
      <c r="K1109" s="28">
        <v>0</v>
      </c>
      <c r="L1109" s="29">
        <v>0</v>
      </c>
      <c r="M1109" s="35"/>
      <c r="N1109" s="36"/>
      <c r="O1109" s="6">
        <f t="shared" si="127"/>
        <v>0</v>
      </c>
      <c r="P1109" s="7">
        <f t="shared" si="128"/>
        <v>0</v>
      </c>
      <c r="Q1109" s="59"/>
      <c r="R1109" s="2" t="str">
        <f t="shared" si="124"/>
        <v>69121|||0|0|0|0|</v>
      </c>
      <c r="S1109" s="25"/>
    </row>
    <row r="1110" spans="1:19" x14ac:dyDescent="0.2">
      <c r="A1110" s="72" t="s">
        <v>410</v>
      </c>
      <c r="B1110" s="61" t="s">
        <v>2358</v>
      </c>
      <c r="C1110" s="37"/>
      <c r="D1110" s="38"/>
      <c r="E1110" s="28">
        <v>0</v>
      </c>
      <c r="F1110" s="29">
        <v>0</v>
      </c>
      <c r="G1110" s="6">
        <f t="shared" si="122"/>
        <v>0</v>
      </c>
      <c r="H1110" s="7">
        <f t="shared" si="123"/>
        <v>0</v>
      </c>
      <c r="I1110" s="6">
        <f t="shared" si="125"/>
        <v>0</v>
      </c>
      <c r="J1110" s="7">
        <f t="shared" si="126"/>
        <v>0</v>
      </c>
      <c r="K1110" s="28">
        <v>0</v>
      </c>
      <c r="L1110" s="29">
        <v>0</v>
      </c>
      <c r="M1110" s="35"/>
      <c r="N1110" s="36"/>
      <c r="O1110" s="6">
        <f t="shared" si="127"/>
        <v>0</v>
      </c>
      <c r="P1110" s="7">
        <f t="shared" si="128"/>
        <v>0</v>
      </c>
      <c r="Q1110" s="59"/>
      <c r="R1110" s="2" t="str">
        <f t="shared" si="124"/>
        <v>69122|||0|0|0|0|</v>
      </c>
      <c r="S1110" s="25"/>
    </row>
    <row r="1111" spans="1:19" x14ac:dyDescent="0.2">
      <c r="A1111" s="72" t="s">
        <v>411</v>
      </c>
      <c r="B1111" s="61" t="s">
        <v>2359</v>
      </c>
      <c r="C1111" s="37"/>
      <c r="D1111" s="38"/>
      <c r="E1111" s="28">
        <v>0</v>
      </c>
      <c r="F1111" s="29">
        <v>0</v>
      </c>
      <c r="G1111" s="6">
        <f t="shared" si="122"/>
        <v>0</v>
      </c>
      <c r="H1111" s="7">
        <f t="shared" si="123"/>
        <v>0</v>
      </c>
      <c r="I1111" s="6">
        <f t="shared" si="125"/>
        <v>0</v>
      </c>
      <c r="J1111" s="7">
        <f t="shared" si="126"/>
        <v>0</v>
      </c>
      <c r="K1111" s="28">
        <v>0</v>
      </c>
      <c r="L1111" s="29">
        <v>0</v>
      </c>
      <c r="M1111" s="35"/>
      <c r="N1111" s="36"/>
      <c r="O1111" s="6">
        <f t="shared" si="127"/>
        <v>0</v>
      </c>
      <c r="P1111" s="7">
        <f t="shared" si="128"/>
        <v>0</v>
      </c>
      <c r="Q1111" s="59"/>
      <c r="R1111" s="2" t="str">
        <f t="shared" si="124"/>
        <v>69131|||0|0|0|0|</v>
      </c>
      <c r="S1111" s="25"/>
    </row>
    <row r="1112" spans="1:19" x14ac:dyDescent="0.2">
      <c r="A1112" s="72" t="s">
        <v>412</v>
      </c>
      <c r="B1112" s="61" t="s">
        <v>2360</v>
      </c>
      <c r="C1112" s="37"/>
      <c r="D1112" s="38"/>
      <c r="E1112" s="28">
        <v>0</v>
      </c>
      <c r="F1112" s="29">
        <v>0</v>
      </c>
      <c r="G1112" s="6">
        <f t="shared" si="122"/>
        <v>0</v>
      </c>
      <c r="H1112" s="7">
        <f t="shared" si="123"/>
        <v>0</v>
      </c>
      <c r="I1112" s="6">
        <f t="shared" si="125"/>
        <v>0</v>
      </c>
      <c r="J1112" s="7">
        <f t="shared" si="126"/>
        <v>0</v>
      </c>
      <c r="K1112" s="28">
        <v>0</v>
      </c>
      <c r="L1112" s="29">
        <v>0</v>
      </c>
      <c r="M1112" s="35"/>
      <c r="N1112" s="36"/>
      <c r="O1112" s="6">
        <f t="shared" si="127"/>
        <v>0</v>
      </c>
      <c r="P1112" s="7">
        <f t="shared" si="128"/>
        <v>0</v>
      </c>
      <c r="Q1112" s="59"/>
      <c r="R1112" s="2" t="str">
        <f t="shared" si="124"/>
        <v>69132|||0|0|0|0|</v>
      </c>
      <c r="S1112" s="25"/>
    </row>
    <row r="1113" spans="1:19" x14ac:dyDescent="0.2">
      <c r="A1113" s="72" t="s">
        <v>413</v>
      </c>
      <c r="B1113" s="61" t="s">
        <v>2361</v>
      </c>
      <c r="C1113" s="37"/>
      <c r="D1113" s="38"/>
      <c r="E1113" s="28">
        <v>0</v>
      </c>
      <c r="F1113" s="29">
        <v>0</v>
      </c>
      <c r="G1113" s="6">
        <f t="shared" si="122"/>
        <v>0</v>
      </c>
      <c r="H1113" s="7">
        <f t="shared" si="123"/>
        <v>0</v>
      </c>
      <c r="I1113" s="6">
        <f t="shared" si="125"/>
        <v>0</v>
      </c>
      <c r="J1113" s="7">
        <f t="shared" si="126"/>
        <v>0</v>
      </c>
      <c r="K1113" s="28">
        <v>0</v>
      </c>
      <c r="L1113" s="29">
        <v>0</v>
      </c>
      <c r="M1113" s="35"/>
      <c r="N1113" s="36"/>
      <c r="O1113" s="6">
        <f t="shared" si="127"/>
        <v>0</v>
      </c>
      <c r="P1113" s="7">
        <f t="shared" si="128"/>
        <v>0</v>
      </c>
      <c r="Q1113" s="59"/>
      <c r="R1113" s="2" t="str">
        <f t="shared" si="124"/>
        <v>69141|||0|0|0|0|</v>
      </c>
      <c r="S1113" s="25"/>
    </row>
    <row r="1114" spans="1:19" x14ac:dyDescent="0.2">
      <c r="A1114" s="72" t="s">
        <v>414</v>
      </c>
      <c r="B1114" s="61" t="s">
        <v>2362</v>
      </c>
      <c r="C1114" s="37"/>
      <c r="D1114" s="38"/>
      <c r="E1114" s="28">
        <v>0</v>
      </c>
      <c r="F1114" s="29">
        <v>0</v>
      </c>
      <c r="G1114" s="6">
        <f t="shared" si="122"/>
        <v>0</v>
      </c>
      <c r="H1114" s="7">
        <f t="shared" si="123"/>
        <v>0</v>
      </c>
      <c r="I1114" s="6">
        <f t="shared" si="125"/>
        <v>0</v>
      </c>
      <c r="J1114" s="7">
        <f t="shared" si="126"/>
        <v>0</v>
      </c>
      <c r="K1114" s="28">
        <v>0</v>
      </c>
      <c r="L1114" s="29">
        <v>0</v>
      </c>
      <c r="M1114" s="35"/>
      <c r="N1114" s="36"/>
      <c r="O1114" s="6">
        <f t="shared" si="127"/>
        <v>0</v>
      </c>
      <c r="P1114" s="7">
        <f t="shared" si="128"/>
        <v>0</v>
      </c>
      <c r="Q1114" s="59"/>
      <c r="R1114" s="2" t="str">
        <f t="shared" si="124"/>
        <v>69142|||0|0|0|0|</v>
      </c>
      <c r="S1114" s="25"/>
    </row>
    <row r="1115" spans="1:19" x14ac:dyDescent="0.2">
      <c r="A1115" s="72" t="s">
        <v>415</v>
      </c>
      <c r="B1115" s="61" t="s">
        <v>2363</v>
      </c>
      <c r="C1115" s="37"/>
      <c r="D1115" s="38"/>
      <c r="E1115" s="28">
        <v>0</v>
      </c>
      <c r="F1115" s="29">
        <v>0</v>
      </c>
      <c r="G1115" s="6">
        <f t="shared" si="122"/>
        <v>0</v>
      </c>
      <c r="H1115" s="7">
        <f t="shared" si="123"/>
        <v>0</v>
      </c>
      <c r="I1115" s="6">
        <f t="shared" si="125"/>
        <v>0</v>
      </c>
      <c r="J1115" s="7">
        <f t="shared" si="126"/>
        <v>0</v>
      </c>
      <c r="K1115" s="28">
        <v>0</v>
      </c>
      <c r="L1115" s="29">
        <v>0</v>
      </c>
      <c r="M1115" s="35"/>
      <c r="N1115" s="36"/>
      <c r="O1115" s="6">
        <f t="shared" si="127"/>
        <v>0</v>
      </c>
      <c r="P1115" s="7">
        <f t="shared" si="128"/>
        <v>0</v>
      </c>
      <c r="Q1115" s="59"/>
      <c r="R1115" s="2" t="str">
        <f t="shared" si="124"/>
        <v>69151|||0|0|0|0|</v>
      </c>
      <c r="S1115" s="25"/>
    </row>
    <row r="1116" spans="1:19" x14ac:dyDescent="0.2">
      <c r="A1116" s="72" t="s">
        <v>416</v>
      </c>
      <c r="B1116" s="61" t="s">
        <v>2364</v>
      </c>
      <c r="C1116" s="37"/>
      <c r="D1116" s="38"/>
      <c r="E1116" s="28">
        <v>0</v>
      </c>
      <c r="F1116" s="29">
        <v>0</v>
      </c>
      <c r="G1116" s="6">
        <f t="shared" si="122"/>
        <v>0</v>
      </c>
      <c r="H1116" s="7">
        <f t="shared" si="123"/>
        <v>0</v>
      </c>
      <c r="I1116" s="6">
        <f t="shared" si="125"/>
        <v>0</v>
      </c>
      <c r="J1116" s="7">
        <f t="shared" si="126"/>
        <v>0</v>
      </c>
      <c r="K1116" s="28">
        <v>0</v>
      </c>
      <c r="L1116" s="29">
        <v>0</v>
      </c>
      <c r="M1116" s="35"/>
      <c r="N1116" s="36"/>
      <c r="O1116" s="6">
        <f t="shared" si="127"/>
        <v>0</v>
      </c>
      <c r="P1116" s="7">
        <f t="shared" si="128"/>
        <v>0</v>
      </c>
      <c r="Q1116" s="59"/>
      <c r="R1116" s="2" t="str">
        <f t="shared" si="124"/>
        <v>69152|||0|0|0|0|</v>
      </c>
      <c r="S1116" s="25"/>
    </row>
    <row r="1117" spans="1:19" x14ac:dyDescent="0.2">
      <c r="A1117" s="72" t="s">
        <v>417</v>
      </c>
      <c r="B1117" s="61" t="s">
        <v>2365</v>
      </c>
      <c r="C1117" s="37"/>
      <c r="D1117" s="38"/>
      <c r="E1117" s="28">
        <v>0</v>
      </c>
      <c r="F1117" s="29">
        <v>0</v>
      </c>
      <c r="G1117" s="6">
        <f t="shared" si="122"/>
        <v>0</v>
      </c>
      <c r="H1117" s="7">
        <f t="shared" si="123"/>
        <v>0</v>
      </c>
      <c r="I1117" s="6">
        <f t="shared" si="125"/>
        <v>0</v>
      </c>
      <c r="J1117" s="7">
        <f t="shared" si="126"/>
        <v>0</v>
      </c>
      <c r="K1117" s="28">
        <v>0</v>
      </c>
      <c r="L1117" s="29">
        <v>0</v>
      </c>
      <c r="M1117" s="35"/>
      <c r="N1117" s="36"/>
      <c r="O1117" s="6">
        <f t="shared" si="127"/>
        <v>0</v>
      </c>
      <c r="P1117" s="7">
        <f t="shared" si="128"/>
        <v>0</v>
      </c>
      <c r="Q1117" s="59"/>
      <c r="R1117" s="2" t="str">
        <f t="shared" si="124"/>
        <v>69211|||0|0|0|0|</v>
      </c>
      <c r="S1117" s="25"/>
    </row>
    <row r="1118" spans="1:19" x14ac:dyDescent="0.2">
      <c r="A1118" s="72" t="s">
        <v>418</v>
      </c>
      <c r="B1118" s="61" t="s">
        <v>2366</v>
      </c>
      <c r="C1118" s="37"/>
      <c r="D1118" s="38"/>
      <c r="E1118" s="28">
        <v>0</v>
      </c>
      <c r="F1118" s="29">
        <v>0</v>
      </c>
      <c r="G1118" s="6">
        <f t="shared" si="122"/>
        <v>0</v>
      </c>
      <c r="H1118" s="7">
        <f t="shared" si="123"/>
        <v>0</v>
      </c>
      <c r="I1118" s="6">
        <f t="shared" si="125"/>
        <v>0</v>
      </c>
      <c r="J1118" s="7">
        <f t="shared" si="126"/>
        <v>0</v>
      </c>
      <c r="K1118" s="28">
        <v>0</v>
      </c>
      <c r="L1118" s="29">
        <v>0</v>
      </c>
      <c r="M1118" s="35"/>
      <c r="N1118" s="36"/>
      <c r="O1118" s="6">
        <f t="shared" si="127"/>
        <v>0</v>
      </c>
      <c r="P1118" s="7">
        <f t="shared" si="128"/>
        <v>0</v>
      </c>
      <c r="Q1118" s="59"/>
      <c r="R1118" s="2" t="str">
        <f t="shared" si="124"/>
        <v>69212|||0|0|0|0|</v>
      </c>
      <c r="S1118" s="25"/>
    </row>
    <row r="1119" spans="1:19" x14ac:dyDescent="0.2">
      <c r="A1119" s="72" t="s">
        <v>513</v>
      </c>
      <c r="B1119" s="61" t="s">
        <v>2367</v>
      </c>
      <c r="C1119" s="37"/>
      <c r="D1119" s="38"/>
      <c r="E1119" s="28">
        <v>0</v>
      </c>
      <c r="F1119" s="29">
        <v>0</v>
      </c>
      <c r="G1119" s="6">
        <f t="shared" ref="G1119:G1182" si="129">+E1119</f>
        <v>0</v>
      </c>
      <c r="H1119" s="7">
        <f t="shared" ref="H1119:H1182" si="130">+F1119</f>
        <v>0</v>
      </c>
      <c r="I1119" s="6">
        <f t="shared" si="125"/>
        <v>0</v>
      </c>
      <c r="J1119" s="7">
        <f t="shared" si="126"/>
        <v>0</v>
      </c>
      <c r="K1119" s="28">
        <v>0</v>
      </c>
      <c r="L1119" s="29">
        <v>0</v>
      </c>
      <c r="M1119" s="35"/>
      <c r="N1119" s="36"/>
      <c r="O1119" s="6">
        <f t="shared" si="127"/>
        <v>0</v>
      </c>
      <c r="P1119" s="7">
        <f t="shared" si="128"/>
        <v>0</v>
      </c>
      <c r="Q1119" s="59"/>
      <c r="R1119" s="2" t="str">
        <f t="shared" si="124"/>
        <v>69221|||0|0|0|0|</v>
      </c>
      <c r="S1119" s="25"/>
    </row>
    <row r="1120" spans="1:19" x14ac:dyDescent="0.2">
      <c r="A1120" s="72" t="s">
        <v>514</v>
      </c>
      <c r="B1120" s="61" t="s">
        <v>2368</v>
      </c>
      <c r="C1120" s="37"/>
      <c r="D1120" s="38"/>
      <c r="E1120" s="28">
        <v>0</v>
      </c>
      <c r="F1120" s="29">
        <v>0</v>
      </c>
      <c r="G1120" s="6">
        <f t="shared" si="129"/>
        <v>0</v>
      </c>
      <c r="H1120" s="7">
        <f t="shared" si="130"/>
        <v>0</v>
      </c>
      <c r="I1120" s="6">
        <f t="shared" si="125"/>
        <v>0</v>
      </c>
      <c r="J1120" s="7">
        <f t="shared" si="126"/>
        <v>0</v>
      </c>
      <c r="K1120" s="28">
        <v>0</v>
      </c>
      <c r="L1120" s="29">
        <v>0</v>
      </c>
      <c r="M1120" s="35"/>
      <c r="N1120" s="36"/>
      <c r="O1120" s="6">
        <f t="shared" si="127"/>
        <v>0</v>
      </c>
      <c r="P1120" s="7">
        <f t="shared" si="128"/>
        <v>0</v>
      </c>
      <c r="Q1120" s="59"/>
      <c r="R1120" s="2" t="str">
        <f t="shared" si="124"/>
        <v>69222|||0|0|0|0|</v>
      </c>
      <c r="S1120" s="25"/>
    </row>
    <row r="1121" spans="1:19" x14ac:dyDescent="0.2">
      <c r="A1121" s="72" t="s">
        <v>515</v>
      </c>
      <c r="B1121" s="61" t="s">
        <v>2369</v>
      </c>
      <c r="C1121" s="37"/>
      <c r="D1121" s="38"/>
      <c r="E1121" s="28">
        <v>0</v>
      </c>
      <c r="F1121" s="29">
        <v>0</v>
      </c>
      <c r="G1121" s="6">
        <f t="shared" si="129"/>
        <v>0</v>
      </c>
      <c r="H1121" s="7">
        <f t="shared" si="130"/>
        <v>0</v>
      </c>
      <c r="I1121" s="6">
        <f t="shared" si="125"/>
        <v>0</v>
      </c>
      <c r="J1121" s="7">
        <f t="shared" si="126"/>
        <v>0</v>
      </c>
      <c r="K1121" s="28">
        <v>0</v>
      </c>
      <c r="L1121" s="29">
        <v>0</v>
      </c>
      <c r="M1121" s="35"/>
      <c r="N1121" s="36"/>
      <c r="O1121" s="6">
        <f t="shared" si="127"/>
        <v>0</v>
      </c>
      <c r="P1121" s="7">
        <f t="shared" si="128"/>
        <v>0</v>
      </c>
      <c r="Q1121" s="59"/>
      <c r="R1121" s="2" t="str">
        <f t="shared" si="124"/>
        <v>69231|||0|0|0|0|</v>
      </c>
      <c r="S1121" s="25"/>
    </row>
    <row r="1122" spans="1:19" x14ac:dyDescent="0.2">
      <c r="A1122" s="72" t="s">
        <v>516</v>
      </c>
      <c r="B1122" s="61" t="s">
        <v>2370</v>
      </c>
      <c r="C1122" s="37"/>
      <c r="D1122" s="38"/>
      <c r="E1122" s="28">
        <v>0</v>
      </c>
      <c r="F1122" s="29">
        <v>0</v>
      </c>
      <c r="G1122" s="6">
        <f t="shared" si="129"/>
        <v>0</v>
      </c>
      <c r="H1122" s="7">
        <f t="shared" si="130"/>
        <v>0</v>
      </c>
      <c r="I1122" s="6">
        <f t="shared" si="125"/>
        <v>0</v>
      </c>
      <c r="J1122" s="7">
        <f t="shared" si="126"/>
        <v>0</v>
      </c>
      <c r="K1122" s="28">
        <v>0</v>
      </c>
      <c r="L1122" s="29">
        <v>0</v>
      </c>
      <c r="M1122" s="35"/>
      <c r="N1122" s="36"/>
      <c r="O1122" s="6">
        <f t="shared" si="127"/>
        <v>0</v>
      </c>
      <c r="P1122" s="7">
        <f t="shared" si="128"/>
        <v>0</v>
      </c>
      <c r="Q1122" s="59"/>
      <c r="R1122" s="2" t="str">
        <f t="shared" si="124"/>
        <v>69232|||0|0|0|0|</v>
      </c>
      <c r="S1122" s="25"/>
    </row>
    <row r="1123" spans="1:19" x14ac:dyDescent="0.2">
      <c r="A1123" s="72" t="s">
        <v>517</v>
      </c>
      <c r="B1123" s="61" t="s">
        <v>2371</v>
      </c>
      <c r="C1123" s="37"/>
      <c r="D1123" s="38"/>
      <c r="E1123" s="28">
        <v>0</v>
      </c>
      <c r="F1123" s="29">
        <v>0</v>
      </c>
      <c r="G1123" s="6">
        <f t="shared" si="129"/>
        <v>0</v>
      </c>
      <c r="H1123" s="7">
        <f t="shared" si="130"/>
        <v>0</v>
      </c>
      <c r="I1123" s="6">
        <f t="shared" si="125"/>
        <v>0</v>
      </c>
      <c r="J1123" s="7">
        <f t="shared" si="126"/>
        <v>0</v>
      </c>
      <c r="K1123" s="28">
        <v>0</v>
      </c>
      <c r="L1123" s="29">
        <v>0</v>
      </c>
      <c r="M1123" s="35"/>
      <c r="N1123" s="36"/>
      <c r="O1123" s="6">
        <f t="shared" si="127"/>
        <v>0</v>
      </c>
      <c r="P1123" s="7">
        <f t="shared" si="128"/>
        <v>0</v>
      </c>
      <c r="Q1123" s="59"/>
      <c r="R1123" s="2" t="str">
        <f t="shared" si="124"/>
        <v>69241|||0|0|0|0|</v>
      </c>
      <c r="S1123" s="25"/>
    </row>
    <row r="1124" spans="1:19" x14ac:dyDescent="0.2">
      <c r="A1124" s="72" t="s">
        <v>518</v>
      </c>
      <c r="B1124" s="61" t="s">
        <v>2372</v>
      </c>
      <c r="C1124" s="37"/>
      <c r="D1124" s="38"/>
      <c r="E1124" s="28">
        <v>0</v>
      </c>
      <c r="F1124" s="29">
        <v>0</v>
      </c>
      <c r="G1124" s="6">
        <f t="shared" si="129"/>
        <v>0</v>
      </c>
      <c r="H1124" s="7">
        <f t="shared" si="130"/>
        <v>0</v>
      </c>
      <c r="I1124" s="6">
        <f t="shared" si="125"/>
        <v>0</v>
      </c>
      <c r="J1124" s="7">
        <f t="shared" si="126"/>
        <v>0</v>
      </c>
      <c r="K1124" s="28">
        <v>0</v>
      </c>
      <c r="L1124" s="29">
        <v>0</v>
      </c>
      <c r="M1124" s="35"/>
      <c r="N1124" s="36"/>
      <c r="O1124" s="6">
        <f t="shared" si="127"/>
        <v>0</v>
      </c>
      <c r="P1124" s="7">
        <f t="shared" si="128"/>
        <v>0</v>
      </c>
      <c r="Q1124" s="59"/>
      <c r="R1124" s="2" t="str">
        <f t="shared" si="124"/>
        <v>69242|||0|0|0|0|</v>
      </c>
      <c r="S1124" s="25"/>
    </row>
    <row r="1125" spans="1:19" x14ac:dyDescent="0.2">
      <c r="A1125" s="72" t="s">
        <v>519</v>
      </c>
      <c r="B1125" s="61" t="s">
        <v>2373</v>
      </c>
      <c r="C1125" s="37"/>
      <c r="D1125" s="38"/>
      <c r="E1125" s="28">
        <v>0</v>
      </c>
      <c r="F1125" s="29">
        <v>0</v>
      </c>
      <c r="G1125" s="6">
        <f t="shared" si="129"/>
        <v>0</v>
      </c>
      <c r="H1125" s="7">
        <f t="shared" si="130"/>
        <v>0</v>
      </c>
      <c r="I1125" s="6">
        <f t="shared" si="125"/>
        <v>0</v>
      </c>
      <c r="J1125" s="7">
        <f t="shared" si="126"/>
        <v>0</v>
      </c>
      <c r="K1125" s="28">
        <v>0</v>
      </c>
      <c r="L1125" s="29">
        <v>0</v>
      </c>
      <c r="M1125" s="35"/>
      <c r="N1125" s="36"/>
      <c r="O1125" s="6">
        <f t="shared" si="127"/>
        <v>0</v>
      </c>
      <c r="P1125" s="7">
        <f t="shared" si="128"/>
        <v>0</v>
      </c>
      <c r="Q1125" s="59"/>
      <c r="R1125" s="2" t="str">
        <f t="shared" ref="R1125:R1188" si="131">CONCATENATE(A1125,"|",C1125,"|",D1125,"|",E1125,"|",F1125,"|",K1125,"|",L1125,"|")</f>
        <v>69251|||0|0|0|0|</v>
      </c>
      <c r="S1125" s="25"/>
    </row>
    <row r="1126" spans="1:19" x14ac:dyDescent="0.2">
      <c r="A1126" s="72" t="s">
        <v>520</v>
      </c>
      <c r="B1126" s="61" t="s">
        <v>2374</v>
      </c>
      <c r="C1126" s="37"/>
      <c r="D1126" s="38"/>
      <c r="E1126" s="28">
        <v>0</v>
      </c>
      <c r="F1126" s="29">
        <v>0</v>
      </c>
      <c r="G1126" s="6">
        <f t="shared" si="129"/>
        <v>0</v>
      </c>
      <c r="H1126" s="7">
        <f t="shared" si="130"/>
        <v>0</v>
      </c>
      <c r="I1126" s="6">
        <f t="shared" si="125"/>
        <v>0</v>
      </c>
      <c r="J1126" s="7">
        <f t="shared" si="126"/>
        <v>0</v>
      </c>
      <c r="K1126" s="28">
        <v>0</v>
      </c>
      <c r="L1126" s="29">
        <v>0</v>
      </c>
      <c r="M1126" s="35"/>
      <c r="N1126" s="36"/>
      <c r="O1126" s="6">
        <f t="shared" si="127"/>
        <v>0</v>
      </c>
      <c r="P1126" s="7">
        <f t="shared" si="128"/>
        <v>0</v>
      </c>
      <c r="Q1126" s="59"/>
      <c r="R1126" s="2" t="str">
        <f t="shared" si="131"/>
        <v>69252|||0|0|0|0|</v>
      </c>
      <c r="S1126" s="25"/>
    </row>
    <row r="1127" spans="1:19" x14ac:dyDescent="0.2">
      <c r="A1127" s="72" t="s">
        <v>521</v>
      </c>
      <c r="B1127" s="61" t="s">
        <v>2375</v>
      </c>
      <c r="C1127" s="37"/>
      <c r="D1127" s="38"/>
      <c r="E1127" s="28">
        <v>0</v>
      </c>
      <c r="F1127" s="29">
        <v>0</v>
      </c>
      <c r="G1127" s="6">
        <f t="shared" si="129"/>
        <v>0</v>
      </c>
      <c r="H1127" s="7">
        <f t="shared" si="130"/>
        <v>0</v>
      </c>
      <c r="I1127" s="6">
        <f t="shared" si="125"/>
        <v>0</v>
      </c>
      <c r="J1127" s="7">
        <f t="shared" si="126"/>
        <v>0</v>
      </c>
      <c r="K1127" s="28">
        <v>0</v>
      </c>
      <c r="L1127" s="29">
        <v>0</v>
      </c>
      <c r="M1127" s="35"/>
      <c r="N1127" s="36"/>
      <c r="O1127" s="6">
        <f t="shared" si="127"/>
        <v>0</v>
      </c>
      <c r="P1127" s="7">
        <f t="shared" si="128"/>
        <v>0</v>
      </c>
      <c r="Q1127" s="59"/>
      <c r="R1127" s="2" t="str">
        <f t="shared" si="131"/>
        <v>69261|||0|0|0|0|</v>
      </c>
      <c r="S1127" s="25"/>
    </row>
    <row r="1128" spans="1:19" x14ac:dyDescent="0.2">
      <c r="A1128" s="72" t="s">
        <v>522</v>
      </c>
      <c r="B1128" s="61" t="s">
        <v>2376</v>
      </c>
      <c r="C1128" s="37"/>
      <c r="D1128" s="38"/>
      <c r="E1128" s="28">
        <v>0</v>
      </c>
      <c r="F1128" s="29">
        <v>0</v>
      </c>
      <c r="G1128" s="6">
        <f t="shared" si="129"/>
        <v>0</v>
      </c>
      <c r="H1128" s="7">
        <f t="shared" si="130"/>
        <v>0</v>
      </c>
      <c r="I1128" s="6">
        <f t="shared" si="125"/>
        <v>0</v>
      </c>
      <c r="J1128" s="7">
        <f t="shared" si="126"/>
        <v>0</v>
      </c>
      <c r="K1128" s="28">
        <v>0</v>
      </c>
      <c r="L1128" s="29">
        <v>0</v>
      </c>
      <c r="M1128" s="35"/>
      <c r="N1128" s="36"/>
      <c r="O1128" s="6">
        <f t="shared" si="127"/>
        <v>0</v>
      </c>
      <c r="P1128" s="7">
        <f t="shared" si="128"/>
        <v>0</v>
      </c>
      <c r="Q1128" s="59"/>
      <c r="R1128" s="2" t="str">
        <f t="shared" si="131"/>
        <v>69262|||0|0|0|0|</v>
      </c>
      <c r="S1128" s="25"/>
    </row>
    <row r="1129" spans="1:19" x14ac:dyDescent="0.2">
      <c r="A1129" s="72" t="s">
        <v>2377</v>
      </c>
      <c r="B1129" s="61" t="s">
        <v>2378</v>
      </c>
      <c r="C1129" s="37"/>
      <c r="D1129" s="38"/>
      <c r="E1129" s="28">
        <v>0</v>
      </c>
      <c r="F1129" s="29">
        <v>0</v>
      </c>
      <c r="G1129" s="6">
        <f t="shared" si="129"/>
        <v>0</v>
      </c>
      <c r="H1129" s="7">
        <f t="shared" si="130"/>
        <v>0</v>
      </c>
      <c r="I1129" s="6">
        <f t="shared" si="125"/>
        <v>0</v>
      </c>
      <c r="J1129" s="7">
        <f t="shared" si="126"/>
        <v>0</v>
      </c>
      <c r="K1129" s="28">
        <v>0</v>
      </c>
      <c r="L1129" s="29">
        <v>0</v>
      </c>
      <c r="M1129" s="35"/>
      <c r="N1129" s="36"/>
      <c r="O1129" s="6">
        <f t="shared" si="127"/>
        <v>0</v>
      </c>
      <c r="P1129" s="7">
        <f t="shared" si="128"/>
        <v>0</v>
      </c>
      <c r="Q1129" s="59"/>
      <c r="R1129" s="2" t="str">
        <f t="shared" si="131"/>
        <v>6927|||0|0|0|0|</v>
      </c>
      <c r="S1129" s="25"/>
    </row>
    <row r="1130" spans="1:19" x14ac:dyDescent="0.2">
      <c r="A1130" s="72" t="s">
        <v>2379</v>
      </c>
      <c r="B1130" s="61" t="s">
        <v>2380</v>
      </c>
      <c r="C1130" s="37"/>
      <c r="D1130" s="38"/>
      <c r="E1130" s="28">
        <v>0</v>
      </c>
      <c r="F1130" s="29">
        <v>0</v>
      </c>
      <c r="G1130" s="6">
        <f t="shared" si="129"/>
        <v>0</v>
      </c>
      <c r="H1130" s="7">
        <f t="shared" si="130"/>
        <v>0</v>
      </c>
      <c r="I1130" s="6">
        <f t="shared" si="125"/>
        <v>0</v>
      </c>
      <c r="J1130" s="7">
        <f t="shared" si="126"/>
        <v>0</v>
      </c>
      <c r="K1130" s="28">
        <v>0</v>
      </c>
      <c r="L1130" s="29">
        <v>0</v>
      </c>
      <c r="M1130" s="35"/>
      <c r="N1130" s="36"/>
      <c r="O1130" s="6">
        <f t="shared" si="127"/>
        <v>0</v>
      </c>
      <c r="P1130" s="7">
        <f t="shared" si="128"/>
        <v>0</v>
      </c>
      <c r="Q1130" s="59"/>
      <c r="R1130" s="2" t="str">
        <f t="shared" si="131"/>
        <v>6928|||0|0|0|0|</v>
      </c>
      <c r="S1130" s="25"/>
    </row>
    <row r="1131" spans="1:19" x14ac:dyDescent="0.2">
      <c r="A1131" s="72" t="s">
        <v>523</v>
      </c>
      <c r="B1131" s="61" t="s">
        <v>2381</v>
      </c>
      <c r="C1131" s="37"/>
      <c r="D1131" s="38"/>
      <c r="E1131" s="28">
        <v>0</v>
      </c>
      <c r="F1131" s="29">
        <v>0</v>
      </c>
      <c r="G1131" s="6">
        <f t="shared" si="129"/>
        <v>0</v>
      </c>
      <c r="H1131" s="7">
        <f t="shared" si="130"/>
        <v>0</v>
      </c>
      <c r="I1131" s="6">
        <f t="shared" si="125"/>
        <v>0</v>
      </c>
      <c r="J1131" s="7">
        <f t="shared" si="126"/>
        <v>0</v>
      </c>
      <c r="K1131" s="28">
        <v>0</v>
      </c>
      <c r="L1131" s="29">
        <v>0</v>
      </c>
      <c r="M1131" s="35"/>
      <c r="N1131" s="36"/>
      <c r="O1131" s="6">
        <f t="shared" si="127"/>
        <v>0</v>
      </c>
      <c r="P1131" s="7">
        <f t="shared" si="128"/>
        <v>0</v>
      </c>
      <c r="Q1131" s="59"/>
      <c r="R1131" s="2" t="str">
        <f t="shared" si="131"/>
        <v>69311|||0|0|0|0|</v>
      </c>
      <c r="S1131" s="25"/>
    </row>
    <row r="1132" spans="1:19" x14ac:dyDescent="0.2">
      <c r="A1132" s="72" t="s">
        <v>524</v>
      </c>
      <c r="B1132" s="61" t="s">
        <v>2382</v>
      </c>
      <c r="C1132" s="37"/>
      <c r="D1132" s="38"/>
      <c r="E1132" s="28">
        <v>0</v>
      </c>
      <c r="F1132" s="29">
        <v>0</v>
      </c>
      <c r="G1132" s="6">
        <f t="shared" si="129"/>
        <v>0</v>
      </c>
      <c r="H1132" s="7">
        <f t="shared" si="130"/>
        <v>0</v>
      </c>
      <c r="I1132" s="6">
        <f t="shared" si="125"/>
        <v>0</v>
      </c>
      <c r="J1132" s="7">
        <f t="shared" si="126"/>
        <v>0</v>
      </c>
      <c r="K1132" s="28">
        <v>0</v>
      </c>
      <c r="L1132" s="29">
        <v>0</v>
      </c>
      <c r="M1132" s="35"/>
      <c r="N1132" s="36"/>
      <c r="O1132" s="6">
        <f t="shared" si="127"/>
        <v>0</v>
      </c>
      <c r="P1132" s="7">
        <f t="shared" si="128"/>
        <v>0</v>
      </c>
      <c r="Q1132" s="59"/>
      <c r="R1132" s="2" t="str">
        <f t="shared" si="131"/>
        <v>69312|||0|0|0|0|</v>
      </c>
      <c r="S1132" s="25"/>
    </row>
    <row r="1133" spans="1:19" x14ac:dyDescent="0.2">
      <c r="A1133" s="72" t="s">
        <v>525</v>
      </c>
      <c r="B1133" s="61" t="s">
        <v>2383</v>
      </c>
      <c r="C1133" s="37"/>
      <c r="D1133" s="38"/>
      <c r="E1133" s="28">
        <v>0</v>
      </c>
      <c r="F1133" s="29">
        <v>0</v>
      </c>
      <c r="G1133" s="6">
        <f t="shared" si="129"/>
        <v>0</v>
      </c>
      <c r="H1133" s="7">
        <f t="shared" si="130"/>
        <v>0</v>
      </c>
      <c r="I1133" s="6">
        <f t="shared" si="125"/>
        <v>0</v>
      </c>
      <c r="J1133" s="7">
        <f t="shared" si="126"/>
        <v>0</v>
      </c>
      <c r="K1133" s="28">
        <v>0</v>
      </c>
      <c r="L1133" s="29">
        <v>0</v>
      </c>
      <c r="M1133" s="35"/>
      <c r="N1133" s="36"/>
      <c r="O1133" s="6">
        <f t="shared" si="127"/>
        <v>0</v>
      </c>
      <c r="P1133" s="7">
        <f t="shared" si="128"/>
        <v>0</v>
      </c>
      <c r="Q1133" s="59"/>
      <c r="R1133" s="2" t="str">
        <f t="shared" si="131"/>
        <v>69321|||0|0|0|0|</v>
      </c>
      <c r="S1133" s="25"/>
    </row>
    <row r="1134" spans="1:19" x14ac:dyDescent="0.2">
      <c r="A1134" s="72" t="s">
        <v>526</v>
      </c>
      <c r="B1134" s="61" t="s">
        <v>2384</v>
      </c>
      <c r="C1134" s="37"/>
      <c r="D1134" s="38"/>
      <c r="E1134" s="28">
        <v>0</v>
      </c>
      <c r="F1134" s="29">
        <v>0</v>
      </c>
      <c r="G1134" s="6">
        <f t="shared" si="129"/>
        <v>0</v>
      </c>
      <c r="H1134" s="7">
        <f t="shared" si="130"/>
        <v>0</v>
      </c>
      <c r="I1134" s="6">
        <f t="shared" si="125"/>
        <v>0</v>
      </c>
      <c r="J1134" s="7">
        <f t="shared" si="126"/>
        <v>0</v>
      </c>
      <c r="K1134" s="28">
        <v>0</v>
      </c>
      <c r="L1134" s="29">
        <v>0</v>
      </c>
      <c r="M1134" s="35"/>
      <c r="N1134" s="36"/>
      <c r="O1134" s="6">
        <f t="shared" si="127"/>
        <v>0</v>
      </c>
      <c r="P1134" s="7">
        <f t="shared" si="128"/>
        <v>0</v>
      </c>
      <c r="Q1134" s="59"/>
      <c r="R1134" s="2" t="str">
        <f t="shared" si="131"/>
        <v>69322|||0|0|0|0|</v>
      </c>
      <c r="S1134" s="25"/>
    </row>
    <row r="1135" spans="1:19" x14ac:dyDescent="0.2">
      <c r="A1135" s="72" t="s">
        <v>527</v>
      </c>
      <c r="B1135" s="61" t="s">
        <v>2385</v>
      </c>
      <c r="C1135" s="37"/>
      <c r="D1135" s="38"/>
      <c r="E1135" s="28">
        <v>0</v>
      </c>
      <c r="F1135" s="29">
        <v>0</v>
      </c>
      <c r="G1135" s="6">
        <f t="shared" si="129"/>
        <v>0</v>
      </c>
      <c r="H1135" s="7">
        <f t="shared" si="130"/>
        <v>0</v>
      </c>
      <c r="I1135" s="6">
        <f t="shared" si="125"/>
        <v>0</v>
      </c>
      <c r="J1135" s="7">
        <f t="shared" si="126"/>
        <v>0</v>
      </c>
      <c r="K1135" s="28">
        <v>0</v>
      </c>
      <c r="L1135" s="29">
        <v>0</v>
      </c>
      <c r="M1135" s="35"/>
      <c r="N1135" s="36"/>
      <c r="O1135" s="6">
        <f t="shared" si="127"/>
        <v>0</v>
      </c>
      <c r="P1135" s="7">
        <f t="shared" si="128"/>
        <v>0</v>
      </c>
      <c r="Q1135" s="59"/>
      <c r="R1135" s="2" t="str">
        <f t="shared" si="131"/>
        <v>6941|||0|0|0|0|</v>
      </c>
      <c r="S1135" s="25"/>
    </row>
    <row r="1136" spans="1:19" x14ac:dyDescent="0.2">
      <c r="A1136" s="72" t="s">
        <v>528</v>
      </c>
      <c r="B1136" s="61" t="s">
        <v>2386</v>
      </c>
      <c r="C1136" s="37"/>
      <c r="D1136" s="38"/>
      <c r="E1136" s="28">
        <v>0</v>
      </c>
      <c r="F1136" s="29">
        <v>0</v>
      </c>
      <c r="G1136" s="6">
        <f t="shared" si="129"/>
        <v>0</v>
      </c>
      <c r="H1136" s="7">
        <f t="shared" si="130"/>
        <v>0</v>
      </c>
      <c r="I1136" s="6">
        <f t="shared" si="125"/>
        <v>0</v>
      </c>
      <c r="J1136" s="7">
        <f t="shared" si="126"/>
        <v>0</v>
      </c>
      <c r="K1136" s="28">
        <v>0</v>
      </c>
      <c r="L1136" s="29">
        <v>0</v>
      </c>
      <c r="M1136" s="35"/>
      <c r="N1136" s="36"/>
      <c r="O1136" s="6">
        <f t="shared" si="127"/>
        <v>0</v>
      </c>
      <c r="P1136" s="7">
        <f t="shared" si="128"/>
        <v>0</v>
      </c>
      <c r="Q1136" s="59"/>
      <c r="R1136" s="2" t="str">
        <f t="shared" si="131"/>
        <v>6942|||0|0|0|0|</v>
      </c>
      <c r="S1136" s="25"/>
    </row>
    <row r="1137" spans="1:19" x14ac:dyDescent="0.2">
      <c r="A1137" s="72" t="s">
        <v>2387</v>
      </c>
      <c r="B1137" s="61" t="s">
        <v>2388</v>
      </c>
      <c r="C1137" s="37"/>
      <c r="D1137" s="38"/>
      <c r="E1137" s="28">
        <v>0</v>
      </c>
      <c r="F1137" s="29">
        <v>0</v>
      </c>
      <c r="G1137" s="6">
        <f t="shared" si="129"/>
        <v>0</v>
      </c>
      <c r="H1137" s="7">
        <f t="shared" si="130"/>
        <v>0</v>
      </c>
      <c r="I1137" s="6">
        <f t="shared" ref="I1137:I1200" si="132">IF($E1137-$F1137&gt;=0,$E1137-$F1137,0)</f>
        <v>0</v>
      </c>
      <c r="J1137" s="7">
        <f t="shared" ref="J1137:J1200" si="133">IF($E1137-$F1137&lt;0,-$E1137+$F1137,0)</f>
        <v>0</v>
      </c>
      <c r="K1137" s="28">
        <v>0</v>
      </c>
      <c r="L1137" s="29">
        <v>0</v>
      </c>
      <c r="M1137" s="35"/>
      <c r="N1137" s="36"/>
      <c r="O1137" s="6">
        <f t="shared" ref="O1137:O1200" si="134">IF($I1137-$J1137+$K1137-$L1137&gt;=0,$I1137-$J1137+$K1137-$L1137,0)</f>
        <v>0</v>
      </c>
      <c r="P1137" s="7">
        <f t="shared" ref="P1137:P1200" si="135">IF($I1137-$J1137+$K1137-$L1137&lt;0,-($I1137-$J1137+$K1137-$L1137),0)</f>
        <v>0</v>
      </c>
      <c r="Q1137" s="59"/>
      <c r="R1137" s="2" t="str">
        <f t="shared" si="131"/>
        <v>6951|||0|0|0|0|</v>
      </c>
      <c r="S1137" s="25"/>
    </row>
    <row r="1138" spans="1:19" x14ac:dyDescent="0.2">
      <c r="A1138" s="72" t="s">
        <v>2389</v>
      </c>
      <c r="B1138" s="61" t="s">
        <v>2390</v>
      </c>
      <c r="C1138" s="37"/>
      <c r="D1138" s="38"/>
      <c r="E1138" s="28">
        <v>0</v>
      </c>
      <c r="F1138" s="29">
        <v>0</v>
      </c>
      <c r="G1138" s="6">
        <f t="shared" si="129"/>
        <v>0</v>
      </c>
      <c r="H1138" s="7">
        <f t="shared" si="130"/>
        <v>0</v>
      </c>
      <c r="I1138" s="6">
        <f t="shared" si="132"/>
        <v>0</v>
      </c>
      <c r="J1138" s="7">
        <f t="shared" si="133"/>
        <v>0</v>
      </c>
      <c r="K1138" s="28">
        <v>0</v>
      </c>
      <c r="L1138" s="29">
        <v>0</v>
      </c>
      <c r="M1138" s="35"/>
      <c r="N1138" s="36"/>
      <c r="O1138" s="6">
        <f t="shared" si="134"/>
        <v>0</v>
      </c>
      <c r="P1138" s="7">
        <f t="shared" si="135"/>
        <v>0</v>
      </c>
      <c r="Q1138" s="59"/>
      <c r="R1138" s="2" t="str">
        <f t="shared" si="131"/>
        <v>6952|||0|0|0|0|</v>
      </c>
      <c r="S1138" s="25"/>
    </row>
    <row r="1139" spans="1:19" x14ac:dyDescent="0.2">
      <c r="A1139" s="72" t="s">
        <v>2391</v>
      </c>
      <c r="B1139" s="61" t="s">
        <v>2392</v>
      </c>
      <c r="C1139" s="37"/>
      <c r="D1139" s="38"/>
      <c r="E1139" s="28">
        <v>0</v>
      </c>
      <c r="F1139" s="29">
        <v>0</v>
      </c>
      <c r="G1139" s="6">
        <f t="shared" si="129"/>
        <v>0</v>
      </c>
      <c r="H1139" s="7">
        <f t="shared" si="130"/>
        <v>0</v>
      </c>
      <c r="I1139" s="6">
        <f t="shared" si="132"/>
        <v>0</v>
      </c>
      <c r="J1139" s="7">
        <f t="shared" si="133"/>
        <v>0</v>
      </c>
      <c r="K1139" s="28">
        <v>0</v>
      </c>
      <c r="L1139" s="29">
        <v>0</v>
      </c>
      <c r="M1139" s="35"/>
      <c r="N1139" s="36"/>
      <c r="O1139" s="6">
        <f t="shared" si="134"/>
        <v>0</v>
      </c>
      <c r="P1139" s="7">
        <f t="shared" si="135"/>
        <v>0</v>
      </c>
      <c r="Q1139" s="59"/>
      <c r="R1139" s="2" t="str">
        <f t="shared" si="131"/>
        <v>6953|||0|0|0|0|</v>
      </c>
      <c r="S1139" s="25"/>
    </row>
    <row r="1140" spans="1:19" x14ac:dyDescent="0.2">
      <c r="A1140" s="72" t="s">
        <v>2393</v>
      </c>
      <c r="B1140" s="61" t="s">
        <v>2394</v>
      </c>
      <c r="C1140" s="37"/>
      <c r="D1140" s="38"/>
      <c r="E1140" s="28">
        <v>0</v>
      </c>
      <c r="F1140" s="29">
        <v>0</v>
      </c>
      <c r="G1140" s="6">
        <f t="shared" si="129"/>
        <v>0</v>
      </c>
      <c r="H1140" s="7">
        <f t="shared" si="130"/>
        <v>0</v>
      </c>
      <c r="I1140" s="6">
        <f t="shared" si="132"/>
        <v>0</v>
      </c>
      <c r="J1140" s="7">
        <f t="shared" si="133"/>
        <v>0</v>
      </c>
      <c r="K1140" s="28">
        <v>0</v>
      </c>
      <c r="L1140" s="29">
        <v>0</v>
      </c>
      <c r="M1140" s="35"/>
      <c r="N1140" s="36"/>
      <c r="O1140" s="6">
        <f t="shared" si="134"/>
        <v>0</v>
      </c>
      <c r="P1140" s="7">
        <f t="shared" si="135"/>
        <v>0</v>
      </c>
      <c r="Q1140" s="59"/>
      <c r="R1140" s="2" t="str">
        <f t="shared" si="131"/>
        <v>6954|||0|0|0|0|</v>
      </c>
      <c r="S1140" s="25"/>
    </row>
    <row r="1141" spans="1:19" x14ac:dyDescent="0.2">
      <c r="A1141" s="72" t="s">
        <v>2395</v>
      </c>
      <c r="B1141" s="61" t="s">
        <v>2396</v>
      </c>
      <c r="C1141" s="37"/>
      <c r="D1141" s="38"/>
      <c r="E1141" s="28">
        <v>0</v>
      </c>
      <c r="F1141" s="29">
        <v>0</v>
      </c>
      <c r="G1141" s="6">
        <f t="shared" si="129"/>
        <v>0</v>
      </c>
      <c r="H1141" s="7">
        <f t="shared" si="130"/>
        <v>0</v>
      </c>
      <c r="I1141" s="6">
        <f t="shared" si="132"/>
        <v>0</v>
      </c>
      <c r="J1141" s="7">
        <f t="shared" si="133"/>
        <v>0</v>
      </c>
      <c r="K1141" s="28">
        <v>0</v>
      </c>
      <c r="L1141" s="29">
        <v>0</v>
      </c>
      <c r="M1141" s="35"/>
      <c r="N1141" s="36"/>
      <c r="O1141" s="6">
        <f t="shared" si="134"/>
        <v>0</v>
      </c>
      <c r="P1141" s="7">
        <f t="shared" si="135"/>
        <v>0</v>
      </c>
      <c r="Q1141" s="59"/>
      <c r="R1141" s="2" t="str">
        <f t="shared" si="131"/>
        <v>6955|||0|0|0|0|</v>
      </c>
      <c r="S1141" s="25"/>
    </row>
    <row r="1142" spans="1:19" x14ac:dyDescent="0.2">
      <c r="A1142" s="72" t="s">
        <v>2397</v>
      </c>
      <c r="B1142" s="61" t="s">
        <v>2398</v>
      </c>
      <c r="C1142" s="37"/>
      <c r="D1142" s="38"/>
      <c r="E1142" s="28">
        <v>0</v>
      </c>
      <c r="F1142" s="29">
        <v>0</v>
      </c>
      <c r="G1142" s="6">
        <f t="shared" si="129"/>
        <v>0</v>
      </c>
      <c r="H1142" s="7">
        <f t="shared" si="130"/>
        <v>0</v>
      </c>
      <c r="I1142" s="6">
        <f t="shared" si="132"/>
        <v>0</v>
      </c>
      <c r="J1142" s="7">
        <f t="shared" si="133"/>
        <v>0</v>
      </c>
      <c r="K1142" s="28">
        <v>0</v>
      </c>
      <c r="L1142" s="29">
        <v>0</v>
      </c>
      <c r="M1142" s="35"/>
      <c r="N1142" s="36"/>
      <c r="O1142" s="6">
        <f t="shared" si="134"/>
        <v>0</v>
      </c>
      <c r="P1142" s="7">
        <f t="shared" si="135"/>
        <v>0</v>
      </c>
      <c r="Q1142" s="59"/>
      <c r="R1142" s="2" t="str">
        <f t="shared" si="131"/>
        <v>6956|||0|0|0|0|</v>
      </c>
      <c r="S1142" s="25"/>
    </row>
    <row r="1143" spans="1:19" x14ac:dyDescent="0.2">
      <c r="A1143" s="72" t="s">
        <v>2399</v>
      </c>
      <c r="B1143" s="61" t="s">
        <v>2400</v>
      </c>
      <c r="C1143" s="37"/>
      <c r="D1143" s="38"/>
      <c r="E1143" s="28">
        <v>0</v>
      </c>
      <c r="F1143" s="29">
        <v>0</v>
      </c>
      <c r="G1143" s="6">
        <f t="shared" si="129"/>
        <v>0</v>
      </c>
      <c r="H1143" s="7">
        <f t="shared" si="130"/>
        <v>0</v>
      </c>
      <c r="I1143" s="6">
        <f t="shared" si="132"/>
        <v>0</v>
      </c>
      <c r="J1143" s="7">
        <f t="shared" si="133"/>
        <v>0</v>
      </c>
      <c r="K1143" s="28">
        <v>0</v>
      </c>
      <c r="L1143" s="29">
        <v>0</v>
      </c>
      <c r="M1143" s="35"/>
      <c r="N1143" s="36"/>
      <c r="O1143" s="6">
        <f t="shared" si="134"/>
        <v>0</v>
      </c>
      <c r="P1143" s="7">
        <f t="shared" si="135"/>
        <v>0</v>
      </c>
      <c r="Q1143" s="59"/>
      <c r="R1143" s="2" t="str">
        <f t="shared" si="131"/>
        <v>6957|||0|0|0|0|</v>
      </c>
      <c r="S1143" s="25"/>
    </row>
    <row r="1144" spans="1:19" x14ac:dyDescent="0.2">
      <c r="A1144" s="72" t="s">
        <v>2401</v>
      </c>
      <c r="B1144" s="61" t="s">
        <v>2402</v>
      </c>
      <c r="C1144" s="37"/>
      <c r="D1144" s="38"/>
      <c r="E1144" s="28">
        <v>0</v>
      </c>
      <c r="F1144" s="29">
        <v>0</v>
      </c>
      <c r="G1144" s="6">
        <f t="shared" si="129"/>
        <v>0</v>
      </c>
      <c r="H1144" s="7">
        <f t="shared" si="130"/>
        <v>0</v>
      </c>
      <c r="I1144" s="6">
        <f t="shared" si="132"/>
        <v>0</v>
      </c>
      <c r="J1144" s="7">
        <f t="shared" si="133"/>
        <v>0</v>
      </c>
      <c r="K1144" s="28">
        <v>0</v>
      </c>
      <c r="L1144" s="29">
        <v>0</v>
      </c>
      <c r="M1144" s="35"/>
      <c r="N1144" s="36"/>
      <c r="O1144" s="6">
        <f t="shared" si="134"/>
        <v>0</v>
      </c>
      <c r="P1144" s="7">
        <f t="shared" si="135"/>
        <v>0</v>
      </c>
      <c r="Q1144" s="59"/>
      <c r="R1144" s="2" t="str">
        <f t="shared" si="131"/>
        <v>6958|||0|0|0|0|</v>
      </c>
      <c r="S1144" s="25"/>
    </row>
    <row r="1145" spans="1:19" x14ac:dyDescent="0.2">
      <c r="A1145" s="72" t="s">
        <v>529</v>
      </c>
      <c r="B1145" s="61" t="s">
        <v>2403</v>
      </c>
      <c r="C1145" s="37"/>
      <c r="D1145" s="38"/>
      <c r="E1145" s="28">
        <v>0</v>
      </c>
      <c r="F1145" s="29">
        <v>0</v>
      </c>
      <c r="G1145" s="6">
        <f t="shared" si="129"/>
        <v>0</v>
      </c>
      <c r="H1145" s="7">
        <f t="shared" si="130"/>
        <v>0</v>
      </c>
      <c r="I1145" s="6">
        <f t="shared" si="132"/>
        <v>0</v>
      </c>
      <c r="J1145" s="7">
        <f t="shared" si="133"/>
        <v>0</v>
      </c>
      <c r="K1145" s="28">
        <v>0</v>
      </c>
      <c r="L1145" s="29">
        <v>0</v>
      </c>
      <c r="M1145" s="35"/>
      <c r="N1145" s="36"/>
      <c r="O1145" s="6">
        <f t="shared" si="134"/>
        <v>0</v>
      </c>
      <c r="P1145" s="7">
        <f t="shared" si="135"/>
        <v>0</v>
      </c>
      <c r="Q1145" s="59"/>
      <c r="R1145" s="2" t="str">
        <f t="shared" si="131"/>
        <v>70111|||0|0|0|0|</v>
      </c>
      <c r="S1145" s="25"/>
    </row>
    <row r="1146" spans="1:19" x14ac:dyDescent="0.2">
      <c r="A1146" s="72" t="s">
        <v>530</v>
      </c>
      <c r="B1146" s="61" t="s">
        <v>2404</v>
      </c>
      <c r="C1146" s="37"/>
      <c r="D1146" s="38"/>
      <c r="E1146" s="28">
        <v>0</v>
      </c>
      <c r="F1146" s="29">
        <v>0</v>
      </c>
      <c r="G1146" s="6">
        <f t="shared" si="129"/>
        <v>0</v>
      </c>
      <c r="H1146" s="7">
        <f t="shared" si="130"/>
        <v>0</v>
      </c>
      <c r="I1146" s="6">
        <f t="shared" si="132"/>
        <v>0</v>
      </c>
      <c r="J1146" s="7">
        <f t="shared" si="133"/>
        <v>0</v>
      </c>
      <c r="K1146" s="28">
        <v>0</v>
      </c>
      <c r="L1146" s="29">
        <v>0</v>
      </c>
      <c r="M1146" s="35"/>
      <c r="N1146" s="36"/>
      <c r="O1146" s="6">
        <f t="shared" si="134"/>
        <v>0</v>
      </c>
      <c r="P1146" s="7">
        <f t="shared" si="135"/>
        <v>0</v>
      </c>
      <c r="Q1146" s="59"/>
      <c r="R1146" s="2" t="str">
        <f t="shared" si="131"/>
        <v>70112|||0|0|0|0|</v>
      </c>
      <c r="S1146" s="25"/>
    </row>
    <row r="1147" spans="1:19" x14ac:dyDescent="0.2">
      <c r="A1147" s="72" t="s">
        <v>531</v>
      </c>
      <c r="B1147" s="61" t="s">
        <v>2405</v>
      </c>
      <c r="C1147" s="37"/>
      <c r="D1147" s="38"/>
      <c r="E1147" s="28">
        <v>0</v>
      </c>
      <c r="F1147" s="29">
        <v>0</v>
      </c>
      <c r="G1147" s="6">
        <f t="shared" si="129"/>
        <v>0</v>
      </c>
      <c r="H1147" s="7">
        <f t="shared" si="130"/>
        <v>0</v>
      </c>
      <c r="I1147" s="6">
        <f t="shared" si="132"/>
        <v>0</v>
      </c>
      <c r="J1147" s="7">
        <f t="shared" si="133"/>
        <v>0</v>
      </c>
      <c r="K1147" s="28">
        <v>0</v>
      </c>
      <c r="L1147" s="29">
        <v>0</v>
      </c>
      <c r="M1147" s="35"/>
      <c r="N1147" s="36"/>
      <c r="O1147" s="6">
        <f t="shared" si="134"/>
        <v>0</v>
      </c>
      <c r="P1147" s="7">
        <f t="shared" si="135"/>
        <v>0</v>
      </c>
      <c r="Q1147" s="59"/>
      <c r="R1147" s="2" t="str">
        <f t="shared" si="131"/>
        <v>70121|||0|0|0|0|</v>
      </c>
      <c r="S1147" s="25"/>
    </row>
    <row r="1148" spans="1:19" x14ac:dyDescent="0.2">
      <c r="A1148" s="72" t="s">
        <v>532</v>
      </c>
      <c r="B1148" s="61" t="s">
        <v>2406</v>
      </c>
      <c r="C1148" s="37"/>
      <c r="D1148" s="38"/>
      <c r="E1148" s="28">
        <v>0</v>
      </c>
      <c r="F1148" s="29">
        <v>0</v>
      </c>
      <c r="G1148" s="6">
        <f t="shared" si="129"/>
        <v>0</v>
      </c>
      <c r="H1148" s="7">
        <f t="shared" si="130"/>
        <v>0</v>
      </c>
      <c r="I1148" s="6">
        <f t="shared" si="132"/>
        <v>0</v>
      </c>
      <c r="J1148" s="7">
        <f t="shared" si="133"/>
        <v>0</v>
      </c>
      <c r="K1148" s="28">
        <v>0</v>
      </c>
      <c r="L1148" s="29">
        <v>0</v>
      </c>
      <c r="M1148" s="35"/>
      <c r="N1148" s="36"/>
      <c r="O1148" s="6">
        <f t="shared" si="134"/>
        <v>0</v>
      </c>
      <c r="P1148" s="7">
        <f t="shared" si="135"/>
        <v>0</v>
      </c>
      <c r="Q1148" s="59"/>
      <c r="R1148" s="2" t="str">
        <f t="shared" si="131"/>
        <v>70122|||0|0|0|0|</v>
      </c>
      <c r="S1148" s="25"/>
    </row>
    <row r="1149" spans="1:19" x14ac:dyDescent="0.2">
      <c r="A1149" s="72" t="s">
        <v>533</v>
      </c>
      <c r="B1149" s="61" t="s">
        <v>2407</v>
      </c>
      <c r="C1149" s="37"/>
      <c r="D1149" s="38"/>
      <c r="E1149" s="28">
        <v>0</v>
      </c>
      <c r="F1149" s="29">
        <v>0</v>
      </c>
      <c r="G1149" s="6">
        <f t="shared" si="129"/>
        <v>0</v>
      </c>
      <c r="H1149" s="7">
        <f t="shared" si="130"/>
        <v>0</v>
      </c>
      <c r="I1149" s="6">
        <f t="shared" si="132"/>
        <v>0</v>
      </c>
      <c r="J1149" s="7">
        <f t="shared" si="133"/>
        <v>0</v>
      </c>
      <c r="K1149" s="28">
        <v>0</v>
      </c>
      <c r="L1149" s="29">
        <v>0</v>
      </c>
      <c r="M1149" s="35"/>
      <c r="N1149" s="36"/>
      <c r="O1149" s="6">
        <f t="shared" si="134"/>
        <v>0</v>
      </c>
      <c r="P1149" s="7">
        <f t="shared" si="135"/>
        <v>0</v>
      </c>
      <c r="Q1149" s="59"/>
      <c r="R1149" s="2" t="str">
        <f t="shared" si="131"/>
        <v>70131|||0|0|0|0|</v>
      </c>
      <c r="S1149" s="25"/>
    </row>
    <row r="1150" spans="1:19" x14ac:dyDescent="0.2">
      <c r="A1150" s="72" t="s">
        <v>534</v>
      </c>
      <c r="B1150" s="61" t="s">
        <v>2408</v>
      </c>
      <c r="C1150" s="37"/>
      <c r="D1150" s="38"/>
      <c r="E1150" s="28">
        <v>0</v>
      </c>
      <c r="F1150" s="29">
        <v>0</v>
      </c>
      <c r="G1150" s="6">
        <f t="shared" si="129"/>
        <v>0</v>
      </c>
      <c r="H1150" s="7">
        <f t="shared" si="130"/>
        <v>0</v>
      </c>
      <c r="I1150" s="6">
        <f t="shared" si="132"/>
        <v>0</v>
      </c>
      <c r="J1150" s="7">
        <f t="shared" si="133"/>
        <v>0</v>
      </c>
      <c r="K1150" s="28">
        <v>0</v>
      </c>
      <c r="L1150" s="29">
        <v>0</v>
      </c>
      <c r="M1150" s="35"/>
      <c r="N1150" s="36"/>
      <c r="O1150" s="6">
        <f t="shared" si="134"/>
        <v>0</v>
      </c>
      <c r="P1150" s="7">
        <f t="shared" si="135"/>
        <v>0</v>
      </c>
      <c r="Q1150" s="59"/>
      <c r="R1150" s="2" t="str">
        <f t="shared" si="131"/>
        <v>70132|||0|0|0|0|</v>
      </c>
      <c r="S1150" s="25"/>
    </row>
    <row r="1151" spans="1:19" x14ac:dyDescent="0.2">
      <c r="A1151" s="72" t="s">
        <v>535</v>
      </c>
      <c r="B1151" s="61" t="s">
        <v>2409</v>
      </c>
      <c r="C1151" s="37"/>
      <c r="D1151" s="38"/>
      <c r="E1151" s="28">
        <v>0</v>
      </c>
      <c r="F1151" s="29">
        <v>0</v>
      </c>
      <c r="G1151" s="6">
        <f t="shared" si="129"/>
        <v>0</v>
      </c>
      <c r="H1151" s="7">
        <f t="shared" si="130"/>
        <v>0</v>
      </c>
      <c r="I1151" s="6">
        <f t="shared" si="132"/>
        <v>0</v>
      </c>
      <c r="J1151" s="7">
        <f t="shared" si="133"/>
        <v>0</v>
      </c>
      <c r="K1151" s="28">
        <v>0</v>
      </c>
      <c r="L1151" s="29">
        <v>0</v>
      </c>
      <c r="M1151" s="35"/>
      <c r="N1151" s="36"/>
      <c r="O1151" s="6">
        <f t="shared" si="134"/>
        <v>0</v>
      </c>
      <c r="P1151" s="7">
        <f t="shared" si="135"/>
        <v>0</v>
      </c>
      <c r="Q1151" s="59"/>
      <c r="R1151" s="2" t="str">
        <f t="shared" si="131"/>
        <v>70141|||0|0|0|0|</v>
      </c>
      <c r="S1151" s="25"/>
    </row>
    <row r="1152" spans="1:19" x14ac:dyDescent="0.2">
      <c r="A1152" s="72" t="s">
        <v>536</v>
      </c>
      <c r="B1152" s="61" t="s">
        <v>2410</v>
      </c>
      <c r="C1152" s="37"/>
      <c r="D1152" s="38"/>
      <c r="E1152" s="28">
        <v>0</v>
      </c>
      <c r="F1152" s="29">
        <v>0</v>
      </c>
      <c r="G1152" s="6">
        <f t="shared" si="129"/>
        <v>0</v>
      </c>
      <c r="H1152" s="7">
        <f t="shared" si="130"/>
        <v>0</v>
      </c>
      <c r="I1152" s="6">
        <f t="shared" si="132"/>
        <v>0</v>
      </c>
      <c r="J1152" s="7">
        <f t="shared" si="133"/>
        <v>0</v>
      </c>
      <c r="K1152" s="28">
        <v>0</v>
      </c>
      <c r="L1152" s="29">
        <v>0</v>
      </c>
      <c r="M1152" s="35"/>
      <c r="N1152" s="36"/>
      <c r="O1152" s="6">
        <f t="shared" si="134"/>
        <v>0</v>
      </c>
      <c r="P1152" s="7">
        <f t="shared" si="135"/>
        <v>0</v>
      </c>
      <c r="Q1152" s="59"/>
      <c r="R1152" s="2" t="str">
        <f t="shared" si="131"/>
        <v>70142|||0|0|0|0|</v>
      </c>
      <c r="S1152" s="25"/>
    </row>
    <row r="1153" spans="1:19" x14ac:dyDescent="0.2">
      <c r="A1153" s="72" t="s">
        <v>537</v>
      </c>
      <c r="B1153" s="61" t="s">
        <v>2411</v>
      </c>
      <c r="C1153" s="37"/>
      <c r="D1153" s="38"/>
      <c r="E1153" s="28">
        <v>0</v>
      </c>
      <c r="F1153" s="29">
        <v>0</v>
      </c>
      <c r="G1153" s="6">
        <f t="shared" si="129"/>
        <v>0</v>
      </c>
      <c r="H1153" s="7">
        <f t="shared" si="130"/>
        <v>0</v>
      </c>
      <c r="I1153" s="6">
        <f t="shared" si="132"/>
        <v>0</v>
      </c>
      <c r="J1153" s="7">
        <f t="shared" si="133"/>
        <v>0</v>
      </c>
      <c r="K1153" s="28">
        <v>0</v>
      </c>
      <c r="L1153" s="29">
        <v>0</v>
      </c>
      <c r="M1153" s="35"/>
      <c r="N1153" s="36"/>
      <c r="O1153" s="6">
        <f t="shared" si="134"/>
        <v>0</v>
      </c>
      <c r="P1153" s="7">
        <f t="shared" si="135"/>
        <v>0</v>
      </c>
      <c r="Q1153" s="59"/>
      <c r="R1153" s="2" t="str">
        <f t="shared" si="131"/>
        <v>70151|||0|0|0|0|</v>
      </c>
      <c r="S1153" s="25"/>
    </row>
    <row r="1154" spans="1:19" x14ac:dyDescent="0.2">
      <c r="A1154" s="72" t="s">
        <v>538</v>
      </c>
      <c r="B1154" s="61" t="s">
        <v>2412</v>
      </c>
      <c r="C1154" s="37"/>
      <c r="D1154" s="38"/>
      <c r="E1154" s="28">
        <v>0</v>
      </c>
      <c r="F1154" s="29">
        <v>0</v>
      </c>
      <c r="G1154" s="6">
        <f t="shared" si="129"/>
        <v>0</v>
      </c>
      <c r="H1154" s="7">
        <f t="shared" si="130"/>
        <v>0</v>
      </c>
      <c r="I1154" s="6">
        <f t="shared" si="132"/>
        <v>0</v>
      </c>
      <c r="J1154" s="7">
        <f t="shared" si="133"/>
        <v>0</v>
      </c>
      <c r="K1154" s="28">
        <v>0</v>
      </c>
      <c r="L1154" s="29">
        <v>0</v>
      </c>
      <c r="M1154" s="35"/>
      <c r="N1154" s="36"/>
      <c r="O1154" s="6">
        <f t="shared" si="134"/>
        <v>0</v>
      </c>
      <c r="P1154" s="7">
        <f t="shared" si="135"/>
        <v>0</v>
      </c>
      <c r="Q1154" s="59"/>
      <c r="R1154" s="2" t="str">
        <f t="shared" si="131"/>
        <v>70152|||0|0|0|0|</v>
      </c>
      <c r="S1154" s="25"/>
    </row>
    <row r="1155" spans="1:19" x14ac:dyDescent="0.2">
      <c r="A1155" s="72" t="s">
        <v>539</v>
      </c>
      <c r="B1155" s="61" t="s">
        <v>2413</v>
      </c>
      <c r="C1155" s="37"/>
      <c r="D1155" s="38"/>
      <c r="E1155" s="28">
        <v>0</v>
      </c>
      <c r="F1155" s="29">
        <v>0</v>
      </c>
      <c r="G1155" s="6">
        <f t="shared" si="129"/>
        <v>0</v>
      </c>
      <c r="H1155" s="7">
        <f t="shared" si="130"/>
        <v>0</v>
      </c>
      <c r="I1155" s="6">
        <f t="shared" si="132"/>
        <v>0</v>
      </c>
      <c r="J1155" s="7">
        <f t="shared" si="133"/>
        <v>0</v>
      </c>
      <c r="K1155" s="28">
        <v>0</v>
      </c>
      <c r="L1155" s="29">
        <v>0</v>
      </c>
      <c r="M1155" s="35"/>
      <c r="N1155" s="36"/>
      <c r="O1155" s="6">
        <f t="shared" si="134"/>
        <v>0</v>
      </c>
      <c r="P1155" s="7">
        <f t="shared" si="135"/>
        <v>0</v>
      </c>
      <c r="Q1155" s="59"/>
      <c r="R1155" s="2" t="str">
        <f t="shared" si="131"/>
        <v>70211|||0|0|0|0|</v>
      </c>
      <c r="S1155" s="25"/>
    </row>
    <row r="1156" spans="1:19" x14ac:dyDescent="0.2">
      <c r="A1156" s="72" t="s">
        <v>540</v>
      </c>
      <c r="B1156" s="61" t="s">
        <v>2414</v>
      </c>
      <c r="C1156" s="37"/>
      <c r="D1156" s="38"/>
      <c r="E1156" s="28">
        <v>0</v>
      </c>
      <c r="F1156" s="29">
        <v>0</v>
      </c>
      <c r="G1156" s="6">
        <f t="shared" si="129"/>
        <v>0</v>
      </c>
      <c r="H1156" s="7">
        <f t="shared" si="130"/>
        <v>0</v>
      </c>
      <c r="I1156" s="6">
        <f t="shared" si="132"/>
        <v>0</v>
      </c>
      <c r="J1156" s="7">
        <f t="shared" si="133"/>
        <v>0</v>
      </c>
      <c r="K1156" s="28">
        <v>0</v>
      </c>
      <c r="L1156" s="29">
        <v>0</v>
      </c>
      <c r="M1156" s="35"/>
      <c r="N1156" s="36"/>
      <c r="O1156" s="6">
        <f t="shared" si="134"/>
        <v>0</v>
      </c>
      <c r="P1156" s="7">
        <f t="shared" si="135"/>
        <v>0</v>
      </c>
      <c r="Q1156" s="59"/>
      <c r="R1156" s="2" t="str">
        <f t="shared" si="131"/>
        <v>70212|||0|0|0|0|</v>
      </c>
      <c r="S1156" s="25"/>
    </row>
    <row r="1157" spans="1:19" x14ac:dyDescent="0.2">
      <c r="A1157" s="72" t="s">
        <v>541</v>
      </c>
      <c r="B1157" s="61" t="s">
        <v>2415</v>
      </c>
      <c r="C1157" s="37"/>
      <c r="D1157" s="38"/>
      <c r="E1157" s="28">
        <v>0</v>
      </c>
      <c r="F1157" s="29">
        <v>0</v>
      </c>
      <c r="G1157" s="6">
        <f t="shared" si="129"/>
        <v>0</v>
      </c>
      <c r="H1157" s="7">
        <f t="shared" si="130"/>
        <v>0</v>
      </c>
      <c r="I1157" s="6">
        <f t="shared" si="132"/>
        <v>0</v>
      </c>
      <c r="J1157" s="7">
        <f t="shared" si="133"/>
        <v>0</v>
      </c>
      <c r="K1157" s="28">
        <v>0</v>
      </c>
      <c r="L1157" s="29">
        <v>0</v>
      </c>
      <c r="M1157" s="35"/>
      <c r="N1157" s="36"/>
      <c r="O1157" s="6">
        <f t="shared" si="134"/>
        <v>0</v>
      </c>
      <c r="P1157" s="7">
        <f t="shared" si="135"/>
        <v>0</v>
      </c>
      <c r="Q1157" s="59"/>
      <c r="R1157" s="2" t="str">
        <f t="shared" si="131"/>
        <v>70221|||0|0|0|0|</v>
      </c>
      <c r="S1157" s="25"/>
    </row>
    <row r="1158" spans="1:19" x14ac:dyDescent="0.2">
      <c r="A1158" s="72" t="s">
        <v>542</v>
      </c>
      <c r="B1158" s="61" t="s">
        <v>2416</v>
      </c>
      <c r="C1158" s="37"/>
      <c r="D1158" s="38"/>
      <c r="E1158" s="28">
        <v>0</v>
      </c>
      <c r="F1158" s="29">
        <v>0</v>
      </c>
      <c r="G1158" s="6">
        <f t="shared" si="129"/>
        <v>0</v>
      </c>
      <c r="H1158" s="7">
        <f t="shared" si="130"/>
        <v>0</v>
      </c>
      <c r="I1158" s="6">
        <f t="shared" si="132"/>
        <v>0</v>
      </c>
      <c r="J1158" s="7">
        <f t="shared" si="133"/>
        <v>0</v>
      </c>
      <c r="K1158" s="28">
        <v>0</v>
      </c>
      <c r="L1158" s="29">
        <v>0</v>
      </c>
      <c r="M1158" s="35"/>
      <c r="N1158" s="36"/>
      <c r="O1158" s="6">
        <f t="shared" si="134"/>
        <v>0</v>
      </c>
      <c r="P1158" s="7">
        <f t="shared" si="135"/>
        <v>0</v>
      </c>
      <c r="Q1158" s="59"/>
      <c r="R1158" s="2" t="str">
        <f t="shared" si="131"/>
        <v>70222|||0|0|0|0|</v>
      </c>
      <c r="S1158" s="25"/>
    </row>
    <row r="1159" spans="1:19" x14ac:dyDescent="0.2">
      <c r="A1159" s="72" t="s">
        <v>543</v>
      </c>
      <c r="B1159" s="61" t="s">
        <v>2417</v>
      </c>
      <c r="C1159" s="37"/>
      <c r="D1159" s="38"/>
      <c r="E1159" s="28">
        <v>0</v>
      </c>
      <c r="F1159" s="29">
        <v>0</v>
      </c>
      <c r="G1159" s="6">
        <f t="shared" si="129"/>
        <v>0</v>
      </c>
      <c r="H1159" s="7">
        <f t="shared" si="130"/>
        <v>0</v>
      </c>
      <c r="I1159" s="6">
        <f t="shared" si="132"/>
        <v>0</v>
      </c>
      <c r="J1159" s="7">
        <f t="shared" si="133"/>
        <v>0</v>
      </c>
      <c r="K1159" s="28">
        <v>0</v>
      </c>
      <c r="L1159" s="29">
        <v>0</v>
      </c>
      <c r="M1159" s="35"/>
      <c r="N1159" s="36"/>
      <c r="O1159" s="6">
        <f t="shared" si="134"/>
        <v>0</v>
      </c>
      <c r="P1159" s="7">
        <f t="shared" si="135"/>
        <v>0</v>
      </c>
      <c r="Q1159" s="59"/>
      <c r="R1159" s="2" t="str">
        <f t="shared" si="131"/>
        <v>70231|||0|0|0|0|</v>
      </c>
      <c r="S1159" s="25"/>
    </row>
    <row r="1160" spans="1:19" x14ac:dyDescent="0.2">
      <c r="A1160" s="72" t="s">
        <v>544</v>
      </c>
      <c r="B1160" s="61" t="s">
        <v>2418</v>
      </c>
      <c r="C1160" s="37"/>
      <c r="D1160" s="38"/>
      <c r="E1160" s="28">
        <v>0</v>
      </c>
      <c r="F1160" s="29">
        <v>0</v>
      </c>
      <c r="G1160" s="6">
        <f t="shared" si="129"/>
        <v>0</v>
      </c>
      <c r="H1160" s="7">
        <f t="shared" si="130"/>
        <v>0</v>
      </c>
      <c r="I1160" s="6">
        <f t="shared" si="132"/>
        <v>0</v>
      </c>
      <c r="J1160" s="7">
        <f t="shared" si="133"/>
        <v>0</v>
      </c>
      <c r="K1160" s="28">
        <v>0</v>
      </c>
      <c r="L1160" s="29">
        <v>0</v>
      </c>
      <c r="M1160" s="35"/>
      <c r="N1160" s="36"/>
      <c r="O1160" s="6">
        <f t="shared" si="134"/>
        <v>0</v>
      </c>
      <c r="P1160" s="7">
        <f t="shared" si="135"/>
        <v>0</v>
      </c>
      <c r="Q1160" s="59"/>
      <c r="R1160" s="2" t="str">
        <f t="shared" si="131"/>
        <v>70232|||0|0|0|0|</v>
      </c>
      <c r="S1160" s="25"/>
    </row>
    <row r="1161" spans="1:19" x14ac:dyDescent="0.2">
      <c r="A1161" s="72" t="s">
        <v>545</v>
      </c>
      <c r="B1161" s="61" t="s">
        <v>2419</v>
      </c>
      <c r="C1161" s="37"/>
      <c r="D1161" s="38"/>
      <c r="E1161" s="28">
        <v>0</v>
      </c>
      <c r="F1161" s="29">
        <v>0</v>
      </c>
      <c r="G1161" s="6">
        <f t="shared" si="129"/>
        <v>0</v>
      </c>
      <c r="H1161" s="7">
        <f t="shared" si="130"/>
        <v>0</v>
      </c>
      <c r="I1161" s="6">
        <f t="shared" si="132"/>
        <v>0</v>
      </c>
      <c r="J1161" s="7">
        <f t="shared" si="133"/>
        <v>0</v>
      </c>
      <c r="K1161" s="28">
        <v>0</v>
      </c>
      <c r="L1161" s="29">
        <v>0</v>
      </c>
      <c r="M1161" s="35"/>
      <c r="N1161" s="36"/>
      <c r="O1161" s="6">
        <f t="shared" si="134"/>
        <v>0</v>
      </c>
      <c r="P1161" s="7">
        <f t="shared" si="135"/>
        <v>0</v>
      </c>
      <c r="Q1161" s="59"/>
      <c r="R1161" s="2" t="str">
        <f t="shared" si="131"/>
        <v>70241|||0|0|0|0|</v>
      </c>
      <c r="S1161" s="25"/>
    </row>
    <row r="1162" spans="1:19" x14ac:dyDescent="0.2">
      <c r="A1162" s="72" t="s">
        <v>546</v>
      </c>
      <c r="B1162" s="61" t="s">
        <v>2420</v>
      </c>
      <c r="C1162" s="37"/>
      <c r="D1162" s="38"/>
      <c r="E1162" s="28">
        <v>0</v>
      </c>
      <c r="F1162" s="29">
        <v>0</v>
      </c>
      <c r="G1162" s="6">
        <f t="shared" si="129"/>
        <v>0</v>
      </c>
      <c r="H1162" s="7">
        <f t="shared" si="130"/>
        <v>0</v>
      </c>
      <c r="I1162" s="6">
        <f t="shared" si="132"/>
        <v>0</v>
      </c>
      <c r="J1162" s="7">
        <f t="shared" si="133"/>
        <v>0</v>
      </c>
      <c r="K1162" s="28">
        <v>0</v>
      </c>
      <c r="L1162" s="29">
        <v>0</v>
      </c>
      <c r="M1162" s="35"/>
      <c r="N1162" s="36"/>
      <c r="O1162" s="6">
        <f t="shared" si="134"/>
        <v>0</v>
      </c>
      <c r="P1162" s="7">
        <f t="shared" si="135"/>
        <v>0</v>
      </c>
      <c r="Q1162" s="59"/>
      <c r="R1162" s="2" t="str">
        <f t="shared" si="131"/>
        <v>70242|||0|0|0|0|</v>
      </c>
      <c r="S1162" s="25"/>
    </row>
    <row r="1163" spans="1:19" x14ac:dyDescent="0.2">
      <c r="A1163" s="72" t="s">
        <v>547</v>
      </c>
      <c r="B1163" s="61" t="s">
        <v>2421</v>
      </c>
      <c r="C1163" s="37"/>
      <c r="D1163" s="38"/>
      <c r="E1163" s="28">
        <v>0</v>
      </c>
      <c r="F1163" s="29">
        <v>0</v>
      </c>
      <c r="G1163" s="6">
        <f t="shared" si="129"/>
        <v>0</v>
      </c>
      <c r="H1163" s="7">
        <f t="shared" si="130"/>
        <v>0</v>
      </c>
      <c r="I1163" s="6">
        <f t="shared" si="132"/>
        <v>0</v>
      </c>
      <c r="J1163" s="7">
        <f t="shared" si="133"/>
        <v>0</v>
      </c>
      <c r="K1163" s="28">
        <v>0</v>
      </c>
      <c r="L1163" s="29">
        <v>0</v>
      </c>
      <c r="M1163" s="35"/>
      <c r="N1163" s="36"/>
      <c r="O1163" s="6">
        <f t="shared" si="134"/>
        <v>0</v>
      </c>
      <c r="P1163" s="7">
        <f t="shared" si="135"/>
        <v>0</v>
      </c>
      <c r="Q1163" s="59"/>
      <c r="R1163" s="2" t="str">
        <f t="shared" si="131"/>
        <v>70251|||0|0|0|0|</v>
      </c>
      <c r="S1163" s="25"/>
    </row>
    <row r="1164" spans="1:19" x14ac:dyDescent="0.2">
      <c r="A1164" s="72" t="s">
        <v>548</v>
      </c>
      <c r="B1164" s="61" t="s">
        <v>2422</v>
      </c>
      <c r="C1164" s="37"/>
      <c r="D1164" s="38"/>
      <c r="E1164" s="28">
        <v>0</v>
      </c>
      <c r="F1164" s="29">
        <v>0</v>
      </c>
      <c r="G1164" s="6">
        <f t="shared" si="129"/>
        <v>0</v>
      </c>
      <c r="H1164" s="7">
        <f t="shared" si="130"/>
        <v>0</v>
      </c>
      <c r="I1164" s="6">
        <f t="shared" si="132"/>
        <v>0</v>
      </c>
      <c r="J1164" s="7">
        <f t="shared" si="133"/>
        <v>0</v>
      </c>
      <c r="K1164" s="28">
        <v>0</v>
      </c>
      <c r="L1164" s="29">
        <v>0</v>
      </c>
      <c r="M1164" s="35"/>
      <c r="N1164" s="36"/>
      <c r="O1164" s="6">
        <f t="shared" si="134"/>
        <v>0</v>
      </c>
      <c r="P1164" s="7">
        <f t="shared" si="135"/>
        <v>0</v>
      </c>
      <c r="Q1164" s="59"/>
      <c r="R1164" s="2" t="str">
        <f t="shared" si="131"/>
        <v>70252|||0|0|0|0|</v>
      </c>
      <c r="S1164" s="25"/>
    </row>
    <row r="1165" spans="1:19" x14ac:dyDescent="0.2">
      <c r="A1165" s="72" t="s">
        <v>549</v>
      </c>
      <c r="B1165" s="61" t="s">
        <v>2423</v>
      </c>
      <c r="C1165" s="37"/>
      <c r="D1165" s="38"/>
      <c r="E1165" s="28">
        <v>0</v>
      </c>
      <c r="F1165" s="29">
        <v>0</v>
      </c>
      <c r="G1165" s="6">
        <f t="shared" si="129"/>
        <v>0</v>
      </c>
      <c r="H1165" s="7">
        <f t="shared" si="130"/>
        <v>0</v>
      </c>
      <c r="I1165" s="6">
        <f t="shared" si="132"/>
        <v>0</v>
      </c>
      <c r="J1165" s="7">
        <f t="shared" si="133"/>
        <v>0</v>
      </c>
      <c r="K1165" s="28">
        <v>0</v>
      </c>
      <c r="L1165" s="29">
        <v>0</v>
      </c>
      <c r="M1165" s="35"/>
      <c r="N1165" s="36"/>
      <c r="O1165" s="6">
        <f t="shared" si="134"/>
        <v>0</v>
      </c>
      <c r="P1165" s="7">
        <f t="shared" si="135"/>
        <v>0</v>
      </c>
      <c r="Q1165" s="59"/>
      <c r="R1165" s="2" t="str">
        <f t="shared" si="131"/>
        <v>70311|||0|0|0|0|</v>
      </c>
      <c r="S1165" s="25"/>
    </row>
    <row r="1166" spans="1:19" x14ac:dyDescent="0.2">
      <c r="A1166" s="72" t="s">
        <v>550</v>
      </c>
      <c r="B1166" s="61" t="s">
        <v>2424</v>
      </c>
      <c r="C1166" s="37"/>
      <c r="D1166" s="38"/>
      <c r="E1166" s="28">
        <v>0</v>
      </c>
      <c r="F1166" s="29">
        <v>0</v>
      </c>
      <c r="G1166" s="6">
        <f t="shared" si="129"/>
        <v>0</v>
      </c>
      <c r="H1166" s="7">
        <f t="shared" si="130"/>
        <v>0</v>
      </c>
      <c r="I1166" s="6">
        <f t="shared" si="132"/>
        <v>0</v>
      </c>
      <c r="J1166" s="7">
        <f t="shared" si="133"/>
        <v>0</v>
      </c>
      <c r="K1166" s="28">
        <v>0</v>
      </c>
      <c r="L1166" s="29">
        <v>0</v>
      </c>
      <c r="M1166" s="35"/>
      <c r="N1166" s="36"/>
      <c r="O1166" s="6">
        <f t="shared" si="134"/>
        <v>0</v>
      </c>
      <c r="P1166" s="7">
        <f t="shared" si="135"/>
        <v>0</v>
      </c>
      <c r="Q1166" s="59"/>
      <c r="R1166" s="2" t="str">
        <f t="shared" si="131"/>
        <v>70312|||0|0|0|0|</v>
      </c>
      <c r="S1166" s="25"/>
    </row>
    <row r="1167" spans="1:19" x14ac:dyDescent="0.2">
      <c r="A1167" s="72" t="s">
        <v>551</v>
      </c>
      <c r="B1167" s="61" t="s">
        <v>2425</v>
      </c>
      <c r="C1167" s="37"/>
      <c r="D1167" s="38"/>
      <c r="E1167" s="28">
        <v>0</v>
      </c>
      <c r="F1167" s="29">
        <v>0</v>
      </c>
      <c r="G1167" s="6">
        <f t="shared" si="129"/>
        <v>0</v>
      </c>
      <c r="H1167" s="7">
        <f t="shared" si="130"/>
        <v>0</v>
      </c>
      <c r="I1167" s="6">
        <f t="shared" si="132"/>
        <v>0</v>
      </c>
      <c r="J1167" s="7">
        <f t="shared" si="133"/>
        <v>0</v>
      </c>
      <c r="K1167" s="28">
        <v>0</v>
      </c>
      <c r="L1167" s="29">
        <v>0</v>
      </c>
      <c r="M1167" s="35"/>
      <c r="N1167" s="36"/>
      <c r="O1167" s="6">
        <f t="shared" si="134"/>
        <v>0</v>
      </c>
      <c r="P1167" s="7">
        <f t="shared" si="135"/>
        <v>0</v>
      </c>
      <c r="Q1167" s="59"/>
      <c r="R1167" s="2" t="str">
        <f t="shared" si="131"/>
        <v>70321|||0|0|0|0|</v>
      </c>
      <c r="S1167" s="25"/>
    </row>
    <row r="1168" spans="1:19" x14ac:dyDescent="0.2">
      <c r="A1168" s="72" t="s">
        <v>552</v>
      </c>
      <c r="B1168" s="61" t="s">
        <v>2426</v>
      </c>
      <c r="C1168" s="37"/>
      <c r="D1168" s="38"/>
      <c r="E1168" s="28">
        <v>0</v>
      </c>
      <c r="F1168" s="29">
        <v>0</v>
      </c>
      <c r="G1168" s="6">
        <f t="shared" si="129"/>
        <v>0</v>
      </c>
      <c r="H1168" s="7">
        <f t="shared" si="130"/>
        <v>0</v>
      </c>
      <c r="I1168" s="6">
        <f t="shared" si="132"/>
        <v>0</v>
      </c>
      <c r="J1168" s="7">
        <f t="shared" si="133"/>
        <v>0</v>
      </c>
      <c r="K1168" s="28">
        <v>0</v>
      </c>
      <c r="L1168" s="29">
        <v>0</v>
      </c>
      <c r="M1168" s="35"/>
      <c r="N1168" s="36"/>
      <c r="O1168" s="6">
        <f t="shared" si="134"/>
        <v>0</v>
      </c>
      <c r="P1168" s="7">
        <f t="shared" si="135"/>
        <v>0</v>
      </c>
      <c r="Q1168" s="59"/>
      <c r="R1168" s="2" t="str">
        <f t="shared" si="131"/>
        <v>70322|||0|0|0|0|</v>
      </c>
      <c r="S1168" s="25"/>
    </row>
    <row r="1169" spans="1:19" x14ac:dyDescent="0.2">
      <c r="A1169" s="72" t="s">
        <v>553</v>
      </c>
      <c r="B1169" s="61" t="s">
        <v>2427</v>
      </c>
      <c r="C1169" s="37"/>
      <c r="D1169" s="38"/>
      <c r="E1169" s="28">
        <v>0</v>
      </c>
      <c r="F1169" s="29">
        <v>0</v>
      </c>
      <c r="G1169" s="6">
        <f t="shared" si="129"/>
        <v>0</v>
      </c>
      <c r="H1169" s="7">
        <f t="shared" si="130"/>
        <v>0</v>
      </c>
      <c r="I1169" s="6">
        <f t="shared" si="132"/>
        <v>0</v>
      </c>
      <c r="J1169" s="7">
        <f t="shared" si="133"/>
        <v>0</v>
      </c>
      <c r="K1169" s="28">
        <v>0</v>
      </c>
      <c r="L1169" s="29">
        <v>0</v>
      </c>
      <c r="M1169" s="35"/>
      <c r="N1169" s="36"/>
      <c r="O1169" s="6">
        <f t="shared" si="134"/>
        <v>0</v>
      </c>
      <c r="P1169" s="7">
        <f t="shared" si="135"/>
        <v>0</v>
      </c>
      <c r="Q1169" s="59"/>
      <c r="R1169" s="2" t="str">
        <f t="shared" si="131"/>
        <v>7041|||0|0|0|0|</v>
      </c>
      <c r="S1169" s="25"/>
    </row>
    <row r="1170" spans="1:19" x14ac:dyDescent="0.2">
      <c r="A1170" s="72" t="s">
        <v>554</v>
      </c>
      <c r="B1170" s="61" t="s">
        <v>2428</v>
      </c>
      <c r="C1170" s="37"/>
      <c r="D1170" s="38"/>
      <c r="E1170" s="28">
        <v>0</v>
      </c>
      <c r="F1170" s="29">
        <v>0</v>
      </c>
      <c r="G1170" s="6">
        <f t="shared" si="129"/>
        <v>0</v>
      </c>
      <c r="H1170" s="7">
        <f t="shared" si="130"/>
        <v>0</v>
      </c>
      <c r="I1170" s="6">
        <f t="shared" si="132"/>
        <v>0</v>
      </c>
      <c r="J1170" s="7">
        <f t="shared" si="133"/>
        <v>0</v>
      </c>
      <c r="K1170" s="28">
        <v>0</v>
      </c>
      <c r="L1170" s="29">
        <v>0</v>
      </c>
      <c r="M1170" s="35"/>
      <c r="N1170" s="36"/>
      <c r="O1170" s="6">
        <f t="shared" si="134"/>
        <v>0</v>
      </c>
      <c r="P1170" s="7">
        <f t="shared" si="135"/>
        <v>0</v>
      </c>
      <c r="Q1170" s="59"/>
      <c r="R1170" s="2" t="str">
        <f t="shared" si="131"/>
        <v>7042|||0|0|0|0|</v>
      </c>
      <c r="S1170" s="25"/>
    </row>
    <row r="1171" spans="1:19" x14ac:dyDescent="0.2">
      <c r="A1171" s="72" t="s">
        <v>555</v>
      </c>
      <c r="B1171" s="61" t="s">
        <v>2429</v>
      </c>
      <c r="C1171" s="37"/>
      <c r="D1171" s="38"/>
      <c r="E1171" s="28">
        <v>0</v>
      </c>
      <c r="F1171" s="29">
        <v>0</v>
      </c>
      <c r="G1171" s="6">
        <f t="shared" si="129"/>
        <v>0</v>
      </c>
      <c r="H1171" s="7">
        <f t="shared" si="130"/>
        <v>0</v>
      </c>
      <c r="I1171" s="6">
        <f t="shared" si="132"/>
        <v>0</v>
      </c>
      <c r="J1171" s="7">
        <f t="shared" si="133"/>
        <v>0</v>
      </c>
      <c r="K1171" s="28">
        <v>0</v>
      </c>
      <c r="L1171" s="29">
        <v>0</v>
      </c>
      <c r="M1171" s="35"/>
      <c r="N1171" s="36"/>
      <c r="O1171" s="6">
        <f t="shared" si="134"/>
        <v>0</v>
      </c>
      <c r="P1171" s="7">
        <f t="shared" si="135"/>
        <v>0</v>
      </c>
      <c r="Q1171" s="59"/>
      <c r="R1171" s="2" t="str">
        <f t="shared" si="131"/>
        <v>70911|||0|0|0|0|</v>
      </c>
      <c r="S1171" s="25"/>
    </row>
    <row r="1172" spans="1:19" x14ac:dyDescent="0.2">
      <c r="A1172" s="72" t="s">
        <v>556</v>
      </c>
      <c r="B1172" s="61" t="s">
        <v>2430</v>
      </c>
      <c r="C1172" s="37"/>
      <c r="D1172" s="38"/>
      <c r="E1172" s="28">
        <v>0</v>
      </c>
      <c r="F1172" s="29">
        <v>0</v>
      </c>
      <c r="G1172" s="6">
        <f t="shared" si="129"/>
        <v>0</v>
      </c>
      <c r="H1172" s="7">
        <f t="shared" si="130"/>
        <v>0</v>
      </c>
      <c r="I1172" s="6">
        <f t="shared" si="132"/>
        <v>0</v>
      </c>
      <c r="J1172" s="7">
        <f t="shared" si="133"/>
        <v>0</v>
      </c>
      <c r="K1172" s="28">
        <v>0</v>
      </c>
      <c r="L1172" s="29">
        <v>0</v>
      </c>
      <c r="M1172" s="35"/>
      <c r="N1172" s="36"/>
      <c r="O1172" s="6">
        <f t="shared" si="134"/>
        <v>0</v>
      </c>
      <c r="P1172" s="7">
        <f t="shared" si="135"/>
        <v>0</v>
      </c>
      <c r="Q1172" s="59"/>
      <c r="R1172" s="2" t="str">
        <f t="shared" si="131"/>
        <v>70912|||0|0|0|0|</v>
      </c>
      <c r="S1172" s="25"/>
    </row>
    <row r="1173" spans="1:19" x14ac:dyDescent="0.2">
      <c r="A1173" s="72" t="s">
        <v>557</v>
      </c>
      <c r="B1173" s="61" t="s">
        <v>2431</v>
      </c>
      <c r="C1173" s="37"/>
      <c r="D1173" s="38"/>
      <c r="E1173" s="28">
        <v>0</v>
      </c>
      <c r="F1173" s="29">
        <v>0</v>
      </c>
      <c r="G1173" s="6">
        <f t="shared" si="129"/>
        <v>0</v>
      </c>
      <c r="H1173" s="7">
        <f t="shared" si="130"/>
        <v>0</v>
      </c>
      <c r="I1173" s="6">
        <f t="shared" si="132"/>
        <v>0</v>
      </c>
      <c r="J1173" s="7">
        <f t="shared" si="133"/>
        <v>0</v>
      </c>
      <c r="K1173" s="28">
        <v>0</v>
      </c>
      <c r="L1173" s="29">
        <v>0</v>
      </c>
      <c r="M1173" s="35"/>
      <c r="N1173" s="36"/>
      <c r="O1173" s="6">
        <f t="shared" si="134"/>
        <v>0</v>
      </c>
      <c r="P1173" s="7">
        <f t="shared" si="135"/>
        <v>0</v>
      </c>
      <c r="Q1173" s="59"/>
      <c r="R1173" s="2" t="str">
        <f t="shared" si="131"/>
        <v>70913|||0|0|0|0|</v>
      </c>
      <c r="S1173" s="25"/>
    </row>
    <row r="1174" spans="1:19" x14ac:dyDescent="0.2">
      <c r="A1174" s="72" t="s">
        <v>558</v>
      </c>
      <c r="B1174" s="61" t="s">
        <v>2432</v>
      </c>
      <c r="C1174" s="37"/>
      <c r="D1174" s="38"/>
      <c r="E1174" s="28">
        <v>0</v>
      </c>
      <c r="F1174" s="29">
        <v>0</v>
      </c>
      <c r="G1174" s="6">
        <f t="shared" si="129"/>
        <v>0</v>
      </c>
      <c r="H1174" s="7">
        <f t="shared" si="130"/>
        <v>0</v>
      </c>
      <c r="I1174" s="6">
        <f t="shared" si="132"/>
        <v>0</v>
      </c>
      <c r="J1174" s="7">
        <f t="shared" si="133"/>
        <v>0</v>
      </c>
      <c r="K1174" s="28">
        <v>0</v>
      </c>
      <c r="L1174" s="29">
        <v>0</v>
      </c>
      <c r="M1174" s="35"/>
      <c r="N1174" s="36"/>
      <c r="O1174" s="6">
        <f t="shared" si="134"/>
        <v>0</v>
      </c>
      <c r="P1174" s="7">
        <f t="shared" si="135"/>
        <v>0</v>
      </c>
      <c r="Q1174" s="59"/>
      <c r="R1174" s="2" t="str">
        <f t="shared" si="131"/>
        <v>70914|||0|0|0|0|</v>
      </c>
      <c r="S1174" s="25"/>
    </row>
    <row r="1175" spans="1:19" x14ac:dyDescent="0.2">
      <c r="A1175" s="72" t="s">
        <v>559</v>
      </c>
      <c r="B1175" s="61" t="s">
        <v>2433</v>
      </c>
      <c r="C1175" s="37"/>
      <c r="D1175" s="38"/>
      <c r="E1175" s="28">
        <v>0</v>
      </c>
      <c r="F1175" s="29">
        <v>0</v>
      </c>
      <c r="G1175" s="6">
        <f t="shared" si="129"/>
        <v>0</v>
      </c>
      <c r="H1175" s="7">
        <f t="shared" si="130"/>
        <v>0</v>
      </c>
      <c r="I1175" s="6">
        <f t="shared" si="132"/>
        <v>0</v>
      </c>
      <c r="J1175" s="7">
        <f t="shared" si="133"/>
        <v>0</v>
      </c>
      <c r="K1175" s="28">
        <v>0</v>
      </c>
      <c r="L1175" s="29">
        <v>0</v>
      </c>
      <c r="M1175" s="35"/>
      <c r="N1175" s="36"/>
      <c r="O1175" s="6">
        <f t="shared" si="134"/>
        <v>0</v>
      </c>
      <c r="P1175" s="7">
        <f t="shared" si="135"/>
        <v>0</v>
      </c>
      <c r="Q1175" s="59"/>
      <c r="R1175" s="2" t="str">
        <f t="shared" si="131"/>
        <v>70915|||0|0|0|0|</v>
      </c>
      <c r="S1175" s="25"/>
    </row>
    <row r="1176" spans="1:19" x14ac:dyDescent="0.2">
      <c r="A1176" s="72" t="s">
        <v>560</v>
      </c>
      <c r="B1176" s="61" t="s">
        <v>2434</v>
      </c>
      <c r="C1176" s="37"/>
      <c r="D1176" s="38"/>
      <c r="E1176" s="28">
        <v>0</v>
      </c>
      <c r="F1176" s="29">
        <v>0</v>
      </c>
      <c r="G1176" s="6">
        <f t="shared" si="129"/>
        <v>0</v>
      </c>
      <c r="H1176" s="7">
        <f t="shared" si="130"/>
        <v>0</v>
      </c>
      <c r="I1176" s="6">
        <f t="shared" si="132"/>
        <v>0</v>
      </c>
      <c r="J1176" s="7">
        <f t="shared" si="133"/>
        <v>0</v>
      </c>
      <c r="K1176" s="28">
        <v>0</v>
      </c>
      <c r="L1176" s="29">
        <v>0</v>
      </c>
      <c r="M1176" s="35"/>
      <c r="N1176" s="36"/>
      <c r="O1176" s="6">
        <f t="shared" si="134"/>
        <v>0</v>
      </c>
      <c r="P1176" s="7">
        <f t="shared" si="135"/>
        <v>0</v>
      </c>
      <c r="Q1176" s="59"/>
      <c r="R1176" s="2" t="str">
        <f t="shared" si="131"/>
        <v>70921|||0|0|0|0|</v>
      </c>
      <c r="S1176" s="25"/>
    </row>
    <row r="1177" spans="1:19" x14ac:dyDescent="0.2">
      <c r="A1177" s="72" t="s">
        <v>561</v>
      </c>
      <c r="B1177" s="61" t="s">
        <v>2435</v>
      </c>
      <c r="C1177" s="37"/>
      <c r="D1177" s="38"/>
      <c r="E1177" s="28">
        <v>0</v>
      </c>
      <c r="F1177" s="29">
        <v>0</v>
      </c>
      <c r="G1177" s="6">
        <f t="shared" si="129"/>
        <v>0</v>
      </c>
      <c r="H1177" s="7">
        <f t="shared" si="130"/>
        <v>0</v>
      </c>
      <c r="I1177" s="6">
        <f t="shared" si="132"/>
        <v>0</v>
      </c>
      <c r="J1177" s="7">
        <f t="shared" si="133"/>
        <v>0</v>
      </c>
      <c r="K1177" s="28">
        <v>0</v>
      </c>
      <c r="L1177" s="29">
        <v>0</v>
      </c>
      <c r="M1177" s="35"/>
      <c r="N1177" s="36"/>
      <c r="O1177" s="6">
        <f t="shared" si="134"/>
        <v>0</v>
      </c>
      <c r="P1177" s="7">
        <f t="shared" si="135"/>
        <v>0</v>
      </c>
      <c r="Q1177" s="59"/>
      <c r="R1177" s="2" t="str">
        <f t="shared" si="131"/>
        <v>70922|||0|0|0|0|</v>
      </c>
      <c r="S1177" s="25"/>
    </row>
    <row r="1178" spans="1:19" x14ac:dyDescent="0.2">
      <c r="A1178" s="72" t="s">
        <v>562</v>
      </c>
      <c r="B1178" s="61" t="s">
        <v>2436</v>
      </c>
      <c r="C1178" s="37"/>
      <c r="D1178" s="38"/>
      <c r="E1178" s="28">
        <v>0</v>
      </c>
      <c r="F1178" s="29">
        <v>0</v>
      </c>
      <c r="G1178" s="6">
        <f t="shared" si="129"/>
        <v>0</v>
      </c>
      <c r="H1178" s="7">
        <f t="shared" si="130"/>
        <v>0</v>
      </c>
      <c r="I1178" s="6">
        <f t="shared" si="132"/>
        <v>0</v>
      </c>
      <c r="J1178" s="7">
        <f t="shared" si="133"/>
        <v>0</v>
      </c>
      <c r="K1178" s="28">
        <v>0</v>
      </c>
      <c r="L1178" s="29">
        <v>0</v>
      </c>
      <c r="M1178" s="35"/>
      <c r="N1178" s="36"/>
      <c r="O1178" s="6">
        <f t="shared" si="134"/>
        <v>0</v>
      </c>
      <c r="P1178" s="7">
        <f t="shared" si="135"/>
        <v>0</v>
      </c>
      <c r="Q1178" s="59"/>
      <c r="R1178" s="2" t="str">
        <f t="shared" si="131"/>
        <v>70923|||0|0|0|0|</v>
      </c>
      <c r="S1178" s="25"/>
    </row>
    <row r="1179" spans="1:19" x14ac:dyDescent="0.2">
      <c r="A1179" s="72" t="s">
        <v>563</v>
      </c>
      <c r="B1179" s="61" t="s">
        <v>2437</v>
      </c>
      <c r="C1179" s="37"/>
      <c r="D1179" s="38"/>
      <c r="E1179" s="28">
        <v>0</v>
      </c>
      <c r="F1179" s="29">
        <v>0</v>
      </c>
      <c r="G1179" s="6">
        <f t="shared" si="129"/>
        <v>0</v>
      </c>
      <c r="H1179" s="7">
        <f t="shared" si="130"/>
        <v>0</v>
      </c>
      <c r="I1179" s="6">
        <f t="shared" si="132"/>
        <v>0</v>
      </c>
      <c r="J1179" s="7">
        <f t="shared" si="133"/>
        <v>0</v>
      </c>
      <c r="K1179" s="28">
        <v>0</v>
      </c>
      <c r="L1179" s="29">
        <v>0</v>
      </c>
      <c r="M1179" s="35"/>
      <c r="N1179" s="36"/>
      <c r="O1179" s="6">
        <f t="shared" si="134"/>
        <v>0</v>
      </c>
      <c r="P1179" s="7">
        <f t="shared" si="135"/>
        <v>0</v>
      </c>
      <c r="Q1179" s="59"/>
      <c r="R1179" s="2" t="str">
        <f t="shared" si="131"/>
        <v>70924|||0|0|0|0|</v>
      </c>
      <c r="S1179" s="25"/>
    </row>
    <row r="1180" spans="1:19" x14ac:dyDescent="0.2">
      <c r="A1180" s="72" t="s">
        <v>564</v>
      </c>
      <c r="B1180" s="61" t="s">
        <v>2438</v>
      </c>
      <c r="C1180" s="37"/>
      <c r="D1180" s="38"/>
      <c r="E1180" s="28">
        <v>0</v>
      </c>
      <c r="F1180" s="29">
        <v>0</v>
      </c>
      <c r="G1180" s="6">
        <f t="shared" si="129"/>
        <v>0</v>
      </c>
      <c r="H1180" s="7">
        <f t="shared" si="130"/>
        <v>0</v>
      </c>
      <c r="I1180" s="6">
        <f t="shared" si="132"/>
        <v>0</v>
      </c>
      <c r="J1180" s="7">
        <f t="shared" si="133"/>
        <v>0</v>
      </c>
      <c r="K1180" s="28">
        <v>0</v>
      </c>
      <c r="L1180" s="29">
        <v>0</v>
      </c>
      <c r="M1180" s="35"/>
      <c r="N1180" s="36"/>
      <c r="O1180" s="6">
        <f t="shared" si="134"/>
        <v>0</v>
      </c>
      <c r="P1180" s="7">
        <f t="shared" si="135"/>
        <v>0</v>
      </c>
      <c r="Q1180" s="59"/>
      <c r="R1180" s="2" t="str">
        <f t="shared" si="131"/>
        <v>70925|||0|0|0|0|</v>
      </c>
      <c r="S1180" s="25"/>
    </row>
    <row r="1181" spans="1:19" x14ac:dyDescent="0.2">
      <c r="A1181" s="72" t="s">
        <v>565</v>
      </c>
      <c r="B1181" s="61" t="s">
        <v>2439</v>
      </c>
      <c r="C1181" s="37"/>
      <c r="D1181" s="38"/>
      <c r="E1181" s="28">
        <v>0</v>
      </c>
      <c r="F1181" s="29">
        <v>0</v>
      </c>
      <c r="G1181" s="6">
        <f t="shared" si="129"/>
        <v>0</v>
      </c>
      <c r="H1181" s="7">
        <f t="shared" si="130"/>
        <v>0</v>
      </c>
      <c r="I1181" s="6">
        <f t="shared" si="132"/>
        <v>0</v>
      </c>
      <c r="J1181" s="7">
        <f t="shared" si="133"/>
        <v>0</v>
      </c>
      <c r="K1181" s="28">
        <v>0</v>
      </c>
      <c r="L1181" s="29">
        <v>0</v>
      </c>
      <c r="M1181" s="35"/>
      <c r="N1181" s="36"/>
      <c r="O1181" s="6">
        <f t="shared" si="134"/>
        <v>0</v>
      </c>
      <c r="P1181" s="7">
        <f t="shared" si="135"/>
        <v>0</v>
      </c>
      <c r="Q1181" s="59"/>
      <c r="R1181" s="2" t="str">
        <f t="shared" si="131"/>
        <v>70931|||0|0|0|0|</v>
      </c>
      <c r="S1181" s="25"/>
    </row>
    <row r="1182" spans="1:19" x14ac:dyDescent="0.2">
      <c r="A1182" s="72" t="s">
        <v>566</v>
      </c>
      <c r="B1182" s="61" t="s">
        <v>2440</v>
      </c>
      <c r="C1182" s="37"/>
      <c r="D1182" s="38"/>
      <c r="E1182" s="28">
        <v>0</v>
      </c>
      <c r="F1182" s="29">
        <v>0</v>
      </c>
      <c r="G1182" s="6">
        <f t="shared" si="129"/>
        <v>0</v>
      </c>
      <c r="H1182" s="7">
        <f t="shared" si="130"/>
        <v>0</v>
      </c>
      <c r="I1182" s="6">
        <f t="shared" si="132"/>
        <v>0</v>
      </c>
      <c r="J1182" s="7">
        <f t="shared" si="133"/>
        <v>0</v>
      </c>
      <c r="K1182" s="28">
        <v>0</v>
      </c>
      <c r="L1182" s="29">
        <v>0</v>
      </c>
      <c r="M1182" s="35"/>
      <c r="N1182" s="36"/>
      <c r="O1182" s="6">
        <f t="shared" si="134"/>
        <v>0</v>
      </c>
      <c r="P1182" s="7">
        <f t="shared" si="135"/>
        <v>0</v>
      </c>
      <c r="Q1182" s="59"/>
      <c r="R1182" s="2" t="str">
        <f t="shared" si="131"/>
        <v>70932|||0|0|0|0|</v>
      </c>
      <c r="S1182" s="25"/>
    </row>
    <row r="1183" spans="1:19" x14ac:dyDescent="0.2">
      <c r="A1183" s="72" t="s">
        <v>567</v>
      </c>
      <c r="B1183" s="61" t="s">
        <v>2441</v>
      </c>
      <c r="C1183" s="37"/>
      <c r="D1183" s="38"/>
      <c r="E1183" s="28">
        <v>0</v>
      </c>
      <c r="F1183" s="29">
        <v>0</v>
      </c>
      <c r="G1183" s="6">
        <f t="shared" ref="G1183:G1246" si="136">+E1183</f>
        <v>0</v>
      </c>
      <c r="H1183" s="7">
        <f t="shared" ref="H1183:H1246" si="137">+F1183</f>
        <v>0</v>
      </c>
      <c r="I1183" s="6">
        <f t="shared" si="132"/>
        <v>0</v>
      </c>
      <c r="J1183" s="7">
        <f t="shared" si="133"/>
        <v>0</v>
      </c>
      <c r="K1183" s="28">
        <v>0</v>
      </c>
      <c r="L1183" s="29">
        <v>0</v>
      </c>
      <c r="M1183" s="35"/>
      <c r="N1183" s="36"/>
      <c r="O1183" s="6">
        <f t="shared" si="134"/>
        <v>0</v>
      </c>
      <c r="P1183" s="7">
        <f t="shared" si="135"/>
        <v>0</v>
      </c>
      <c r="Q1183" s="59"/>
      <c r="R1183" s="2" t="str">
        <f t="shared" si="131"/>
        <v>70933|||0|0|0|0|</v>
      </c>
      <c r="S1183" s="25"/>
    </row>
    <row r="1184" spans="1:19" x14ac:dyDescent="0.2">
      <c r="A1184" s="72" t="s">
        <v>568</v>
      </c>
      <c r="B1184" s="61" t="s">
        <v>2442</v>
      </c>
      <c r="C1184" s="37"/>
      <c r="D1184" s="38"/>
      <c r="E1184" s="28">
        <v>0</v>
      </c>
      <c r="F1184" s="29">
        <v>0</v>
      </c>
      <c r="G1184" s="6">
        <f t="shared" si="136"/>
        <v>0</v>
      </c>
      <c r="H1184" s="7">
        <f t="shared" si="137"/>
        <v>0</v>
      </c>
      <c r="I1184" s="6">
        <f t="shared" si="132"/>
        <v>0</v>
      </c>
      <c r="J1184" s="7">
        <f t="shared" si="133"/>
        <v>0</v>
      </c>
      <c r="K1184" s="28">
        <v>0</v>
      </c>
      <c r="L1184" s="29">
        <v>0</v>
      </c>
      <c r="M1184" s="35"/>
      <c r="N1184" s="36"/>
      <c r="O1184" s="6">
        <f t="shared" si="134"/>
        <v>0</v>
      </c>
      <c r="P1184" s="7">
        <f t="shared" si="135"/>
        <v>0</v>
      </c>
      <c r="Q1184" s="59"/>
      <c r="R1184" s="2" t="str">
        <f t="shared" si="131"/>
        <v>70934|||0|0|0|0|</v>
      </c>
      <c r="S1184" s="25"/>
    </row>
    <row r="1185" spans="1:19" x14ac:dyDescent="0.2">
      <c r="A1185" s="72" t="s">
        <v>569</v>
      </c>
      <c r="B1185" s="61" t="s">
        <v>2443</v>
      </c>
      <c r="C1185" s="37"/>
      <c r="D1185" s="38"/>
      <c r="E1185" s="28">
        <v>0</v>
      </c>
      <c r="F1185" s="29">
        <v>0</v>
      </c>
      <c r="G1185" s="6">
        <f t="shared" si="136"/>
        <v>0</v>
      </c>
      <c r="H1185" s="7">
        <f t="shared" si="137"/>
        <v>0</v>
      </c>
      <c r="I1185" s="6">
        <f t="shared" si="132"/>
        <v>0</v>
      </c>
      <c r="J1185" s="7">
        <f t="shared" si="133"/>
        <v>0</v>
      </c>
      <c r="K1185" s="28">
        <v>0</v>
      </c>
      <c r="L1185" s="29">
        <v>0</v>
      </c>
      <c r="M1185" s="35"/>
      <c r="N1185" s="36"/>
      <c r="O1185" s="6">
        <f t="shared" si="134"/>
        <v>0</v>
      </c>
      <c r="P1185" s="7">
        <f t="shared" si="135"/>
        <v>0</v>
      </c>
      <c r="Q1185" s="59"/>
      <c r="R1185" s="2" t="str">
        <f t="shared" si="131"/>
        <v>70935|||0|0|0|0|</v>
      </c>
      <c r="S1185" s="25"/>
    </row>
    <row r="1186" spans="1:19" x14ac:dyDescent="0.2">
      <c r="A1186" s="72" t="s">
        <v>570</v>
      </c>
      <c r="B1186" s="61" t="s">
        <v>2444</v>
      </c>
      <c r="C1186" s="37"/>
      <c r="D1186" s="38"/>
      <c r="E1186" s="28">
        <v>0</v>
      </c>
      <c r="F1186" s="29">
        <v>0</v>
      </c>
      <c r="G1186" s="6">
        <f t="shared" si="136"/>
        <v>0</v>
      </c>
      <c r="H1186" s="7">
        <f t="shared" si="137"/>
        <v>0</v>
      </c>
      <c r="I1186" s="6">
        <f t="shared" si="132"/>
        <v>0</v>
      </c>
      <c r="J1186" s="7">
        <f t="shared" si="133"/>
        <v>0</v>
      </c>
      <c r="K1186" s="28">
        <v>0</v>
      </c>
      <c r="L1186" s="29">
        <v>0</v>
      </c>
      <c r="M1186" s="35"/>
      <c r="N1186" s="36"/>
      <c r="O1186" s="6">
        <f t="shared" si="134"/>
        <v>0</v>
      </c>
      <c r="P1186" s="7">
        <f t="shared" si="135"/>
        <v>0</v>
      </c>
      <c r="Q1186" s="59"/>
      <c r="R1186" s="2" t="str">
        <f t="shared" si="131"/>
        <v>70941|||0|0|0|0|</v>
      </c>
      <c r="S1186" s="25"/>
    </row>
    <row r="1187" spans="1:19" x14ac:dyDescent="0.2">
      <c r="A1187" s="72" t="s">
        <v>571</v>
      </c>
      <c r="B1187" s="61" t="s">
        <v>2445</v>
      </c>
      <c r="C1187" s="37"/>
      <c r="D1187" s="38"/>
      <c r="E1187" s="28">
        <v>0</v>
      </c>
      <c r="F1187" s="29">
        <v>0</v>
      </c>
      <c r="G1187" s="6">
        <f t="shared" si="136"/>
        <v>0</v>
      </c>
      <c r="H1187" s="7">
        <f t="shared" si="137"/>
        <v>0</v>
      </c>
      <c r="I1187" s="6">
        <f t="shared" si="132"/>
        <v>0</v>
      </c>
      <c r="J1187" s="7">
        <f t="shared" si="133"/>
        <v>0</v>
      </c>
      <c r="K1187" s="28">
        <v>0</v>
      </c>
      <c r="L1187" s="29">
        <v>0</v>
      </c>
      <c r="M1187" s="35"/>
      <c r="N1187" s="36"/>
      <c r="O1187" s="6">
        <f t="shared" si="134"/>
        <v>0</v>
      </c>
      <c r="P1187" s="7">
        <f t="shared" si="135"/>
        <v>0</v>
      </c>
      <c r="Q1187" s="59"/>
      <c r="R1187" s="2" t="str">
        <f t="shared" si="131"/>
        <v>70942|||0|0|0|0|</v>
      </c>
      <c r="S1187" s="25"/>
    </row>
    <row r="1188" spans="1:19" x14ac:dyDescent="0.2">
      <c r="A1188" s="72" t="s">
        <v>572</v>
      </c>
      <c r="B1188" s="61" t="s">
        <v>2446</v>
      </c>
      <c r="C1188" s="37"/>
      <c r="D1188" s="38"/>
      <c r="E1188" s="28">
        <v>0</v>
      </c>
      <c r="F1188" s="29">
        <v>0</v>
      </c>
      <c r="G1188" s="6">
        <f t="shared" si="136"/>
        <v>0</v>
      </c>
      <c r="H1188" s="7">
        <f t="shared" si="137"/>
        <v>0</v>
      </c>
      <c r="I1188" s="6">
        <f t="shared" si="132"/>
        <v>0</v>
      </c>
      <c r="J1188" s="7">
        <f t="shared" si="133"/>
        <v>0</v>
      </c>
      <c r="K1188" s="28">
        <v>0</v>
      </c>
      <c r="L1188" s="29">
        <v>0</v>
      </c>
      <c r="M1188" s="35"/>
      <c r="N1188" s="36"/>
      <c r="O1188" s="6">
        <f t="shared" si="134"/>
        <v>0</v>
      </c>
      <c r="P1188" s="7">
        <f t="shared" si="135"/>
        <v>0</v>
      </c>
      <c r="Q1188" s="59"/>
      <c r="R1188" s="2" t="str">
        <f t="shared" si="131"/>
        <v>70943|||0|0|0|0|</v>
      </c>
      <c r="S1188" s="25"/>
    </row>
    <row r="1189" spans="1:19" x14ac:dyDescent="0.2">
      <c r="A1189" s="72" t="s">
        <v>573</v>
      </c>
      <c r="B1189" s="61" t="s">
        <v>2447</v>
      </c>
      <c r="C1189" s="37"/>
      <c r="D1189" s="38"/>
      <c r="E1189" s="28">
        <v>0</v>
      </c>
      <c r="F1189" s="29">
        <v>0</v>
      </c>
      <c r="G1189" s="6">
        <f t="shared" si="136"/>
        <v>0</v>
      </c>
      <c r="H1189" s="7">
        <f t="shared" si="137"/>
        <v>0</v>
      </c>
      <c r="I1189" s="6">
        <f t="shared" si="132"/>
        <v>0</v>
      </c>
      <c r="J1189" s="7">
        <f t="shared" si="133"/>
        <v>0</v>
      </c>
      <c r="K1189" s="28">
        <v>0</v>
      </c>
      <c r="L1189" s="29">
        <v>0</v>
      </c>
      <c r="M1189" s="35"/>
      <c r="N1189" s="36"/>
      <c r="O1189" s="6">
        <f t="shared" si="134"/>
        <v>0</v>
      </c>
      <c r="P1189" s="7">
        <f t="shared" si="135"/>
        <v>0</v>
      </c>
      <c r="Q1189" s="59"/>
      <c r="R1189" s="2" t="str">
        <f t="shared" ref="R1189:R1252" si="138">CONCATENATE(A1189,"|",C1189,"|",D1189,"|",E1189,"|",F1189,"|",K1189,"|",L1189,"|")</f>
        <v>70944|||0|0|0|0|</v>
      </c>
      <c r="S1189" s="25"/>
    </row>
    <row r="1190" spans="1:19" x14ac:dyDescent="0.2">
      <c r="A1190" s="72" t="s">
        <v>574</v>
      </c>
      <c r="B1190" s="61" t="s">
        <v>2448</v>
      </c>
      <c r="C1190" s="37"/>
      <c r="D1190" s="38"/>
      <c r="E1190" s="28">
        <v>0</v>
      </c>
      <c r="F1190" s="29">
        <v>0</v>
      </c>
      <c r="G1190" s="6">
        <f t="shared" si="136"/>
        <v>0</v>
      </c>
      <c r="H1190" s="7">
        <f t="shared" si="137"/>
        <v>0</v>
      </c>
      <c r="I1190" s="6">
        <f t="shared" si="132"/>
        <v>0</v>
      </c>
      <c r="J1190" s="7">
        <f t="shared" si="133"/>
        <v>0</v>
      </c>
      <c r="K1190" s="28">
        <v>0</v>
      </c>
      <c r="L1190" s="29">
        <v>0</v>
      </c>
      <c r="M1190" s="35"/>
      <c r="N1190" s="36"/>
      <c r="O1190" s="6">
        <f t="shared" si="134"/>
        <v>0</v>
      </c>
      <c r="P1190" s="7">
        <f t="shared" si="135"/>
        <v>0</v>
      </c>
      <c r="Q1190" s="59"/>
      <c r="R1190" s="2" t="str">
        <f t="shared" si="138"/>
        <v>70945|||0|0|0|0|</v>
      </c>
      <c r="S1190" s="25"/>
    </row>
    <row r="1191" spans="1:19" x14ac:dyDescent="0.2">
      <c r="A1191" s="72" t="s">
        <v>721</v>
      </c>
      <c r="B1191" s="61" t="s">
        <v>2449</v>
      </c>
      <c r="C1191" s="37"/>
      <c r="D1191" s="38"/>
      <c r="E1191" s="28">
        <v>0</v>
      </c>
      <c r="F1191" s="29">
        <v>0</v>
      </c>
      <c r="G1191" s="6">
        <f t="shared" si="136"/>
        <v>0</v>
      </c>
      <c r="H1191" s="7">
        <f t="shared" si="137"/>
        <v>0</v>
      </c>
      <c r="I1191" s="6">
        <f t="shared" si="132"/>
        <v>0</v>
      </c>
      <c r="J1191" s="7">
        <f t="shared" si="133"/>
        <v>0</v>
      </c>
      <c r="K1191" s="28">
        <v>0</v>
      </c>
      <c r="L1191" s="29">
        <v>0</v>
      </c>
      <c r="M1191" s="35"/>
      <c r="N1191" s="36"/>
      <c r="O1191" s="6">
        <f t="shared" si="134"/>
        <v>0</v>
      </c>
      <c r="P1191" s="7">
        <f t="shared" si="135"/>
        <v>0</v>
      </c>
      <c r="Q1191" s="59"/>
      <c r="R1191" s="2" t="str">
        <f t="shared" si="138"/>
        <v>70951|||0|0|0|0|</v>
      </c>
      <c r="S1191" s="25"/>
    </row>
    <row r="1192" spans="1:19" x14ac:dyDescent="0.2">
      <c r="A1192" s="72" t="s">
        <v>723</v>
      </c>
      <c r="B1192" s="61" t="s">
        <v>2450</v>
      </c>
      <c r="C1192" s="37"/>
      <c r="D1192" s="38"/>
      <c r="E1192" s="28">
        <v>0</v>
      </c>
      <c r="F1192" s="29">
        <v>0</v>
      </c>
      <c r="G1192" s="6">
        <f t="shared" si="136"/>
        <v>0</v>
      </c>
      <c r="H1192" s="7">
        <f t="shared" si="137"/>
        <v>0</v>
      </c>
      <c r="I1192" s="6">
        <f t="shared" si="132"/>
        <v>0</v>
      </c>
      <c r="J1192" s="7">
        <f t="shared" si="133"/>
        <v>0</v>
      </c>
      <c r="K1192" s="28">
        <v>0</v>
      </c>
      <c r="L1192" s="29">
        <v>0</v>
      </c>
      <c r="M1192" s="35"/>
      <c r="N1192" s="36"/>
      <c r="O1192" s="6">
        <f t="shared" si="134"/>
        <v>0</v>
      </c>
      <c r="P1192" s="7">
        <f t="shared" si="135"/>
        <v>0</v>
      </c>
      <c r="Q1192" s="59"/>
      <c r="R1192" s="2" t="str">
        <f t="shared" si="138"/>
        <v>70952|||0|0|0|0|</v>
      </c>
      <c r="S1192" s="25"/>
    </row>
    <row r="1193" spans="1:19" x14ac:dyDescent="0.2">
      <c r="A1193" s="72" t="s">
        <v>722</v>
      </c>
      <c r="B1193" s="61" t="s">
        <v>2451</v>
      </c>
      <c r="C1193" s="37"/>
      <c r="D1193" s="38"/>
      <c r="E1193" s="28">
        <v>0</v>
      </c>
      <c r="F1193" s="29">
        <v>0</v>
      </c>
      <c r="G1193" s="6">
        <f t="shared" si="136"/>
        <v>0</v>
      </c>
      <c r="H1193" s="7">
        <f t="shared" si="137"/>
        <v>0</v>
      </c>
      <c r="I1193" s="6">
        <f t="shared" si="132"/>
        <v>0</v>
      </c>
      <c r="J1193" s="7">
        <f t="shared" si="133"/>
        <v>0</v>
      </c>
      <c r="K1193" s="28">
        <v>0</v>
      </c>
      <c r="L1193" s="29">
        <v>0</v>
      </c>
      <c r="M1193" s="35"/>
      <c r="N1193" s="36"/>
      <c r="O1193" s="6">
        <f t="shared" si="134"/>
        <v>0</v>
      </c>
      <c r="P1193" s="7">
        <f t="shared" si="135"/>
        <v>0</v>
      </c>
      <c r="Q1193" s="59"/>
      <c r="R1193" s="2" t="str">
        <f t="shared" si="138"/>
        <v>70961|||0|0|0|0|</v>
      </c>
      <c r="S1193" s="25"/>
    </row>
    <row r="1194" spans="1:19" x14ac:dyDescent="0.2">
      <c r="A1194" s="72" t="s">
        <v>724</v>
      </c>
      <c r="B1194" s="61" t="s">
        <v>2452</v>
      </c>
      <c r="C1194" s="37"/>
      <c r="D1194" s="38"/>
      <c r="E1194" s="28">
        <v>0</v>
      </c>
      <c r="F1194" s="29">
        <v>0</v>
      </c>
      <c r="G1194" s="6">
        <f t="shared" si="136"/>
        <v>0</v>
      </c>
      <c r="H1194" s="7">
        <f t="shared" si="137"/>
        <v>0</v>
      </c>
      <c r="I1194" s="6">
        <f t="shared" si="132"/>
        <v>0</v>
      </c>
      <c r="J1194" s="7">
        <f t="shared" si="133"/>
        <v>0</v>
      </c>
      <c r="K1194" s="28">
        <v>0</v>
      </c>
      <c r="L1194" s="29">
        <v>0</v>
      </c>
      <c r="M1194" s="35"/>
      <c r="N1194" s="36"/>
      <c r="O1194" s="6">
        <f t="shared" si="134"/>
        <v>0</v>
      </c>
      <c r="P1194" s="7">
        <f t="shared" si="135"/>
        <v>0</v>
      </c>
      <c r="Q1194" s="59"/>
      <c r="R1194" s="2" t="str">
        <f t="shared" si="138"/>
        <v>70962|||0|0|0|0|</v>
      </c>
      <c r="S1194" s="25"/>
    </row>
    <row r="1195" spans="1:19" x14ac:dyDescent="0.2">
      <c r="A1195" s="72" t="s">
        <v>575</v>
      </c>
      <c r="B1195" s="61" t="s">
        <v>2453</v>
      </c>
      <c r="C1195" s="37"/>
      <c r="D1195" s="38"/>
      <c r="E1195" s="28">
        <v>0</v>
      </c>
      <c r="F1195" s="29">
        <v>0</v>
      </c>
      <c r="G1195" s="6">
        <f t="shared" si="136"/>
        <v>0</v>
      </c>
      <c r="H1195" s="7">
        <f t="shared" si="137"/>
        <v>0</v>
      </c>
      <c r="I1195" s="6">
        <f t="shared" si="132"/>
        <v>0</v>
      </c>
      <c r="J1195" s="7">
        <f t="shared" si="133"/>
        <v>0</v>
      </c>
      <c r="K1195" s="28">
        <v>0</v>
      </c>
      <c r="L1195" s="29">
        <v>0</v>
      </c>
      <c r="M1195" s="35"/>
      <c r="N1195" s="36"/>
      <c r="O1195" s="6">
        <f t="shared" si="134"/>
        <v>0</v>
      </c>
      <c r="P1195" s="7">
        <f t="shared" si="135"/>
        <v>0</v>
      </c>
      <c r="Q1195" s="59"/>
      <c r="R1195" s="2" t="str">
        <f t="shared" si="138"/>
        <v>7111|||0|0|0|0|</v>
      </c>
      <c r="S1195" s="25"/>
    </row>
    <row r="1196" spans="1:19" x14ac:dyDescent="0.2">
      <c r="A1196" s="72" t="s">
        <v>576</v>
      </c>
      <c r="B1196" s="61" t="s">
        <v>2454</v>
      </c>
      <c r="C1196" s="37"/>
      <c r="D1196" s="38"/>
      <c r="E1196" s="28">
        <v>0</v>
      </c>
      <c r="F1196" s="29">
        <v>0</v>
      </c>
      <c r="G1196" s="6">
        <f t="shared" si="136"/>
        <v>0</v>
      </c>
      <c r="H1196" s="7">
        <f t="shared" si="137"/>
        <v>0</v>
      </c>
      <c r="I1196" s="6">
        <f t="shared" si="132"/>
        <v>0</v>
      </c>
      <c r="J1196" s="7">
        <f t="shared" si="133"/>
        <v>0</v>
      </c>
      <c r="K1196" s="28">
        <v>0</v>
      </c>
      <c r="L1196" s="29">
        <v>0</v>
      </c>
      <c r="M1196" s="35"/>
      <c r="N1196" s="36"/>
      <c r="O1196" s="6">
        <f t="shared" si="134"/>
        <v>0</v>
      </c>
      <c r="P1196" s="7">
        <f t="shared" si="135"/>
        <v>0</v>
      </c>
      <c r="Q1196" s="59"/>
      <c r="R1196" s="2" t="str">
        <f t="shared" si="138"/>
        <v>7112|||0|0|0|0|</v>
      </c>
      <c r="S1196" s="25"/>
    </row>
    <row r="1197" spans="1:19" x14ac:dyDescent="0.2">
      <c r="A1197" s="72" t="s">
        <v>577</v>
      </c>
      <c r="B1197" s="61" t="s">
        <v>2455</v>
      </c>
      <c r="C1197" s="37"/>
      <c r="D1197" s="38"/>
      <c r="E1197" s="28">
        <v>0</v>
      </c>
      <c r="F1197" s="29">
        <v>0</v>
      </c>
      <c r="G1197" s="6">
        <f t="shared" si="136"/>
        <v>0</v>
      </c>
      <c r="H1197" s="7">
        <f t="shared" si="137"/>
        <v>0</v>
      </c>
      <c r="I1197" s="6">
        <f t="shared" si="132"/>
        <v>0</v>
      </c>
      <c r="J1197" s="7">
        <f t="shared" si="133"/>
        <v>0</v>
      </c>
      <c r="K1197" s="28">
        <v>0</v>
      </c>
      <c r="L1197" s="29">
        <v>0</v>
      </c>
      <c r="M1197" s="35"/>
      <c r="N1197" s="36"/>
      <c r="O1197" s="6">
        <f t="shared" si="134"/>
        <v>0</v>
      </c>
      <c r="P1197" s="7">
        <f t="shared" si="135"/>
        <v>0</v>
      </c>
      <c r="Q1197" s="59"/>
      <c r="R1197" s="2" t="str">
        <f t="shared" si="138"/>
        <v>7113|||0|0|0|0|</v>
      </c>
      <c r="S1197" s="25"/>
    </row>
    <row r="1198" spans="1:19" x14ac:dyDescent="0.2">
      <c r="A1198" s="72" t="s">
        <v>578</v>
      </c>
      <c r="B1198" s="61" t="s">
        <v>2456</v>
      </c>
      <c r="C1198" s="37"/>
      <c r="D1198" s="38"/>
      <c r="E1198" s="28">
        <v>0</v>
      </c>
      <c r="F1198" s="29">
        <v>0</v>
      </c>
      <c r="G1198" s="6">
        <f t="shared" si="136"/>
        <v>0</v>
      </c>
      <c r="H1198" s="7">
        <f t="shared" si="137"/>
        <v>0</v>
      </c>
      <c r="I1198" s="6">
        <f t="shared" si="132"/>
        <v>0</v>
      </c>
      <c r="J1198" s="7">
        <f t="shared" si="133"/>
        <v>0</v>
      </c>
      <c r="K1198" s="28">
        <v>0</v>
      </c>
      <c r="L1198" s="29">
        <v>0</v>
      </c>
      <c r="M1198" s="35"/>
      <c r="N1198" s="36"/>
      <c r="O1198" s="6">
        <f t="shared" si="134"/>
        <v>0</v>
      </c>
      <c r="P1198" s="7">
        <f t="shared" si="135"/>
        <v>0</v>
      </c>
      <c r="Q1198" s="59"/>
      <c r="R1198" s="2" t="str">
        <f t="shared" si="138"/>
        <v>7114|||0|0|0|0|</v>
      </c>
      <c r="S1198" s="25"/>
    </row>
    <row r="1199" spans="1:19" x14ac:dyDescent="0.2">
      <c r="A1199" s="72" t="s">
        <v>579</v>
      </c>
      <c r="B1199" s="61" t="s">
        <v>2457</v>
      </c>
      <c r="C1199" s="37"/>
      <c r="D1199" s="38"/>
      <c r="E1199" s="28">
        <v>0</v>
      </c>
      <c r="F1199" s="29">
        <v>0</v>
      </c>
      <c r="G1199" s="6">
        <f t="shared" si="136"/>
        <v>0</v>
      </c>
      <c r="H1199" s="7">
        <f t="shared" si="137"/>
        <v>0</v>
      </c>
      <c r="I1199" s="6">
        <f t="shared" si="132"/>
        <v>0</v>
      </c>
      <c r="J1199" s="7">
        <f t="shared" si="133"/>
        <v>0</v>
      </c>
      <c r="K1199" s="28">
        <v>0</v>
      </c>
      <c r="L1199" s="29">
        <v>0</v>
      </c>
      <c r="M1199" s="35"/>
      <c r="N1199" s="36"/>
      <c r="O1199" s="6">
        <f t="shared" si="134"/>
        <v>0</v>
      </c>
      <c r="P1199" s="7">
        <f t="shared" si="135"/>
        <v>0</v>
      </c>
      <c r="Q1199" s="59"/>
      <c r="R1199" s="2" t="str">
        <f t="shared" si="138"/>
        <v>7115|||0|0|0|0|</v>
      </c>
      <c r="S1199" s="25"/>
    </row>
    <row r="1200" spans="1:19" x14ac:dyDescent="0.2">
      <c r="A1200" s="72" t="s">
        <v>580</v>
      </c>
      <c r="B1200" s="61" t="s">
        <v>2458</v>
      </c>
      <c r="C1200" s="37"/>
      <c r="D1200" s="38"/>
      <c r="E1200" s="28">
        <v>0</v>
      </c>
      <c r="F1200" s="29">
        <v>0</v>
      </c>
      <c r="G1200" s="6">
        <f t="shared" si="136"/>
        <v>0</v>
      </c>
      <c r="H1200" s="7">
        <f t="shared" si="137"/>
        <v>0</v>
      </c>
      <c r="I1200" s="6">
        <f t="shared" si="132"/>
        <v>0</v>
      </c>
      <c r="J1200" s="7">
        <f t="shared" si="133"/>
        <v>0</v>
      </c>
      <c r="K1200" s="28">
        <v>0</v>
      </c>
      <c r="L1200" s="29">
        <v>0</v>
      </c>
      <c r="M1200" s="35"/>
      <c r="N1200" s="36"/>
      <c r="O1200" s="6">
        <f t="shared" si="134"/>
        <v>0</v>
      </c>
      <c r="P1200" s="7">
        <f t="shared" si="135"/>
        <v>0</v>
      </c>
      <c r="Q1200" s="59"/>
      <c r="R1200" s="2" t="str">
        <f t="shared" si="138"/>
        <v>7121|||0|0|0|0|</v>
      </c>
      <c r="S1200" s="25"/>
    </row>
    <row r="1201" spans="1:19" x14ac:dyDescent="0.2">
      <c r="A1201" s="72" t="s">
        <v>581</v>
      </c>
      <c r="B1201" s="61" t="s">
        <v>2459</v>
      </c>
      <c r="C1201" s="37"/>
      <c r="D1201" s="38"/>
      <c r="E1201" s="28">
        <v>0</v>
      </c>
      <c r="F1201" s="29">
        <v>0</v>
      </c>
      <c r="G1201" s="6">
        <f t="shared" si="136"/>
        <v>0</v>
      </c>
      <c r="H1201" s="7">
        <f t="shared" si="137"/>
        <v>0</v>
      </c>
      <c r="I1201" s="6">
        <f t="shared" ref="I1201:I1265" si="139">IF($E1201-$F1201&gt;=0,$E1201-$F1201,0)</f>
        <v>0</v>
      </c>
      <c r="J1201" s="7">
        <f t="shared" ref="J1201:J1265" si="140">IF($E1201-$F1201&lt;0,-$E1201+$F1201,0)</f>
        <v>0</v>
      </c>
      <c r="K1201" s="28">
        <v>0</v>
      </c>
      <c r="L1201" s="29">
        <v>0</v>
      </c>
      <c r="M1201" s="35"/>
      <c r="N1201" s="36"/>
      <c r="O1201" s="6">
        <f t="shared" ref="O1201:O1265" si="141">IF($I1201-$J1201+$K1201-$L1201&gt;=0,$I1201-$J1201+$K1201-$L1201,0)</f>
        <v>0</v>
      </c>
      <c r="P1201" s="7">
        <f t="shared" ref="P1201:P1265" si="142">IF($I1201-$J1201+$K1201-$L1201&lt;0,-($I1201-$J1201+$K1201-$L1201),0)</f>
        <v>0</v>
      </c>
      <c r="Q1201" s="59"/>
      <c r="R1201" s="2" t="str">
        <f t="shared" si="138"/>
        <v>7122|||0|0|0|0|</v>
      </c>
      <c r="S1201" s="25"/>
    </row>
    <row r="1202" spans="1:19" x14ac:dyDescent="0.2">
      <c r="A1202" s="72" t="s">
        <v>582</v>
      </c>
      <c r="B1202" s="61" t="s">
        <v>2460</v>
      </c>
      <c r="C1202" s="37"/>
      <c r="D1202" s="38"/>
      <c r="E1202" s="28">
        <v>0</v>
      </c>
      <c r="F1202" s="29">
        <v>0</v>
      </c>
      <c r="G1202" s="6">
        <f t="shared" si="136"/>
        <v>0</v>
      </c>
      <c r="H1202" s="7">
        <f t="shared" si="137"/>
        <v>0</v>
      </c>
      <c r="I1202" s="6">
        <f t="shared" si="139"/>
        <v>0</v>
      </c>
      <c r="J1202" s="7">
        <f t="shared" si="140"/>
        <v>0</v>
      </c>
      <c r="K1202" s="28">
        <v>0</v>
      </c>
      <c r="L1202" s="29">
        <v>0</v>
      </c>
      <c r="M1202" s="35"/>
      <c r="N1202" s="36"/>
      <c r="O1202" s="6">
        <f t="shared" si="141"/>
        <v>0</v>
      </c>
      <c r="P1202" s="7">
        <f t="shared" si="142"/>
        <v>0</v>
      </c>
      <c r="Q1202" s="59"/>
      <c r="R1202" s="2" t="str">
        <f t="shared" si="138"/>
        <v>7131|||0|0|0|0|</v>
      </c>
      <c r="S1202" s="25"/>
    </row>
    <row r="1203" spans="1:19" x14ac:dyDescent="0.2">
      <c r="A1203" s="72" t="s">
        <v>583</v>
      </c>
      <c r="B1203" s="61" t="s">
        <v>2461</v>
      </c>
      <c r="C1203" s="37"/>
      <c r="D1203" s="38"/>
      <c r="E1203" s="28">
        <v>0</v>
      </c>
      <c r="F1203" s="29">
        <v>0</v>
      </c>
      <c r="G1203" s="6">
        <f t="shared" si="136"/>
        <v>0</v>
      </c>
      <c r="H1203" s="7">
        <f t="shared" si="137"/>
        <v>0</v>
      </c>
      <c r="I1203" s="6">
        <f t="shared" si="139"/>
        <v>0</v>
      </c>
      <c r="J1203" s="7">
        <f t="shared" si="140"/>
        <v>0</v>
      </c>
      <c r="K1203" s="28">
        <v>0</v>
      </c>
      <c r="L1203" s="29">
        <v>0</v>
      </c>
      <c r="M1203" s="35"/>
      <c r="N1203" s="36"/>
      <c r="O1203" s="6">
        <f t="shared" si="141"/>
        <v>0</v>
      </c>
      <c r="P1203" s="7">
        <f t="shared" si="142"/>
        <v>0</v>
      </c>
      <c r="Q1203" s="59"/>
      <c r="R1203" s="2" t="str">
        <f t="shared" si="138"/>
        <v>7132|||0|0|0|0|</v>
      </c>
      <c r="S1203" s="25"/>
    </row>
    <row r="1204" spans="1:19" x14ac:dyDescent="0.2">
      <c r="A1204" s="72" t="s">
        <v>584</v>
      </c>
      <c r="B1204" s="61" t="s">
        <v>2462</v>
      </c>
      <c r="C1204" s="37"/>
      <c r="D1204" s="38"/>
      <c r="E1204" s="28">
        <v>0</v>
      </c>
      <c r="F1204" s="29">
        <v>0</v>
      </c>
      <c r="G1204" s="6">
        <f t="shared" si="136"/>
        <v>0</v>
      </c>
      <c r="H1204" s="7">
        <f t="shared" si="137"/>
        <v>0</v>
      </c>
      <c r="I1204" s="6">
        <f t="shared" si="139"/>
        <v>0</v>
      </c>
      <c r="J1204" s="7">
        <f t="shared" si="140"/>
        <v>0</v>
      </c>
      <c r="K1204" s="28">
        <v>0</v>
      </c>
      <c r="L1204" s="29">
        <v>0</v>
      </c>
      <c r="M1204" s="35"/>
      <c r="N1204" s="36"/>
      <c r="O1204" s="6">
        <f t="shared" si="141"/>
        <v>0</v>
      </c>
      <c r="P1204" s="7">
        <f t="shared" si="142"/>
        <v>0</v>
      </c>
      <c r="Q1204" s="59"/>
      <c r="R1204" s="2" t="str">
        <f t="shared" si="138"/>
        <v>7133|||0|0|0|0|</v>
      </c>
      <c r="S1204" s="25"/>
    </row>
    <row r="1205" spans="1:19" x14ac:dyDescent="0.2">
      <c r="A1205" s="72" t="s">
        <v>585</v>
      </c>
      <c r="B1205" s="61" t="s">
        <v>2463</v>
      </c>
      <c r="C1205" s="37"/>
      <c r="D1205" s="38"/>
      <c r="E1205" s="28">
        <v>0</v>
      </c>
      <c r="F1205" s="29">
        <v>0</v>
      </c>
      <c r="G1205" s="6">
        <f t="shared" si="136"/>
        <v>0</v>
      </c>
      <c r="H1205" s="7">
        <f t="shared" si="137"/>
        <v>0</v>
      </c>
      <c r="I1205" s="6">
        <f t="shared" si="139"/>
        <v>0</v>
      </c>
      <c r="J1205" s="7">
        <f t="shared" si="140"/>
        <v>0</v>
      </c>
      <c r="K1205" s="28">
        <v>0</v>
      </c>
      <c r="L1205" s="29">
        <v>0</v>
      </c>
      <c r="M1205" s="35"/>
      <c r="N1205" s="36"/>
      <c r="O1205" s="6">
        <f t="shared" si="141"/>
        <v>0</v>
      </c>
      <c r="P1205" s="7">
        <f t="shared" si="142"/>
        <v>0</v>
      </c>
      <c r="Q1205" s="59"/>
      <c r="R1205" s="2" t="str">
        <f t="shared" si="138"/>
        <v>7134|||0|0|0|0|</v>
      </c>
      <c r="S1205" s="25"/>
    </row>
    <row r="1206" spans="1:19" x14ac:dyDescent="0.2">
      <c r="A1206" s="72" t="s">
        <v>586</v>
      </c>
      <c r="B1206" s="61" t="s">
        <v>2464</v>
      </c>
      <c r="C1206" s="37"/>
      <c r="D1206" s="38"/>
      <c r="E1206" s="28">
        <v>0</v>
      </c>
      <c r="F1206" s="29">
        <v>0</v>
      </c>
      <c r="G1206" s="6">
        <f t="shared" si="136"/>
        <v>0</v>
      </c>
      <c r="H1206" s="7">
        <f t="shared" si="137"/>
        <v>0</v>
      </c>
      <c r="I1206" s="6">
        <f t="shared" si="139"/>
        <v>0</v>
      </c>
      <c r="J1206" s="7">
        <f t="shared" si="140"/>
        <v>0</v>
      </c>
      <c r="K1206" s="28">
        <v>0</v>
      </c>
      <c r="L1206" s="29">
        <v>0</v>
      </c>
      <c r="M1206" s="35"/>
      <c r="N1206" s="36"/>
      <c r="O1206" s="6">
        <f t="shared" si="141"/>
        <v>0</v>
      </c>
      <c r="P1206" s="7">
        <f t="shared" si="142"/>
        <v>0</v>
      </c>
      <c r="Q1206" s="59"/>
      <c r="R1206" s="2" t="str">
        <f t="shared" si="138"/>
        <v>7135|||0|0|0|0|</v>
      </c>
      <c r="S1206" s="25"/>
    </row>
    <row r="1207" spans="1:19" x14ac:dyDescent="0.2">
      <c r="A1207" s="72" t="s">
        <v>587</v>
      </c>
      <c r="B1207" s="61" t="s">
        <v>2465</v>
      </c>
      <c r="C1207" s="37"/>
      <c r="D1207" s="38"/>
      <c r="E1207" s="28">
        <v>0</v>
      </c>
      <c r="F1207" s="29">
        <v>0</v>
      </c>
      <c r="G1207" s="6">
        <f t="shared" si="136"/>
        <v>0</v>
      </c>
      <c r="H1207" s="7">
        <f t="shared" si="137"/>
        <v>0</v>
      </c>
      <c r="I1207" s="6">
        <f t="shared" si="139"/>
        <v>0</v>
      </c>
      <c r="J1207" s="7">
        <f t="shared" si="140"/>
        <v>0</v>
      </c>
      <c r="K1207" s="28">
        <v>0</v>
      </c>
      <c r="L1207" s="29">
        <v>0</v>
      </c>
      <c r="M1207" s="35"/>
      <c r="N1207" s="36"/>
      <c r="O1207" s="6">
        <f t="shared" si="141"/>
        <v>0</v>
      </c>
      <c r="P1207" s="7">
        <f t="shared" si="142"/>
        <v>0</v>
      </c>
      <c r="Q1207" s="59"/>
      <c r="R1207" s="2" t="str">
        <f t="shared" si="138"/>
        <v>7138|||0|0|0|0|</v>
      </c>
      <c r="S1207" s="25"/>
    </row>
    <row r="1208" spans="1:19" x14ac:dyDescent="0.2">
      <c r="A1208" s="72" t="s">
        <v>588</v>
      </c>
      <c r="B1208" s="61" t="s">
        <v>2466</v>
      </c>
      <c r="C1208" s="37"/>
      <c r="D1208" s="38"/>
      <c r="E1208" s="28">
        <v>0</v>
      </c>
      <c r="F1208" s="29">
        <v>0</v>
      </c>
      <c r="G1208" s="6">
        <f t="shared" si="136"/>
        <v>0</v>
      </c>
      <c r="H1208" s="7">
        <f t="shared" si="137"/>
        <v>0</v>
      </c>
      <c r="I1208" s="6">
        <f t="shared" si="139"/>
        <v>0</v>
      </c>
      <c r="J1208" s="7">
        <f t="shared" si="140"/>
        <v>0</v>
      </c>
      <c r="K1208" s="28">
        <v>0</v>
      </c>
      <c r="L1208" s="29">
        <v>0</v>
      </c>
      <c r="M1208" s="35"/>
      <c r="N1208" s="36"/>
      <c r="O1208" s="6">
        <f t="shared" si="141"/>
        <v>0</v>
      </c>
      <c r="P1208" s="7">
        <f t="shared" si="142"/>
        <v>0</v>
      </c>
      <c r="Q1208" s="59"/>
      <c r="R1208" s="2" t="str">
        <f t="shared" si="138"/>
        <v>7141|||0|0|0|0|</v>
      </c>
      <c r="S1208" s="25"/>
    </row>
    <row r="1209" spans="1:19" x14ac:dyDescent="0.2">
      <c r="A1209" s="72" t="s">
        <v>589</v>
      </c>
      <c r="B1209" s="61" t="s">
        <v>2467</v>
      </c>
      <c r="C1209" s="37"/>
      <c r="D1209" s="38"/>
      <c r="E1209" s="28">
        <v>0</v>
      </c>
      <c r="F1209" s="29">
        <v>0</v>
      </c>
      <c r="G1209" s="6">
        <f t="shared" si="136"/>
        <v>0</v>
      </c>
      <c r="H1209" s="7">
        <f t="shared" si="137"/>
        <v>0</v>
      </c>
      <c r="I1209" s="6">
        <f t="shared" si="139"/>
        <v>0</v>
      </c>
      <c r="J1209" s="7">
        <f t="shared" si="140"/>
        <v>0</v>
      </c>
      <c r="K1209" s="28">
        <v>0</v>
      </c>
      <c r="L1209" s="29">
        <v>0</v>
      </c>
      <c r="M1209" s="35"/>
      <c r="N1209" s="36"/>
      <c r="O1209" s="6">
        <f t="shared" si="141"/>
        <v>0</v>
      </c>
      <c r="P1209" s="7">
        <f t="shared" si="142"/>
        <v>0</v>
      </c>
      <c r="Q1209" s="59"/>
      <c r="R1209" s="2" t="str">
        <f t="shared" si="138"/>
        <v>7142|||0|0|0|0|</v>
      </c>
      <c r="S1209" s="25"/>
    </row>
    <row r="1210" spans="1:19" x14ac:dyDescent="0.2">
      <c r="A1210" s="72" t="s">
        <v>590</v>
      </c>
      <c r="B1210" s="61" t="s">
        <v>2468</v>
      </c>
      <c r="C1210" s="37"/>
      <c r="D1210" s="38"/>
      <c r="E1210" s="28">
        <v>0</v>
      </c>
      <c r="F1210" s="29">
        <v>0</v>
      </c>
      <c r="G1210" s="6">
        <f t="shared" si="136"/>
        <v>0</v>
      </c>
      <c r="H1210" s="7">
        <f t="shared" si="137"/>
        <v>0</v>
      </c>
      <c r="I1210" s="6">
        <f t="shared" si="139"/>
        <v>0</v>
      </c>
      <c r="J1210" s="7">
        <f t="shared" si="140"/>
        <v>0</v>
      </c>
      <c r="K1210" s="28">
        <v>0</v>
      </c>
      <c r="L1210" s="29">
        <v>0</v>
      </c>
      <c r="M1210" s="35"/>
      <c r="N1210" s="36"/>
      <c r="O1210" s="6">
        <f t="shared" si="141"/>
        <v>0</v>
      </c>
      <c r="P1210" s="7">
        <f t="shared" si="142"/>
        <v>0</v>
      </c>
      <c r="Q1210" s="59"/>
      <c r="R1210" s="2" t="str">
        <f t="shared" si="138"/>
        <v>715|||0|0|0|0|</v>
      </c>
      <c r="S1210" s="25"/>
    </row>
    <row r="1211" spans="1:19" x14ac:dyDescent="0.2">
      <c r="A1211" s="72" t="s">
        <v>591</v>
      </c>
      <c r="B1211" s="61" t="s">
        <v>2469</v>
      </c>
      <c r="C1211" s="37"/>
      <c r="D1211" s="38"/>
      <c r="E1211" s="28">
        <v>0</v>
      </c>
      <c r="F1211" s="29">
        <v>0</v>
      </c>
      <c r="G1211" s="6">
        <f t="shared" si="136"/>
        <v>0</v>
      </c>
      <c r="H1211" s="7">
        <f t="shared" si="137"/>
        <v>0</v>
      </c>
      <c r="I1211" s="6">
        <f t="shared" si="139"/>
        <v>0</v>
      </c>
      <c r="J1211" s="7">
        <f t="shared" si="140"/>
        <v>0</v>
      </c>
      <c r="K1211" s="28">
        <v>0</v>
      </c>
      <c r="L1211" s="29">
        <v>0</v>
      </c>
      <c r="M1211" s="35"/>
      <c r="N1211" s="36"/>
      <c r="O1211" s="6">
        <f t="shared" si="141"/>
        <v>0</v>
      </c>
      <c r="P1211" s="7">
        <f t="shared" si="142"/>
        <v>0</v>
      </c>
      <c r="Q1211" s="59"/>
      <c r="R1211" s="2" t="str">
        <f t="shared" si="138"/>
        <v>7211|||0|0|0|0|</v>
      </c>
      <c r="S1211" s="25"/>
    </row>
    <row r="1212" spans="1:19" x14ac:dyDescent="0.2">
      <c r="A1212" s="72" t="s">
        <v>592</v>
      </c>
      <c r="B1212" s="61" t="s">
        <v>2470</v>
      </c>
      <c r="C1212" s="37"/>
      <c r="D1212" s="38"/>
      <c r="E1212" s="28">
        <v>0</v>
      </c>
      <c r="F1212" s="29">
        <v>0</v>
      </c>
      <c r="G1212" s="6">
        <f t="shared" si="136"/>
        <v>0</v>
      </c>
      <c r="H1212" s="7">
        <f t="shared" si="137"/>
        <v>0</v>
      </c>
      <c r="I1212" s="6">
        <f t="shared" si="139"/>
        <v>0</v>
      </c>
      <c r="J1212" s="7">
        <f t="shared" si="140"/>
        <v>0</v>
      </c>
      <c r="K1212" s="28">
        <v>0</v>
      </c>
      <c r="L1212" s="29">
        <v>0</v>
      </c>
      <c r="M1212" s="35"/>
      <c r="N1212" s="36"/>
      <c r="O1212" s="6">
        <f t="shared" si="141"/>
        <v>0</v>
      </c>
      <c r="P1212" s="7">
        <f t="shared" si="142"/>
        <v>0</v>
      </c>
      <c r="Q1212" s="59"/>
      <c r="R1212" s="2" t="str">
        <f t="shared" si="138"/>
        <v>7221|||0|0|0|0|</v>
      </c>
      <c r="S1212" s="25"/>
    </row>
    <row r="1213" spans="1:19" x14ac:dyDescent="0.2">
      <c r="A1213" s="72" t="s">
        <v>593</v>
      </c>
      <c r="B1213" s="61" t="s">
        <v>2471</v>
      </c>
      <c r="C1213" s="37"/>
      <c r="D1213" s="38"/>
      <c r="E1213" s="28">
        <v>0</v>
      </c>
      <c r="F1213" s="29">
        <v>0</v>
      </c>
      <c r="G1213" s="6">
        <f t="shared" si="136"/>
        <v>0</v>
      </c>
      <c r="H1213" s="7">
        <f t="shared" si="137"/>
        <v>0</v>
      </c>
      <c r="I1213" s="6">
        <f t="shared" si="139"/>
        <v>0</v>
      </c>
      <c r="J1213" s="7">
        <f t="shared" si="140"/>
        <v>0</v>
      </c>
      <c r="K1213" s="28">
        <v>0</v>
      </c>
      <c r="L1213" s="29">
        <v>0</v>
      </c>
      <c r="M1213" s="35"/>
      <c r="N1213" s="36"/>
      <c r="O1213" s="6">
        <f t="shared" si="141"/>
        <v>0</v>
      </c>
      <c r="P1213" s="7">
        <f t="shared" si="142"/>
        <v>0</v>
      </c>
      <c r="Q1213" s="59"/>
      <c r="R1213" s="2" t="str">
        <f t="shared" si="138"/>
        <v>7222|||0|0|0|0|</v>
      </c>
      <c r="S1213" s="25"/>
    </row>
    <row r="1214" spans="1:19" x14ac:dyDescent="0.2">
      <c r="A1214" s="72" t="s">
        <v>594</v>
      </c>
      <c r="B1214" s="61" t="s">
        <v>2472</v>
      </c>
      <c r="C1214" s="37"/>
      <c r="D1214" s="38"/>
      <c r="E1214" s="28">
        <v>0</v>
      </c>
      <c r="F1214" s="29">
        <v>0</v>
      </c>
      <c r="G1214" s="6">
        <f t="shared" si="136"/>
        <v>0</v>
      </c>
      <c r="H1214" s="7">
        <f t="shared" si="137"/>
        <v>0</v>
      </c>
      <c r="I1214" s="6">
        <f t="shared" si="139"/>
        <v>0</v>
      </c>
      <c r="J1214" s="7">
        <f t="shared" si="140"/>
        <v>0</v>
      </c>
      <c r="K1214" s="28">
        <v>0</v>
      </c>
      <c r="L1214" s="29">
        <v>0</v>
      </c>
      <c r="M1214" s="35"/>
      <c r="N1214" s="36"/>
      <c r="O1214" s="6">
        <f t="shared" si="141"/>
        <v>0</v>
      </c>
      <c r="P1214" s="7">
        <f t="shared" si="142"/>
        <v>0</v>
      </c>
      <c r="Q1214" s="59"/>
      <c r="R1214" s="2" t="str">
        <f t="shared" si="138"/>
        <v>7223|||0|0|0|0|</v>
      </c>
      <c r="S1214" s="25"/>
    </row>
    <row r="1215" spans="1:19" x14ac:dyDescent="0.2">
      <c r="A1215" s="72" t="s">
        <v>595</v>
      </c>
      <c r="B1215" s="61" t="s">
        <v>2473</v>
      </c>
      <c r="C1215" s="37"/>
      <c r="D1215" s="38"/>
      <c r="E1215" s="28">
        <v>0</v>
      </c>
      <c r="F1215" s="29">
        <v>0</v>
      </c>
      <c r="G1215" s="6">
        <f t="shared" si="136"/>
        <v>0</v>
      </c>
      <c r="H1215" s="7">
        <f t="shared" si="137"/>
        <v>0</v>
      </c>
      <c r="I1215" s="6">
        <f t="shared" si="139"/>
        <v>0</v>
      </c>
      <c r="J1215" s="7">
        <f t="shared" si="140"/>
        <v>0</v>
      </c>
      <c r="K1215" s="28">
        <v>0</v>
      </c>
      <c r="L1215" s="29">
        <v>0</v>
      </c>
      <c r="M1215" s="35"/>
      <c r="N1215" s="36"/>
      <c r="O1215" s="6">
        <f t="shared" si="141"/>
        <v>0</v>
      </c>
      <c r="P1215" s="7">
        <f t="shared" si="142"/>
        <v>0</v>
      </c>
      <c r="Q1215" s="59"/>
      <c r="R1215" s="2" t="str">
        <f t="shared" si="138"/>
        <v>7224|||0|0|0|0|</v>
      </c>
      <c r="S1215" s="25"/>
    </row>
    <row r="1216" spans="1:19" x14ac:dyDescent="0.2">
      <c r="A1216" s="72" t="s">
        <v>596</v>
      </c>
      <c r="B1216" s="61" t="s">
        <v>2474</v>
      </c>
      <c r="C1216" s="37"/>
      <c r="D1216" s="38"/>
      <c r="E1216" s="28">
        <v>0</v>
      </c>
      <c r="F1216" s="29">
        <v>0</v>
      </c>
      <c r="G1216" s="6">
        <f t="shared" si="136"/>
        <v>0</v>
      </c>
      <c r="H1216" s="7">
        <f t="shared" si="137"/>
        <v>0</v>
      </c>
      <c r="I1216" s="6">
        <f t="shared" si="139"/>
        <v>0</v>
      </c>
      <c r="J1216" s="7">
        <f t="shared" si="140"/>
        <v>0</v>
      </c>
      <c r="K1216" s="28">
        <v>0</v>
      </c>
      <c r="L1216" s="29">
        <v>0</v>
      </c>
      <c r="M1216" s="35"/>
      <c r="N1216" s="36"/>
      <c r="O1216" s="6">
        <f t="shared" si="141"/>
        <v>0</v>
      </c>
      <c r="P1216" s="7">
        <f t="shared" si="142"/>
        <v>0</v>
      </c>
      <c r="Q1216" s="59"/>
      <c r="R1216" s="2" t="str">
        <f t="shared" si="138"/>
        <v>7225|||0|0|0|0|</v>
      </c>
      <c r="S1216" s="25"/>
    </row>
    <row r="1217" spans="1:19" x14ac:dyDescent="0.2">
      <c r="A1217" s="72" t="s">
        <v>597</v>
      </c>
      <c r="B1217" s="61" t="s">
        <v>2475</v>
      </c>
      <c r="C1217" s="37"/>
      <c r="D1217" s="38"/>
      <c r="E1217" s="28">
        <v>0</v>
      </c>
      <c r="F1217" s="29">
        <v>0</v>
      </c>
      <c r="G1217" s="6">
        <f t="shared" si="136"/>
        <v>0</v>
      </c>
      <c r="H1217" s="7">
        <f t="shared" si="137"/>
        <v>0</v>
      </c>
      <c r="I1217" s="6">
        <f t="shared" si="139"/>
        <v>0</v>
      </c>
      <c r="J1217" s="7">
        <f t="shared" si="140"/>
        <v>0</v>
      </c>
      <c r="K1217" s="28">
        <v>0</v>
      </c>
      <c r="L1217" s="29">
        <v>0</v>
      </c>
      <c r="M1217" s="35"/>
      <c r="N1217" s="36"/>
      <c r="O1217" s="6">
        <f t="shared" si="141"/>
        <v>0</v>
      </c>
      <c r="P1217" s="7">
        <f t="shared" si="142"/>
        <v>0</v>
      </c>
      <c r="Q1217" s="59"/>
      <c r="R1217" s="2" t="str">
        <f t="shared" si="138"/>
        <v>7231|||0|0|0|0|</v>
      </c>
      <c r="S1217" s="25"/>
    </row>
    <row r="1218" spans="1:19" x14ac:dyDescent="0.2">
      <c r="A1218" s="72" t="s">
        <v>598</v>
      </c>
      <c r="B1218" s="61" t="s">
        <v>2476</v>
      </c>
      <c r="C1218" s="37"/>
      <c r="D1218" s="38"/>
      <c r="E1218" s="28">
        <v>0</v>
      </c>
      <c r="F1218" s="29">
        <v>0</v>
      </c>
      <c r="G1218" s="6">
        <f t="shared" si="136"/>
        <v>0</v>
      </c>
      <c r="H1218" s="7">
        <f t="shared" si="137"/>
        <v>0</v>
      </c>
      <c r="I1218" s="6">
        <f t="shared" si="139"/>
        <v>0</v>
      </c>
      <c r="J1218" s="7">
        <f t="shared" si="140"/>
        <v>0</v>
      </c>
      <c r="K1218" s="28">
        <v>0</v>
      </c>
      <c r="L1218" s="29">
        <v>0</v>
      </c>
      <c r="M1218" s="35"/>
      <c r="N1218" s="36"/>
      <c r="O1218" s="6">
        <f t="shared" si="141"/>
        <v>0</v>
      </c>
      <c r="P1218" s="7">
        <f t="shared" si="142"/>
        <v>0</v>
      </c>
      <c r="Q1218" s="59"/>
      <c r="R1218" s="2" t="str">
        <f t="shared" si="138"/>
        <v>7232|||0|0|0|0|</v>
      </c>
      <c r="S1218" s="25"/>
    </row>
    <row r="1219" spans="1:19" x14ac:dyDescent="0.2">
      <c r="A1219" s="72" t="s">
        <v>599</v>
      </c>
      <c r="B1219" s="61" t="s">
        <v>2477</v>
      </c>
      <c r="C1219" s="37"/>
      <c r="D1219" s="38"/>
      <c r="E1219" s="28">
        <v>0</v>
      </c>
      <c r="F1219" s="29">
        <v>0</v>
      </c>
      <c r="G1219" s="6">
        <f t="shared" si="136"/>
        <v>0</v>
      </c>
      <c r="H1219" s="7">
        <f t="shared" si="137"/>
        <v>0</v>
      </c>
      <c r="I1219" s="6">
        <f t="shared" si="139"/>
        <v>0</v>
      </c>
      <c r="J1219" s="7">
        <f t="shared" si="140"/>
        <v>0</v>
      </c>
      <c r="K1219" s="28">
        <v>0</v>
      </c>
      <c r="L1219" s="29">
        <v>0</v>
      </c>
      <c r="M1219" s="35"/>
      <c r="N1219" s="36"/>
      <c r="O1219" s="6">
        <f t="shared" si="141"/>
        <v>0</v>
      </c>
      <c r="P1219" s="7">
        <f t="shared" si="142"/>
        <v>0</v>
      </c>
      <c r="Q1219" s="59"/>
      <c r="R1219" s="2" t="str">
        <f t="shared" si="138"/>
        <v>7233|||0|0|0|0|</v>
      </c>
      <c r="S1219" s="25"/>
    </row>
    <row r="1220" spans="1:19" x14ac:dyDescent="0.2">
      <c r="A1220" s="72" t="s">
        <v>600</v>
      </c>
      <c r="B1220" s="61" t="s">
        <v>2478</v>
      </c>
      <c r="C1220" s="37"/>
      <c r="D1220" s="38"/>
      <c r="E1220" s="28">
        <v>0</v>
      </c>
      <c r="F1220" s="29">
        <v>0</v>
      </c>
      <c r="G1220" s="6">
        <f t="shared" si="136"/>
        <v>0</v>
      </c>
      <c r="H1220" s="7">
        <f t="shared" si="137"/>
        <v>0</v>
      </c>
      <c r="I1220" s="6">
        <f t="shared" si="139"/>
        <v>0</v>
      </c>
      <c r="J1220" s="7">
        <f t="shared" si="140"/>
        <v>0</v>
      </c>
      <c r="K1220" s="28">
        <v>0</v>
      </c>
      <c r="L1220" s="29">
        <v>0</v>
      </c>
      <c r="M1220" s="35"/>
      <c r="N1220" s="36"/>
      <c r="O1220" s="6">
        <f t="shared" si="141"/>
        <v>0</v>
      </c>
      <c r="P1220" s="7">
        <f t="shared" si="142"/>
        <v>0</v>
      </c>
      <c r="Q1220" s="59"/>
      <c r="R1220" s="2" t="str">
        <f t="shared" si="138"/>
        <v>7241|||0|0|0|0|</v>
      </c>
      <c r="S1220" s="25"/>
    </row>
    <row r="1221" spans="1:19" x14ac:dyDescent="0.2">
      <c r="A1221" s="72" t="s">
        <v>601</v>
      </c>
      <c r="B1221" s="61" t="s">
        <v>2479</v>
      </c>
      <c r="C1221" s="37"/>
      <c r="D1221" s="38"/>
      <c r="E1221" s="28">
        <v>0</v>
      </c>
      <c r="F1221" s="29">
        <v>0</v>
      </c>
      <c r="G1221" s="6">
        <f t="shared" si="136"/>
        <v>0</v>
      </c>
      <c r="H1221" s="7">
        <f t="shared" si="137"/>
        <v>0</v>
      </c>
      <c r="I1221" s="6">
        <f t="shared" si="139"/>
        <v>0</v>
      </c>
      <c r="J1221" s="7">
        <f t="shared" si="140"/>
        <v>0</v>
      </c>
      <c r="K1221" s="28">
        <v>0</v>
      </c>
      <c r="L1221" s="29">
        <v>0</v>
      </c>
      <c r="M1221" s="35"/>
      <c r="N1221" s="36"/>
      <c r="O1221" s="6">
        <f t="shared" si="141"/>
        <v>0</v>
      </c>
      <c r="P1221" s="7">
        <f t="shared" si="142"/>
        <v>0</v>
      </c>
      <c r="Q1221" s="59"/>
      <c r="R1221" s="2" t="str">
        <f t="shared" si="138"/>
        <v>7242|||0|0|0|0|</v>
      </c>
      <c r="S1221" s="25"/>
    </row>
    <row r="1222" spans="1:19" x14ac:dyDescent="0.2">
      <c r="A1222" s="72" t="s">
        <v>602</v>
      </c>
      <c r="B1222" s="61" t="s">
        <v>2480</v>
      </c>
      <c r="C1222" s="37"/>
      <c r="D1222" s="38"/>
      <c r="E1222" s="28">
        <v>0</v>
      </c>
      <c r="F1222" s="29">
        <v>0</v>
      </c>
      <c r="G1222" s="6">
        <f t="shared" si="136"/>
        <v>0</v>
      </c>
      <c r="H1222" s="7">
        <f t="shared" si="137"/>
        <v>0</v>
      </c>
      <c r="I1222" s="6">
        <f t="shared" si="139"/>
        <v>0</v>
      </c>
      <c r="J1222" s="7">
        <f t="shared" si="140"/>
        <v>0</v>
      </c>
      <c r="K1222" s="28">
        <v>0</v>
      </c>
      <c r="L1222" s="29">
        <v>0</v>
      </c>
      <c r="M1222" s="35"/>
      <c r="N1222" s="36"/>
      <c r="O1222" s="6">
        <f t="shared" si="141"/>
        <v>0</v>
      </c>
      <c r="P1222" s="7">
        <f t="shared" si="142"/>
        <v>0</v>
      </c>
      <c r="Q1222" s="59"/>
      <c r="R1222" s="2" t="str">
        <f t="shared" si="138"/>
        <v>72511|||0|0|0|0|</v>
      </c>
      <c r="S1222" s="25"/>
    </row>
    <row r="1223" spans="1:19" x14ac:dyDescent="0.2">
      <c r="A1223" s="72" t="s">
        <v>603</v>
      </c>
      <c r="B1223" s="61" t="s">
        <v>2481</v>
      </c>
      <c r="C1223" s="37"/>
      <c r="D1223" s="38"/>
      <c r="E1223" s="28">
        <v>0</v>
      </c>
      <c r="F1223" s="29">
        <v>0</v>
      </c>
      <c r="G1223" s="6">
        <f t="shared" si="136"/>
        <v>0</v>
      </c>
      <c r="H1223" s="7">
        <f t="shared" si="137"/>
        <v>0</v>
      </c>
      <c r="I1223" s="6">
        <f t="shared" si="139"/>
        <v>0</v>
      </c>
      <c r="J1223" s="7">
        <f t="shared" si="140"/>
        <v>0</v>
      </c>
      <c r="K1223" s="28">
        <v>0</v>
      </c>
      <c r="L1223" s="29">
        <v>0</v>
      </c>
      <c r="M1223" s="35"/>
      <c r="N1223" s="36"/>
      <c r="O1223" s="6">
        <f t="shared" si="141"/>
        <v>0</v>
      </c>
      <c r="P1223" s="7">
        <f t="shared" si="142"/>
        <v>0</v>
      </c>
      <c r="Q1223" s="59"/>
      <c r="R1223" s="2" t="str">
        <f t="shared" si="138"/>
        <v>72521|||0|0|0|0|</v>
      </c>
      <c r="S1223" s="25"/>
    </row>
    <row r="1224" spans="1:19" x14ac:dyDescent="0.2">
      <c r="A1224" s="72" t="s">
        <v>604</v>
      </c>
      <c r="B1224" s="61" t="s">
        <v>2482</v>
      </c>
      <c r="C1224" s="37"/>
      <c r="D1224" s="38"/>
      <c r="E1224" s="28">
        <v>0</v>
      </c>
      <c r="F1224" s="29">
        <v>0</v>
      </c>
      <c r="G1224" s="6">
        <f t="shared" si="136"/>
        <v>0</v>
      </c>
      <c r="H1224" s="7">
        <f t="shared" si="137"/>
        <v>0</v>
      </c>
      <c r="I1224" s="6">
        <f t="shared" si="139"/>
        <v>0</v>
      </c>
      <c r="J1224" s="7">
        <f t="shared" si="140"/>
        <v>0</v>
      </c>
      <c r="K1224" s="28">
        <v>0</v>
      </c>
      <c r="L1224" s="29">
        <v>0</v>
      </c>
      <c r="M1224" s="35"/>
      <c r="N1224" s="36"/>
      <c r="O1224" s="6">
        <f t="shared" si="141"/>
        <v>0</v>
      </c>
      <c r="P1224" s="7">
        <f t="shared" si="142"/>
        <v>0</v>
      </c>
      <c r="Q1224" s="59"/>
      <c r="R1224" s="2" t="str">
        <f t="shared" si="138"/>
        <v>72522|||0|0|0|0|</v>
      </c>
      <c r="S1224" s="25"/>
    </row>
    <row r="1225" spans="1:19" x14ac:dyDescent="0.2">
      <c r="A1225" s="72" t="s">
        <v>605</v>
      </c>
      <c r="B1225" s="61" t="s">
        <v>2483</v>
      </c>
      <c r="C1225" s="37"/>
      <c r="D1225" s="38"/>
      <c r="E1225" s="28">
        <v>0</v>
      </c>
      <c r="F1225" s="29">
        <v>0</v>
      </c>
      <c r="G1225" s="6">
        <f t="shared" si="136"/>
        <v>0</v>
      </c>
      <c r="H1225" s="7">
        <f t="shared" si="137"/>
        <v>0</v>
      </c>
      <c r="I1225" s="6">
        <f t="shared" si="139"/>
        <v>0</v>
      </c>
      <c r="J1225" s="7">
        <f t="shared" si="140"/>
        <v>0</v>
      </c>
      <c r="K1225" s="28">
        <v>0</v>
      </c>
      <c r="L1225" s="29">
        <v>0</v>
      </c>
      <c r="M1225" s="35"/>
      <c r="N1225" s="36"/>
      <c r="O1225" s="6">
        <f t="shared" si="141"/>
        <v>0</v>
      </c>
      <c r="P1225" s="7">
        <f t="shared" si="142"/>
        <v>0</v>
      </c>
      <c r="Q1225" s="59"/>
      <c r="R1225" s="2" t="str">
        <f t="shared" si="138"/>
        <v>7253|||0|0|0|0|</v>
      </c>
      <c r="S1225" s="25"/>
    </row>
    <row r="1226" spans="1:19" x14ac:dyDescent="0.2">
      <c r="A1226" s="72" t="s">
        <v>606</v>
      </c>
      <c r="B1226" s="61" t="s">
        <v>2484</v>
      </c>
      <c r="C1226" s="37"/>
      <c r="D1226" s="38"/>
      <c r="E1226" s="28">
        <v>0</v>
      </c>
      <c r="F1226" s="29">
        <v>0</v>
      </c>
      <c r="G1226" s="6">
        <f t="shared" si="136"/>
        <v>0</v>
      </c>
      <c r="H1226" s="7">
        <f t="shared" si="137"/>
        <v>0</v>
      </c>
      <c r="I1226" s="6">
        <f t="shared" si="139"/>
        <v>0</v>
      </c>
      <c r="J1226" s="7">
        <f t="shared" si="140"/>
        <v>0</v>
      </c>
      <c r="K1226" s="28">
        <v>0</v>
      </c>
      <c r="L1226" s="29">
        <v>0</v>
      </c>
      <c r="M1226" s="35"/>
      <c r="N1226" s="36"/>
      <c r="O1226" s="6">
        <f t="shared" si="141"/>
        <v>0</v>
      </c>
      <c r="P1226" s="7">
        <f t="shared" si="142"/>
        <v>0</v>
      </c>
      <c r="Q1226" s="59"/>
      <c r="R1226" s="2" t="str">
        <f t="shared" si="138"/>
        <v>72541|||0|0|0|0|</v>
      </c>
      <c r="S1226" s="25"/>
    </row>
    <row r="1227" spans="1:19" x14ac:dyDescent="0.2">
      <c r="A1227" s="72" t="s">
        <v>607</v>
      </c>
      <c r="B1227" s="61" t="s">
        <v>2485</v>
      </c>
      <c r="C1227" s="37"/>
      <c r="D1227" s="38"/>
      <c r="E1227" s="28">
        <v>0</v>
      </c>
      <c r="F1227" s="29">
        <v>0</v>
      </c>
      <c r="G1227" s="6">
        <f t="shared" si="136"/>
        <v>0</v>
      </c>
      <c r="H1227" s="7">
        <f t="shared" si="137"/>
        <v>0</v>
      </c>
      <c r="I1227" s="6">
        <f t="shared" si="139"/>
        <v>0</v>
      </c>
      <c r="J1227" s="7">
        <f t="shared" si="140"/>
        <v>0</v>
      </c>
      <c r="K1227" s="28">
        <v>0</v>
      </c>
      <c r="L1227" s="29">
        <v>0</v>
      </c>
      <c r="M1227" s="35"/>
      <c r="N1227" s="36"/>
      <c r="O1227" s="6">
        <f t="shared" si="141"/>
        <v>0</v>
      </c>
      <c r="P1227" s="7">
        <f t="shared" si="142"/>
        <v>0</v>
      </c>
      <c r="Q1227" s="59"/>
      <c r="R1227" s="2" t="str">
        <f t="shared" si="138"/>
        <v>72542|||0|0|0|0|</v>
      </c>
      <c r="S1227" s="25"/>
    </row>
    <row r="1228" spans="1:19" x14ac:dyDescent="0.2">
      <c r="A1228" s="72" t="s">
        <v>608</v>
      </c>
      <c r="B1228" s="61" t="s">
        <v>2486</v>
      </c>
      <c r="C1228" s="37"/>
      <c r="D1228" s="38"/>
      <c r="E1228" s="28">
        <v>0</v>
      </c>
      <c r="F1228" s="29">
        <v>0</v>
      </c>
      <c r="G1228" s="6">
        <f t="shared" si="136"/>
        <v>0</v>
      </c>
      <c r="H1228" s="7">
        <f t="shared" si="137"/>
        <v>0</v>
      </c>
      <c r="I1228" s="6">
        <f t="shared" si="139"/>
        <v>0</v>
      </c>
      <c r="J1228" s="7">
        <f t="shared" si="140"/>
        <v>0</v>
      </c>
      <c r="K1228" s="28">
        <v>0</v>
      </c>
      <c r="L1228" s="29">
        <v>0</v>
      </c>
      <c r="M1228" s="35"/>
      <c r="N1228" s="36"/>
      <c r="O1228" s="6">
        <f t="shared" si="141"/>
        <v>0</v>
      </c>
      <c r="P1228" s="7">
        <f t="shared" si="142"/>
        <v>0</v>
      </c>
      <c r="Q1228" s="59"/>
      <c r="R1228" s="2" t="str">
        <f t="shared" si="138"/>
        <v>7311|||0|0|0|0|</v>
      </c>
      <c r="S1228" s="25"/>
    </row>
    <row r="1229" spans="1:19" x14ac:dyDescent="0.2">
      <c r="A1229" s="72" t="s">
        <v>609</v>
      </c>
      <c r="B1229" s="61" t="s">
        <v>2487</v>
      </c>
      <c r="C1229" s="37"/>
      <c r="D1229" s="38"/>
      <c r="E1229" s="28">
        <v>0</v>
      </c>
      <c r="F1229" s="29">
        <v>0</v>
      </c>
      <c r="G1229" s="6">
        <f t="shared" si="136"/>
        <v>0</v>
      </c>
      <c r="H1229" s="7">
        <f t="shared" si="137"/>
        <v>0</v>
      </c>
      <c r="I1229" s="6">
        <f t="shared" si="139"/>
        <v>0</v>
      </c>
      <c r="J1229" s="7">
        <f t="shared" si="140"/>
        <v>0</v>
      </c>
      <c r="K1229" s="28">
        <v>0</v>
      </c>
      <c r="L1229" s="29">
        <v>0</v>
      </c>
      <c r="M1229" s="35"/>
      <c r="N1229" s="36"/>
      <c r="O1229" s="6">
        <f t="shared" si="141"/>
        <v>0</v>
      </c>
      <c r="P1229" s="7">
        <f t="shared" si="142"/>
        <v>0</v>
      </c>
      <c r="Q1229" s="59"/>
      <c r="R1229" s="2" t="str">
        <f t="shared" si="138"/>
        <v>7312|||0|0|0|0|</v>
      </c>
      <c r="S1229" s="25"/>
    </row>
    <row r="1230" spans="1:19" x14ac:dyDescent="0.2">
      <c r="A1230" s="72" t="s">
        <v>610</v>
      </c>
      <c r="B1230" s="61" t="s">
        <v>2488</v>
      </c>
      <c r="C1230" s="37"/>
      <c r="D1230" s="38"/>
      <c r="E1230" s="28">
        <v>0</v>
      </c>
      <c r="F1230" s="29">
        <v>0</v>
      </c>
      <c r="G1230" s="6">
        <f t="shared" si="136"/>
        <v>0</v>
      </c>
      <c r="H1230" s="7">
        <f t="shared" si="137"/>
        <v>0</v>
      </c>
      <c r="I1230" s="6">
        <f t="shared" si="139"/>
        <v>0</v>
      </c>
      <c r="J1230" s="7">
        <f t="shared" si="140"/>
        <v>0</v>
      </c>
      <c r="K1230" s="28">
        <v>0</v>
      </c>
      <c r="L1230" s="29">
        <v>0</v>
      </c>
      <c r="M1230" s="35"/>
      <c r="N1230" s="36"/>
      <c r="O1230" s="6">
        <f t="shared" si="141"/>
        <v>0</v>
      </c>
      <c r="P1230" s="7">
        <f t="shared" si="142"/>
        <v>0</v>
      </c>
      <c r="Q1230" s="59"/>
      <c r="R1230" s="2" t="str">
        <f t="shared" si="138"/>
        <v>7411|||0|0|0|0|</v>
      </c>
      <c r="S1230" s="25"/>
    </row>
    <row r="1231" spans="1:19" x14ac:dyDescent="0.2">
      <c r="A1231" s="72" t="s">
        <v>611</v>
      </c>
      <c r="B1231" s="61" t="s">
        <v>2489</v>
      </c>
      <c r="C1231" s="37"/>
      <c r="D1231" s="38"/>
      <c r="E1231" s="28">
        <v>0</v>
      </c>
      <c r="F1231" s="29">
        <v>0</v>
      </c>
      <c r="G1231" s="6">
        <f t="shared" si="136"/>
        <v>0</v>
      </c>
      <c r="H1231" s="7">
        <f t="shared" si="137"/>
        <v>0</v>
      </c>
      <c r="I1231" s="6">
        <f t="shared" si="139"/>
        <v>0</v>
      </c>
      <c r="J1231" s="7">
        <f t="shared" si="140"/>
        <v>0</v>
      </c>
      <c r="K1231" s="28">
        <v>0</v>
      </c>
      <c r="L1231" s="29">
        <v>0</v>
      </c>
      <c r="M1231" s="35"/>
      <c r="N1231" s="36"/>
      <c r="O1231" s="6">
        <f t="shared" si="141"/>
        <v>0</v>
      </c>
      <c r="P1231" s="7">
        <f t="shared" si="142"/>
        <v>0</v>
      </c>
      <c r="Q1231" s="59"/>
      <c r="R1231" s="2" t="str">
        <f t="shared" si="138"/>
        <v>7412|||0|0|0|0|</v>
      </c>
      <c r="S1231" s="25"/>
    </row>
    <row r="1232" spans="1:19" x14ac:dyDescent="0.2">
      <c r="A1232" s="72" t="s">
        <v>612</v>
      </c>
      <c r="B1232" s="61" t="s">
        <v>2490</v>
      </c>
      <c r="C1232" s="37"/>
      <c r="D1232" s="38"/>
      <c r="E1232" s="28">
        <v>0</v>
      </c>
      <c r="F1232" s="29">
        <v>0</v>
      </c>
      <c r="G1232" s="6">
        <f t="shared" si="136"/>
        <v>0</v>
      </c>
      <c r="H1232" s="7">
        <f t="shared" si="137"/>
        <v>0</v>
      </c>
      <c r="I1232" s="6">
        <f t="shared" si="139"/>
        <v>0</v>
      </c>
      <c r="J1232" s="7">
        <f t="shared" si="140"/>
        <v>0</v>
      </c>
      <c r="K1232" s="28">
        <v>0</v>
      </c>
      <c r="L1232" s="29">
        <v>0</v>
      </c>
      <c r="M1232" s="35"/>
      <c r="N1232" s="36"/>
      <c r="O1232" s="6">
        <f t="shared" si="141"/>
        <v>0</v>
      </c>
      <c r="P1232" s="7">
        <f t="shared" si="142"/>
        <v>0</v>
      </c>
      <c r="Q1232" s="59"/>
      <c r="R1232" s="2" t="str">
        <f t="shared" si="138"/>
        <v>751|||0|0|0|0|</v>
      </c>
      <c r="S1232" s="25"/>
    </row>
    <row r="1233" spans="1:19" x14ac:dyDescent="0.2">
      <c r="A1233" s="72" t="s">
        <v>613</v>
      </c>
      <c r="B1233" s="61" t="s">
        <v>227</v>
      </c>
      <c r="C1233" s="37"/>
      <c r="D1233" s="38"/>
      <c r="E1233" s="28">
        <v>0</v>
      </c>
      <c r="F1233" s="29">
        <v>0</v>
      </c>
      <c r="G1233" s="6">
        <f t="shared" si="136"/>
        <v>0</v>
      </c>
      <c r="H1233" s="7">
        <f t="shared" si="137"/>
        <v>0</v>
      </c>
      <c r="I1233" s="6">
        <f t="shared" si="139"/>
        <v>0</v>
      </c>
      <c r="J1233" s="7">
        <f t="shared" si="140"/>
        <v>0</v>
      </c>
      <c r="K1233" s="28">
        <v>0</v>
      </c>
      <c r="L1233" s="29">
        <v>0</v>
      </c>
      <c r="M1233" s="35"/>
      <c r="N1233" s="36"/>
      <c r="O1233" s="6">
        <f t="shared" si="141"/>
        <v>0</v>
      </c>
      <c r="P1233" s="7">
        <f t="shared" si="142"/>
        <v>0</v>
      </c>
      <c r="Q1233" s="59"/>
      <c r="R1233" s="2" t="str">
        <f t="shared" si="138"/>
        <v>752|||0|0|0|0|</v>
      </c>
      <c r="S1233" s="25"/>
    </row>
    <row r="1234" spans="1:19" x14ac:dyDescent="0.2">
      <c r="A1234" s="72" t="s">
        <v>614</v>
      </c>
      <c r="B1234" s="61" t="s">
        <v>228</v>
      </c>
      <c r="C1234" s="37"/>
      <c r="D1234" s="38"/>
      <c r="E1234" s="28">
        <v>0</v>
      </c>
      <c r="F1234" s="29">
        <v>0</v>
      </c>
      <c r="G1234" s="6">
        <f t="shared" si="136"/>
        <v>0</v>
      </c>
      <c r="H1234" s="7">
        <f t="shared" si="137"/>
        <v>0</v>
      </c>
      <c r="I1234" s="6">
        <f t="shared" si="139"/>
        <v>0</v>
      </c>
      <c r="J1234" s="7">
        <f t="shared" si="140"/>
        <v>0</v>
      </c>
      <c r="K1234" s="28">
        <v>0</v>
      </c>
      <c r="L1234" s="29">
        <v>0</v>
      </c>
      <c r="M1234" s="35"/>
      <c r="N1234" s="36"/>
      <c r="O1234" s="6">
        <f t="shared" si="141"/>
        <v>0</v>
      </c>
      <c r="P1234" s="7">
        <f t="shared" si="142"/>
        <v>0</v>
      </c>
      <c r="Q1234" s="59"/>
      <c r="R1234" s="2" t="str">
        <f t="shared" si="138"/>
        <v>753|||0|0|0|0|</v>
      </c>
      <c r="S1234" s="25"/>
    </row>
    <row r="1235" spans="1:19" x14ac:dyDescent="0.2">
      <c r="A1235" s="72" t="s">
        <v>615</v>
      </c>
      <c r="B1235" s="61" t="s">
        <v>2491</v>
      </c>
      <c r="C1235" s="37"/>
      <c r="D1235" s="38"/>
      <c r="E1235" s="28">
        <v>0</v>
      </c>
      <c r="F1235" s="29">
        <v>0</v>
      </c>
      <c r="G1235" s="6">
        <f t="shared" si="136"/>
        <v>0</v>
      </c>
      <c r="H1235" s="7">
        <f t="shared" si="137"/>
        <v>0</v>
      </c>
      <c r="I1235" s="6">
        <f t="shared" si="139"/>
        <v>0</v>
      </c>
      <c r="J1235" s="7">
        <f t="shared" si="140"/>
        <v>0</v>
      </c>
      <c r="K1235" s="28">
        <v>0</v>
      </c>
      <c r="L1235" s="29">
        <v>0</v>
      </c>
      <c r="M1235" s="35"/>
      <c r="N1235" s="36"/>
      <c r="O1235" s="6">
        <f t="shared" si="141"/>
        <v>0</v>
      </c>
      <c r="P1235" s="7">
        <f t="shared" si="142"/>
        <v>0</v>
      </c>
      <c r="Q1235" s="59"/>
      <c r="R1235" s="2" t="str">
        <f t="shared" si="138"/>
        <v>7541|||0|0|0|0|</v>
      </c>
      <c r="S1235" s="25"/>
    </row>
    <row r="1236" spans="1:19" x14ac:dyDescent="0.2">
      <c r="A1236" s="72" t="s">
        <v>616</v>
      </c>
      <c r="B1236" s="61" t="s">
        <v>2492</v>
      </c>
      <c r="C1236" s="37"/>
      <c r="D1236" s="38"/>
      <c r="E1236" s="28">
        <v>0</v>
      </c>
      <c r="F1236" s="29">
        <v>0</v>
      </c>
      <c r="G1236" s="6">
        <f t="shared" si="136"/>
        <v>0</v>
      </c>
      <c r="H1236" s="7">
        <f t="shared" si="137"/>
        <v>0</v>
      </c>
      <c r="I1236" s="6">
        <f t="shared" si="139"/>
        <v>0</v>
      </c>
      <c r="J1236" s="7">
        <f t="shared" si="140"/>
        <v>0</v>
      </c>
      <c r="K1236" s="28">
        <v>0</v>
      </c>
      <c r="L1236" s="29">
        <v>0</v>
      </c>
      <c r="M1236" s="35"/>
      <c r="N1236" s="36"/>
      <c r="O1236" s="6">
        <f t="shared" si="141"/>
        <v>0</v>
      </c>
      <c r="P1236" s="7">
        <f t="shared" si="142"/>
        <v>0</v>
      </c>
      <c r="Q1236" s="59"/>
      <c r="R1236" s="2" t="str">
        <f t="shared" si="138"/>
        <v>7542|||0|0|0|0|</v>
      </c>
      <c r="S1236" s="25"/>
    </row>
    <row r="1237" spans="1:19" x14ac:dyDescent="0.2">
      <c r="A1237" s="72" t="s">
        <v>617</v>
      </c>
      <c r="B1237" s="61" t="s">
        <v>2493</v>
      </c>
      <c r="C1237" s="37"/>
      <c r="D1237" s="38"/>
      <c r="E1237" s="28">
        <v>0</v>
      </c>
      <c r="F1237" s="29">
        <v>0</v>
      </c>
      <c r="G1237" s="6">
        <f t="shared" si="136"/>
        <v>0</v>
      </c>
      <c r="H1237" s="7">
        <f t="shared" si="137"/>
        <v>0</v>
      </c>
      <c r="I1237" s="6">
        <f t="shared" si="139"/>
        <v>0</v>
      </c>
      <c r="J1237" s="7">
        <f t="shared" si="140"/>
        <v>0</v>
      </c>
      <c r="K1237" s="28">
        <v>0</v>
      </c>
      <c r="L1237" s="29">
        <v>0</v>
      </c>
      <c r="M1237" s="35"/>
      <c r="N1237" s="36"/>
      <c r="O1237" s="6">
        <f t="shared" si="141"/>
        <v>0</v>
      </c>
      <c r="P1237" s="7">
        <f t="shared" si="142"/>
        <v>0</v>
      </c>
      <c r="Q1237" s="59"/>
      <c r="R1237" s="2" t="str">
        <f t="shared" si="138"/>
        <v>7543|||0|0|0|0|</v>
      </c>
      <c r="S1237" s="25"/>
    </row>
    <row r="1238" spans="1:19" x14ac:dyDescent="0.2">
      <c r="A1238" s="72" t="s">
        <v>618</v>
      </c>
      <c r="B1238" s="61" t="s">
        <v>2494</v>
      </c>
      <c r="C1238" s="37"/>
      <c r="D1238" s="38"/>
      <c r="E1238" s="28">
        <v>0</v>
      </c>
      <c r="F1238" s="29">
        <v>0</v>
      </c>
      <c r="G1238" s="6">
        <f t="shared" si="136"/>
        <v>0</v>
      </c>
      <c r="H1238" s="7">
        <f t="shared" si="137"/>
        <v>0</v>
      </c>
      <c r="I1238" s="6">
        <f t="shared" si="139"/>
        <v>0</v>
      </c>
      <c r="J1238" s="7">
        <f t="shared" si="140"/>
        <v>0</v>
      </c>
      <c r="K1238" s="28">
        <v>0</v>
      </c>
      <c r="L1238" s="29">
        <v>0</v>
      </c>
      <c r="M1238" s="35"/>
      <c r="N1238" s="36"/>
      <c r="O1238" s="6">
        <f t="shared" si="141"/>
        <v>0</v>
      </c>
      <c r="P1238" s="7">
        <f t="shared" si="142"/>
        <v>0</v>
      </c>
      <c r="Q1238" s="59"/>
      <c r="R1238" s="2" t="str">
        <f t="shared" si="138"/>
        <v>7544|||0|0|0|0|</v>
      </c>
      <c r="S1238" s="25"/>
    </row>
    <row r="1239" spans="1:19" x14ac:dyDescent="0.2">
      <c r="A1239" s="72" t="s">
        <v>619</v>
      </c>
      <c r="B1239" s="61" t="s">
        <v>2495</v>
      </c>
      <c r="C1239" s="37"/>
      <c r="D1239" s="38"/>
      <c r="E1239" s="28">
        <v>0</v>
      </c>
      <c r="F1239" s="29">
        <v>0</v>
      </c>
      <c r="G1239" s="6">
        <f t="shared" si="136"/>
        <v>0</v>
      </c>
      <c r="H1239" s="7">
        <f t="shared" si="137"/>
        <v>0</v>
      </c>
      <c r="I1239" s="6">
        <f t="shared" si="139"/>
        <v>0</v>
      </c>
      <c r="J1239" s="7">
        <f t="shared" si="140"/>
        <v>0</v>
      </c>
      <c r="K1239" s="28">
        <v>0</v>
      </c>
      <c r="L1239" s="29">
        <v>0</v>
      </c>
      <c r="M1239" s="35"/>
      <c r="N1239" s="36"/>
      <c r="O1239" s="6">
        <f t="shared" si="141"/>
        <v>0</v>
      </c>
      <c r="P1239" s="7">
        <f t="shared" si="142"/>
        <v>0</v>
      </c>
      <c r="Q1239" s="59"/>
      <c r="R1239" s="2" t="str">
        <f t="shared" si="138"/>
        <v>7545|||0|0|0|0|</v>
      </c>
      <c r="S1239" s="25"/>
    </row>
    <row r="1240" spans="1:19" x14ac:dyDescent="0.2">
      <c r="A1240" s="72" t="s">
        <v>620</v>
      </c>
      <c r="B1240" s="61" t="s">
        <v>2496</v>
      </c>
      <c r="C1240" s="37"/>
      <c r="D1240" s="38"/>
      <c r="E1240" s="28">
        <v>0</v>
      </c>
      <c r="F1240" s="29">
        <v>0</v>
      </c>
      <c r="G1240" s="6">
        <f t="shared" si="136"/>
        <v>0</v>
      </c>
      <c r="H1240" s="7">
        <f t="shared" si="137"/>
        <v>0</v>
      </c>
      <c r="I1240" s="6">
        <f t="shared" si="139"/>
        <v>0</v>
      </c>
      <c r="J1240" s="7">
        <f t="shared" si="140"/>
        <v>0</v>
      </c>
      <c r="K1240" s="28">
        <v>0</v>
      </c>
      <c r="L1240" s="29">
        <v>0</v>
      </c>
      <c r="M1240" s="35"/>
      <c r="N1240" s="36"/>
      <c r="O1240" s="6">
        <f t="shared" si="141"/>
        <v>0</v>
      </c>
      <c r="P1240" s="7">
        <f t="shared" si="142"/>
        <v>0</v>
      </c>
      <c r="Q1240" s="59"/>
      <c r="R1240" s="2" t="str">
        <f t="shared" si="138"/>
        <v>7551|||0|0|0|0|</v>
      </c>
      <c r="S1240" s="25"/>
    </row>
    <row r="1241" spans="1:19" x14ac:dyDescent="0.2">
      <c r="A1241" s="72" t="s">
        <v>621</v>
      </c>
      <c r="B1241" s="61" t="s">
        <v>2497</v>
      </c>
      <c r="C1241" s="37"/>
      <c r="D1241" s="38"/>
      <c r="E1241" s="28">
        <v>0</v>
      </c>
      <c r="F1241" s="29">
        <v>0</v>
      </c>
      <c r="G1241" s="6">
        <f t="shared" si="136"/>
        <v>0</v>
      </c>
      <c r="H1241" s="7">
        <f t="shared" si="137"/>
        <v>0</v>
      </c>
      <c r="I1241" s="6">
        <f t="shared" si="139"/>
        <v>0</v>
      </c>
      <c r="J1241" s="7">
        <f t="shared" si="140"/>
        <v>0</v>
      </c>
      <c r="K1241" s="28">
        <v>0</v>
      </c>
      <c r="L1241" s="29">
        <v>0</v>
      </c>
      <c r="M1241" s="35"/>
      <c r="N1241" s="36"/>
      <c r="O1241" s="6">
        <f t="shared" si="141"/>
        <v>0</v>
      </c>
      <c r="P1241" s="7">
        <f t="shared" si="142"/>
        <v>0</v>
      </c>
      <c r="Q1241" s="59"/>
      <c r="R1241" s="2" t="str">
        <f t="shared" si="138"/>
        <v>7552|||0|0|0|0|</v>
      </c>
      <c r="S1241" s="25"/>
    </row>
    <row r="1242" spans="1:19" x14ac:dyDescent="0.2">
      <c r="A1242" s="72" t="s">
        <v>622</v>
      </c>
      <c r="B1242" s="61" t="s">
        <v>2498</v>
      </c>
      <c r="C1242" s="37"/>
      <c r="D1242" s="38"/>
      <c r="E1242" s="28">
        <v>0</v>
      </c>
      <c r="F1242" s="29">
        <v>0</v>
      </c>
      <c r="G1242" s="6">
        <f t="shared" si="136"/>
        <v>0</v>
      </c>
      <c r="H1242" s="7">
        <f t="shared" si="137"/>
        <v>0</v>
      </c>
      <c r="I1242" s="6">
        <f t="shared" si="139"/>
        <v>0</v>
      </c>
      <c r="J1242" s="7">
        <f t="shared" si="140"/>
        <v>0</v>
      </c>
      <c r="K1242" s="28">
        <v>0</v>
      </c>
      <c r="L1242" s="29">
        <v>0</v>
      </c>
      <c r="M1242" s="35"/>
      <c r="N1242" s="36"/>
      <c r="O1242" s="6">
        <f t="shared" si="141"/>
        <v>0</v>
      </c>
      <c r="P1242" s="7">
        <f t="shared" si="142"/>
        <v>0</v>
      </c>
      <c r="Q1242" s="59"/>
      <c r="R1242" s="2" t="str">
        <f t="shared" si="138"/>
        <v>7553|||0|0|0|0|</v>
      </c>
      <c r="S1242" s="25"/>
    </row>
    <row r="1243" spans="1:19" x14ac:dyDescent="0.2">
      <c r="A1243" s="72" t="s">
        <v>623</v>
      </c>
      <c r="B1243" s="61" t="s">
        <v>2499</v>
      </c>
      <c r="C1243" s="37"/>
      <c r="D1243" s="38"/>
      <c r="E1243" s="28">
        <v>0</v>
      </c>
      <c r="F1243" s="29">
        <v>0</v>
      </c>
      <c r="G1243" s="6">
        <f t="shared" si="136"/>
        <v>0</v>
      </c>
      <c r="H1243" s="7">
        <f t="shared" si="137"/>
        <v>0</v>
      </c>
      <c r="I1243" s="6">
        <f t="shared" si="139"/>
        <v>0</v>
      </c>
      <c r="J1243" s="7">
        <f t="shared" si="140"/>
        <v>0</v>
      </c>
      <c r="K1243" s="28">
        <v>0</v>
      </c>
      <c r="L1243" s="29">
        <v>0</v>
      </c>
      <c r="M1243" s="35"/>
      <c r="N1243" s="36"/>
      <c r="O1243" s="6">
        <f t="shared" si="141"/>
        <v>0</v>
      </c>
      <c r="P1243" s="7">
        <f t="shared" si="142"/>
        <v>0</v>
      </c>
      <c r="Q1243" s="59"/>
      <c r="R1243" s="2" t="str">
        <f t="shared" si="138"/>
        <v>7561|||0|0|0|0|</v>
      </c>
      <c r="S1243" s="25"/>
    </row>
    <row r="1244" spans="1:19" x14ac:dyDescent="0.2">
      <c r="A1244" s="72" t="s">
        <v>624</v>
      </c>
      <c r="B1244" s="61" t="s">
        <v>2500</v>
      </c>
      <c r="C1244" s="37"/>
      <c r="D1244" s="38"/>
      <c r="E1244" s="28">
        <v>0</v>
      </c>
      <c r="F1244" s="29">
        <v>0</v>
      </c>
      <c r="G1244" s="6">
        <f t="shared" si="136"/>
        <v>0</v>
      </c>
      <c r="H1244" s="7">
        <f t="shared" si="137"/>
        <v>0</v>
      </c>
      <c r="I1244" s="6">
        <f t="shared" si="139"/>
        <v>0</v>
      </c>
      <c r="J1244" s="7">
        <f t="shared" si="140"/>
        <v>0</v>
      </c>
      <c r="K1244" s="28">
        <v>0</v>
      </c>
      <c r="L1244" s="29">
        <v>0</v>
      </c>
      <c r="M1244" s="35"/>
      <c r="N1244" s="36"/>
      <c r="O1244" s="6">
        <f t="shared" si="141"/>
        <v>0</v>
      </c>
      <c r="P1244" s="7">
        <f t="shared" si="142"/>
        <v>0</v>
      </c>
      <c r="Q1244" s="59"/>
      <c r="R1244" s="2" t="str">
        <f t="shared" si="138"/>
        <v>7562|||0|0|0|0|</v>
      </c>
      <c r="S1244" s="25"/>
    </row>
    <row r="1245" spans="1:19" x14ac:dyDescent="0.2">
      <c r="A1245" s="72" t="s">
        <v>625</v>
      </c>
      <c r="B1245" s="61" t="s">
        <v>2501</v>
      </c>
      <c r="C1245" s="37"/>
      <c r="D1245" s="38"/>
      <c r="E1245" s="28">
        <v>0</v>
      </c>
      <c r="F1245" s="29">
        <v>0</v>
      </c>
      <c r="G1245" s="6">
        <f t="shared" si="136"/>
        <v>0</v>
      </c>
      <c r="H1245" s="7">
        <f t="shared" si="137"/>
        <v>0</v>
      </c>
      <c r="I1245" s="6">
        <f t="shared" si="139"/>
        <v>0</v>
      </c>
      <c r="J1245" s="7">
        <f t="shared" si="140"/>
        <v>0</v>
      </c>
      <c r="K1245" s="28">
        <v>0</v>
      </c>
      <c r="L1245" s="29">
        <v>0</v>
      </c>
      <c r="M1245" s="35"/>
      <c r="N1245" s="36"/>
      <c r="O1245" s="6">
        <f t="shared" si="141"/>
        <v>0</v>
      </c>
      <c r="P1245" s="7">
        <f t="shared" si="142"/>
        <v>0</v>
      </c>
      <c r="Q1245" s="59"/>
      <c r="R1245" s="2" t="str">
        <f t="shared" si="138"/>
        <v>7563|||0|0|0|0|</v>
      </c>
      <c r="S1245" s="25"/>
    </row>
    <row r="1246" spans="1:19" x14ac:dyDescent="0.2">
      <c r="A1246" s="72" t="s">
        <v>626</v>
      </c>
      <c r="B1246" s="61" t="s">
        <v>2502</v>
      </c>
      <c r="C1246" s="37"/>
      <c r="D1246" s="38"/>
      <c r="E1246" s="28">
        <v>0</v>
      </c>
      <c r="F1246" s="29">
        <v>0</v>
      </c>
      <c r="G1246" s="6">
        <f t="shared" si="136"/>
        <v>0</v>
      </c>
      <c r="H1246" s="7">
        <f t="shared" si="137"/>
        <v>0</v>
      </c>
      <c r="I1246" s="6">
        <f t="shared" si="139"/>
        <v>0</v>
      </c>
      <c r="J1246" s="7">
        <f t="shared" si="140"/>
        <v>0</v>
      </c>
      <c r="K1246" s="28">
        <v>0</v>
      </c>
      <c r="L1246" s="29">
        <v>0</v>
      </c>
      <c r="M1246" s="35"/>
      <c r="N1246" s="36"/>
      <c r="O1246" s="6">
        <f t="shared" si="141"/>
        <v>0</v>
      </c>
      <c r="P1246" s="7">
        <f t="shared" si="142"/>
        <v>0</v>
      </c>
      <c r="Q1246" s="59"/>
      <c r="R1246" s="2" t="str">
        <f t="shared" si="138"/>
        <v>7564|||0|0|0|0|</v>
      </c>
      <c r="S1246" s="25"/>
    </row>
    <row r="1247" spans="1:19" x14ac:dyDescent="0.2">
      <c r="A1247" s="72" t="s">
        <v>627</v>
      </c>
      <c r="B1247" s="61" t="s">
        <v>2503</v>
      </c>
      <c r="C1247" s="37"/>
      <c r="D1247" s="38"/>
      <c r="E1247" s="28">
        <v>0</v>
      </c>
      <c r="F1247" s="29">
        <v>0</v>
      </c>
      <c r="G1247" s="6">
        <f t="shared" ref="G1247:G1288" si="143">+E1247</f>
        <v>0</v>
      </c>
      <c r="H1247" s="7">
        <f t="shared" ref="H1247:H1288" si="144">+F1247</f>
        <v>0</v>
      </c>
      <c r="I1247" s="6">
        <f t="shared" si="139"/>
        <v>0</v>
      </c>
      <c r="J1247" s="7">
        <f t="shared" si="140"/>
        <v>0</v>
      </c>
      <c r="K1247" s="28">
        <v>0</v>
      </c>
      <c r="L1247" s="29">
        <v>0</v>
      </c>
      <c r="M1247" s="35"/>
      <c r="N1247" s="36"/>
      <c r="O1247" s="6">
        <f t="shared" si="141"/>
        <v>0</v>
      </c>
      <c r="P1247" s="7">
        <f t="shared" si="142"/>
        <v>0</v>
      </c>
      <c r="Q1247" s="59"/>
      <c r="R1247" s="2" t="str">
        <f t="shared" si="138"/>
        <v>7565|||0|0|0|0|</v>
      </c>
      <c r="S1247" s="25"/>
    </row>
    <row r="1248" spans="1:19" x14ac:dyDescent="0.2">
      <c r="A1248" s="72" t="s">
        <v>2504</v>
      </c>
      <c r="B1248" s="61" t="s">
        <v>2505</v>
      </c>
      <c r="C1248" s="37"/>
      <c r="D1248" s="38"/>
      <c r="E1248" s="28">
        <v>0</v>
      </c>
      <c r="F1248" s="29">
        <v>0</v>
      </c>
      <c r="G1248" s="6">
        <f t="shared" si="143"/>
        <v>0</v>
      </c>
      <c r="H1248" s="7">
        <f t="shared" si="144"/>
        <v>0</v>
      </c>
      <c r="I1248" s="6">
        <f t="shared" si="139"/>
        <v>0</v>
      </c>
      <c r="J1248" s="7">
        <f t="shared" si="140"/>
        <v>0</v>
      </c>
      <c r="K1248" s="28">
        <v>0</v>
      </c>
      <c r="L1248" s="29">
        <v>0</v>
      </c>
      <c r="M1248" s="35"/>
      <c r="N1248" s="36"/>
      <c r="O1248" s="6">
        <f t="shared" si="141"/>
        <v>0</v>
      </c>
      <c r="P1248" s="7">
        <f t="shared" si="142"/>
        <v>0</v>
      </c>
      <c r="Q1248" s="59"/>
      <c r="R1248" s="2" t="str">
        <f t="shared" si="138"/>
        <v>7566|||0|0|0|0|</v>
      </c>
      <c r="S1248" s="25"/>
    </row>
    <row r="1249" spans="1:19" x14ac:dyDescent="0.2">
      <c r="A1249" s="72" t="s">
        <v>2506</v>
      </c>
      <c r="B1249" s="61" t="s">
        <v>2507</v>
      </c>
      <c r="C1249" s="37"/>
      <c r="D1249" s="38"/>
      <c r="E1249" s="28">
        <v>0</v>
      </c>
      <c r="F1249" s="29">
        <v>0</v>
      </c>
      <c r="G1249" s="6">
        <f t="shared" si="143"/>
        <v>0</v>
      </c>
      <c r="H1249" s="7">
        <f t="shared" si="144"/>
        <v>0</v>
      </c>
      <c r="I1249" s="6">
        <f t="shared" si="139"/>
        <v>0</v>
      </c>
      <c r="J1249" s="7">
        <f t="shared" si="140"/>
        <v>0</v>
      </c>
      <c r="K1249" s="28">
        <v>0</v>
      </c>
      <c r="L1249" s="29">
        <v>0</v>
      </c>
      <c r="M1249" s="35"/>
      <c r="N1249" s="36"/>
      <c r="O1249" s="6">
        <f t="shared" si="141"/>
        <v>0</v>
      </c>
      <c r="P1249" s="7">
        <f t="shared" si="142"/>
        <v>0</v>
      </c>
      <c r="Q1249" s="59"/>
      <c r="R1249" s="2" t="str">
        <f t="shared" si="138"/>
        <v>7571|||0|0|0|0|</v>
      </c>
      <c r="S1249" s="25"/>
    </row>
    <row r="1250" spans="1:19" x14ac:dyDescent="0.2">
      <c r="A1250" s="72" t="s">
        <v>2508</v>
      </c>
      <c r="B1250" s="61" t="s">
        <v>2509</v>
      </c>
      <c r="C1250" s="37"/>
      <c r="D1250" s="38"/>
      <c r="E1250" s="28">
        <v>0</v>
      </c>
      <c r="F1250" s="29">
        <v>0</v>
      </c>
      <c r="G1250" s="6">
        <f t="shared" si="143"/>
        <v>0</v>
      </c>
      <c r="H1250" s="7">
        <f t="shared" si="144"/>
        <v>0</v>
      </c>
      <c r="I1250" s="6">
        <f t="shared" si="139"/>
        <v>0</v>
      </c>
      <c r="J1250" s="7">
        <f t="shared" si="140"/>
        <v>0</v>
      </c>
      <c r="K1250" s="28">
        <v>0</v>
      </c>
      <c r="L1250" s="29">
        <v>0</v>
      </c>
      <c r="M1250" s="35"/>
      <c r="N1250" s="36"/>
      <c r="O1250" s="6">
        <f t="shared" si="141"/>
        <v>0</v>
      </c>
      <c r="P1250" s="7">
        <f t="shared" si="142"/>
        <v>0</v>
      </c>
      <c r="Q1250" s="59"/>
      <c r="R1250" s="2" t="str">
        <f t="shared" si="138"/>
        <v>7572|||0|0|0|0|</v>
      </c>
      <c r="S1250" s="25"/>
    </row>
    <row r="1251" spans="1:19" x14ac:dyDescent="0.2">
      <c r="A1251" s="72" t="s">
        <v>2510</v>
      </c>
      <c r="B1251" s="61" t="s">
        <v>2511</v>
      </c>
      <c r="C1251" s="37"/>
      <c r="D1251" s="38"/>
      <c r="E1251" s="28">
        <v>0</v>
      </c>
      <c r="F1251" s="29">
        <v>0</v>
      </c>
      <c r="G1251" s="6">
        <f t="shared" si="143"/>
        <v>0</v>
      </c>
      <c r="H1251" s="7">
        <f t="shared" si="144"/>
        <v>0</v>
      </c>
      <c r="I1251" s="6">
        <f t="shared" si="139"/>
        <v>0</v>
      </c>
      <c r="J1251" s="7">
        <f t="shared" si="140"/>
        <v>0</v>
      </c>
      <c r="K1251" s="28">
        <v>0</v>
      </c>
      <c r="L1251" s="29">
        <v>0</v>
      </c>
      <c r="M1251" s="35"/>
      <c r="N1251" s="36"/>
      <c r="O1251" s="6">
        <f t="shared" si="141"/>
        <v>0</v>
      </c>
      <c r="P1251" s="7">
        <f t="shared" si="142"/>
        <v>0</v>
      </c>
      <c r="Q1251" s="59"/>
      <c r="R1251" s="2" t="str">
        <f t="shared" si="138"/>
        <v>7573|||0|0|0|0|</v>
      </c>
      <c r="S1251" s="25"/>
    </row>
    <row r="1252" spans="1:19" x14ac:dyDescent="0.2">
      <c r="A1252" s="72" t="s">
        <v>2512</v>
      </c>
      <c r="B1252" s="61" t="s">
        <v>2513</v>
      </c>
      <c r="C1252" s="37"/>
      <c r="D1252" s="38"/>
      <c r="E1252" s="28">
        <v>0</v>
      </c>
      <c r="F1252" s="29">
        <v>0</v>
      </c>
      <c r="G1252" s="6">
        <f t="shared" si="143"/>
        <v>0</v>
      </c>
      <c r="H1252" s="7">
        <f t="shared" si="144"/>
        <v>0</v>
      </c>
      <c r="I1252" s="6">
        <f t="shared" si="139"/>
        <v>0</v>
      </c>
      <c r="J1252" s="7">
        <f t="shared" si="140"/>
        <v>0</v>
      </c>
      <c r="K1252" s="28">
        <v>0</v>
      </c>
      <c r="L1252" s="29">
        <v>0</v>
      </c>
      <c r="M1252" s="35"/>
      <c r="N1252" s="36"/>
      <c r="O1252" s="6">
        <f t="shared" si="141"/>
        <v>0</v>
      </c>
      <c r="P1252" s="7">
        <f t="shared" si="142"/>
        <v>0</v>
      </c>
      <c r="Q1252" s="59"/>
      <c r="R1252" s="2" t="str">
        <f t="shared" si="138"/>
        <v>7574|||0|0|0|0|</v>
      </c>
      <c r="S1252" s="25"/>
    </row>
    <row r="1253" spans="1:19" x14ac:dyDescent="0.2">
      <c r="A1253" s="72" t="s">
        <v>628</v>
      </c>
      <c r="B1253" s="61" t="s">
        <v>2514</v>
      </c>
      <c r="C1253" s="37"/>
      <c r="D1253" s="38"/>
      <c r="E1253" s="28">
        <v>0</v>
      </c>
      <c r="F1253" s="29">
        <v>0</v>
      </c>
      <c r="G1253" s="6">
        <f t="shared" si="143"/>
        <v>0</v>
      </c>
      <c r="H1253" s="7">
        <f t="shared" si="144"/>
        <v>0</v>
      </c>
      <c r="I1253" s="6">
        <f t="shared" si="139"/>
        <v>0</v>
      </c>
      <c r="J1253" s="7">
        <f t="shared" si="140"/>
        <v>0</v>
      </c>
      <c r="K1253" s="28">
        <v>0</v>
      </c>
      <c r="L1253" s="29">
        <v>0</v>
      </c>
      <c r="M1253" s="35"/>
      <c r="N1253" s="36"/>
      <c r="O1253" s="6">
        <f t="shared" si="141"/>
        <v>0</v>
      </c>
      <c r="P1253" s="7">
        <f t="shared" si="142"/>
        <v>0</v>
      </c>
      <c r="Q1253" s="59"/>
      <c r="R1253" s="2" t="str">
        <f t="shared" ref="R1253:R1288" si="145">CONCATENATE(A1253,"|",C1253,"|",D1253,"|",E1253,"|",F1253,"|",K1253,"|",L1253,"|")</f>
        <v>7591|||0|0|0|0|</v>
      </c>
      <c r="S1253" s="25"/>
    </row>
    <row r="1254" spans="1:19" x14ac:dyDescent="0.2">
      <c r="A1254" s="72" t="s">
        <v>2515</v>
      </c>
      <c r="B1254" s="61" t="s">
        <v>2516</v>
      </c>
      <c r="C1254" s="37"/>
      <c r="D1254" s="38"/>
      <c r="E1254" s="28">
        <v>0</v>
      </c>
      <c r="F1254" s="29">
        <v>0</v>
      </c>
      <c r="G1254" s="6">
        <f t="shared" si="143"/>
        <v>0</v>
      </c>
      <c r="H1254" s="7">
        <f t="shared" si="144"/>
        <v>0</v>
      </c>
      <c r="I1254" s="6">
        <f t="shared" si="139"/>
        <v>0</v>
      </c>
      <c r="J1254" s="7">
        <f t="shared" si="140"/>
        <v>0</v>
      </c>
      <c r="K1254" s="28">
        <v>0</v>
      </c>
      <c r="L1254" s="29">
        <v>0</v>
      </c>
      <c r="M1254" s="35"/>
      <c r="N1254" s="36"/>
      <c r="O1254" s="6">
        <f t="shared" si="141"/>
        <v>0</v>
      </c>
      <c r="P1254" s="7">
        <f t="shared" si="142"/>
        <v>0</v>
      </c>
      <c r="Q1254" s="59"/>
      <c r="R1254" s="2" t="str">
        <f t="shared" si="145"/>
        <v>7592|||0|0|0|0|</v>
      </c>
      <c r="S1254" s="25"/>
    </row>
    <row r="1255" spans="1:19" x14ac:dyDescent="0.2">
      <c r="A1255" s="72" t="s">
        <v>2517</v>
      </c>
      <c r="B1255" s="61" t="s">
        <v>2518</v>
      </c>
      <c r="C1255" s="37"/>
      <c r="D1255" s="38"/>
      <c r="E1255" s="28">
        <v>0</v>
      </c>
      <c r="F1255" s="29">
        <v>0</v>
      </c>
      <c r="G1255" s="6">
        <f t="shared" si="143"/>
        <v>0</v>
      </c>
      <c r="H1255" s="7">
        <f t="shared" si="144"/>
        <v>0</v>
      </c>
      <c r="I1255" s="6">
        <f t="shared" si="139"/>
        <v>0</v>
      </c>
      <c r="J1255" s="7">
        <f t="shared" si="140"/>
        <v>0</v>
      </c>
      <c r="K1255" s="28">
        <v>0</v>
      </c>
      <c r="L1255" s="29">
        <v>0</v>
      </c>
      <c r="M1255" s="35"/>
      <c r="N1255" s="36"/>
      <c r="O1255" s="6">
        <f t="shared" si="141"/>
        <v>0</v>
      </c>
      <c r="P1255" s="7">
        <f t="shared" si="142"/>
        <v>0</v>
      </c>
      <c r="Q1255" s="59"/>
      <c r="R1255" s="2" t="str">
        <f t="shared" si="145"/>
        <v>7593|||0|0|0|0|</v>
      </c>
      <c r="S1255" s="25"/>
    </row>
    <row r="1256" spans="1:19" x14ac:dyDescent="0.2">
      <c r="A1256" s="75" t="s">
        <v>2584</v>
      </c>
      <c r="B1256" s="61" t="s">
        <v>2561</v>
      </c>
      <c r="C1256" s="37"/>
      <c r="D1256" s="38"/>
      <c r="E1256" s="28">
        <v>0</v>
      </c>
      <c r="F1256" s="29">
        <v>0</v>
      </c>
      <c r="G1256" s="6">
        <f t="shared" ref="G1256:G1257" si="146">+E1256</f>
        <v>0</v>
      </c>
      <c r="H1256" s="7">
        <f t="shared" ref="H1256" si="147">+F1256</f>
        <v>0</v>
      </c>
      <c r="I1256" s="6">
        <f t="shared" si="139"/>
        <v>0</v>
      </c>
      <c r="J1256" s="7">
        <f t="shared" si="140"/>
        <v>0</v>
      </c>
      <c r="K1256" s="28">
        <v>0</v>
      </c>
      <c r="L1256" s="29">
        <v>0</v>
      </c>
      <c r="M1256" s="35"/>
      <c r="N1256" s="36"/>
      <c r="O1256" s="6">
        <f t="shared" si="141"/>
        <v>0</v>
      </c>
      <c r="P1256" s="7">
        <f t="shared" si="142"/>
        <v>0</v>
      </c>
      <c r="Q1256" s="59"/>
      <c r="R1256" s="2" t="str">
        <f t="shared" si="145"/>
        <v>7598|||0|0|0|0|</v>
      </c>
      <c r="S1256" s="25"/>
    </row>
    <row r="1257" spans="1:19" x14ac:dyDescent="0.2">
      <c r="A1257" s="72" t="s">
        <v>229</v>
      </c>
      <c r="B1257" s="61" t="s">
        <v>2519</v>
      </c>
      <c r="C1257" s="37"/>
      <c r="D1257" s="38"/>
      <c r="E1257" s="28">
        <v>0</v>
      </c>
      <c r="F1257" s="29">
        <v>0</v>
      </c>
      <c r="G1257" s="6">
        <f t="shared" si="146"/>
        <v>0</v>
      </c>
      <c r="H1257" s="7">
        <f t="shared" si="144"/>
        <v>0</v>
      </c>
      <c r="I1257" s="6">
        <f t="shared" si="139"/>
        <v>0</v>
      </c>
      <c r="J1257" s="7">
        <f t="shared" si="140"/>
        <v>0</v>
      </c>
      <c r="K1257" s="28">
        <v>0</v>
      </c>
      <c r="L1257" s="29">
        <v>0</v>
      </c>
      <c r="M1257" s="35"/>
      <c r="N1257" s="36"/>
      <c r="O1257" s="6">
        <f t="shared" si="141"/>
        <v>0</v>
      </c>
      <c r="P1257" s="7">
        <f t="shared" si="142"/>
        <v>0</v>
      </c>
      <c r="Q1257" s="59"/>
      <c r="R1257" s="2" t="str">
        <f t="shared" si="145"/>
        <v>7599|||0|0|0|0|</v>
      </c>
      <c r="S1257" s="25"/>
    </row>
    <row r="1258" spans="1:19" x14ac:dyDescent="0.2">
      <c r="A1258" s="72" t="s">
        <v>629</v>
      </c>
      <c r="B1258" s="61" t="s">
        <v>2520</v>
      </c>
      <c r="C1258" s="37"/>
      <c r="D1258" s="38"/>
      <c r="E1258" s="28">
        <v>0</v>
      </c>
      <c r="F1258" s="29">
        <v>0</v>
      </c>
      <c r="G1258" s="6">
        <f t="shared" si="143"/>
        <v>0</v>
      </c>
      <c r="H1258" s="7">
        <f t="shared" si="144"/>
        <v>0</v>
      </c>
      <c r="I1258" s="6">
        <f t="shared" si="139"/>
        <v>0</v>
      </c>
      <c r="J1258" s="7">
        <f t="shared" si="140"/>
        <v>0</v>
      </c>
      <c r="K1258" s="28">
        <v>0</v>
      </c>
      <c r="L1258" s="29">
        <v>0</v>
      </c>
      <c r="M1258" s="35"/>
      <c r="N1258" s="36"/>
      <c r="O1258" s="6">
        <f t="shared" si="141"/>
        <v>0</v>
      </c>
      <c r="P1258" s="7">
        <f t="shared" si="142"/>
        <v>0</v>
      </c>
      <c r="Q1258" s="59"/>
      <c r="R1258" s="2" t="str">
        <f t="shared" si="145"/>
        <v>7611|||0|0|0|0|</v>
      </c>
      <c r="S1258" s="25"/>
    </row>
    <row r="1259" spans="1:19" x14ac:dyDescent="0.2">
      <c r="A1259" s="72" t="s">
        <v>630</v>
      </c>
      <c r="B1259" s="61" t="s">
        <v>2521</v>
      </c>
      <c r="C1259" s="37"/>
      <c r="D1259" s="38"/>
      <c r="E1259" s="28">
        <v>0</v>
      </c>
      <c r="F1259" s="29">
        <v>0</v>
      </c>
      <c r="G1259" s="6">
        <f t="shared" si="143"/>
        <v>0</v>
      </c>
      <c r="H1259" s="7">
        <f t="shared" si="144"/>
        <v>0</v>
      </c>
      <c r="I1259" s="6">
        <f t="shared" si="139"/>
        <v>0</v>
      </c>
      <c r="J1259" s="7">
        <f t="shared" si="140"/>
        <v>0</v>
      </c>
      <c r="K1259" s="28">
        <v>0</v>
      </c>
      <c r="L1259" s="29">
        <v>0</v>
      </c>
      <c r="M1259" s="35"/>
      <c r="N1259" s="36"/>
      <c r="O1259" s="6">
        <f t="shared" si="141"/>
        <v>0</v>
      </c>
      <c r="P1259" s="7">
        <f t="shared" si="142"/>
        <v>0</v>
      </c>
      <c r="Q1259" s="59"/>
      <c r="R1259" s="2" t="str">
        <f t="shared" si="145"/>
        <v>7612|||0|0|0|0|</v>
      </c>
      <c r="S1259" s="25"/>
    </row>
    <row r="1260" spans="1:19" x14ac:dyDescent="0.2">
      <c r="A1260" s="72" t="s">
        <v>2522</v>
      </c>
      <c r="B1260" s="61" t="s">
        <v>2523</v>
      </c>
      <c r="C1260" s="37"/>
      <c r="D1260" s="38"/>
      <c r="E1260" s="28">
        <v>0</v>
      </c>
      <c r="F1260" s="29">
        <v>0</v>
      </c>
      <c r="G1260" s="6">
        <f t="shared" si="143"/>
        <v>0</v>
      </c>
      <c r="H1260" s="7">
        <f t="shared" si="144"/>
        <v>0</v>
      </c>
      <c r="I1260" s="6">
        <f t="shared" si="139"/>
        <v>0</v>
      </c>
      <c r="J1260" s="7">
        <f t="shared" si="140"/>
        <v>0</v>
      </c>
      <c r="K1260" s="28">
        <v>0</v>
      </c>
      <c r="L1260" s="29">
        <v>0</v>
      </c>
      <c r="M1260" s="35"/>
      <c r="N1260" s="36"/>
      <c r="O1260" s="6">
        <f t="shared" si="141"/>
        <v>0</v>
      </c>
      <c r="P1260" s="7">
        <f t="shared" si="142"/>
        <v>0</v>
      </c>
      <c r="Q1260" s="59"/>
      <c r="R1260" s="2" t="str">
        <f t="shared" si="145"/>
        <v>76131|||0|0|0|0|</v>
      </c>
      <c r="S1260" s="25"/>
    </row>
    <row r="1261" spans="1:19" x14ac:dyDescent="0.2">
      <c r="A1261" s="72" t="s">
        <v>2524</v>
      </c>
      <c r="B1261" s="61" t="s">
        <v>2525</v>
      </c>
      <c r="C1261" s="37"/>
      <c r="D1261" s="38"/>
      <c r="E1261" s="28">
        <v>0</v>
      </c>
      <c r="F1261" s="29">
        <v>0</v>
      </c>
      <c r="G1261" s="6">
        <f t="shared" si="143"/>
        <v>0</v>
      </c>
      <c r="H1261" s="7">
        <f t="shared" si="144"/>
        <v>0</v>
      </c>
      <c r="I1261" s="6">
        <f t="shared" si="139"/>
        <v>0</v>
      </c>
      <c r="J1261" s="7">
        <f t="shared" si="140"/>
        <v>0</v>
      </c>
      <c r="K1261" s="28">
        <v>0</v>
      </c>
      <c r="L1261" s="29">
        <v>0</v>
      </c>
      <c r="M1261" s="35"/>
      <c r="N1261" s="36"/>
      <c r="O1261" s="6">
        <f t="shared" si="141"/>
        <v>0</v>
      </c>
      <c r="P1261" s="7">
        <f t="shared" si="142"/>
        <v>0</v>
      </c>
      <c r="Q1261" s="59"/>
      <c r="R1261" s="2" t="str">
        <f t="shared" si="145"/>
        <v>76132|||0|0|0|0|</v>
      </c>
      <c r="S1261" s="25"/>
    </row>
    <row r="1262" spans="1:19" x14ac:dyDescent="0.2">
      <c r="A1262" s="72" t="s">
        <v>2526</v>
      </c>
      <c r="B1262" s="61" t="s">
        <v>2527</v>
      </c>
      <c r="C1262" s="37"/>
      <c r="D1262" s="38"/>
      <c r="E1262" s="28">
        <v>0</v>
      </c>
      <c r="F1262" s="29">
        <v>0</v>
      </c>
      <c r="G1262" s="6">
        <f t="shared" si="143"/>
        <v>0</v>
      </c>
      <c r="H1262" s="7">
        <f t="shared" si="144"/>
        <v>0</v>
      </c>
      <c r="I1262" s="6">
        <f t="shared" si="139"/>
        <v>0</v>
      </c>
      <c r="J1262" s="7">
        <f t="shared" si="140"/>
        <v>0</v>
      </c>
      <c r="K1262" s="28">
        <v>0</v>
      </c>
      <c r="L1262" s="29">
        <v>0</v>
      </c>
      <c r="M1262" s="35"/>
      <c r="N1262" s="36"/>
      <c r="O1262" s="6">
        <f t="shared" si="141"/>
        <v>0</v>
      </c>
      <c r="P1262" s="7">
        <f t="shared" si="142"/>
        <v>0</v>
      </c>
      <c r="Q1262" s="59"/>
      <c r="R1262" s="2" t="str">
        <f t="shared" si="145"/>
        <v>76133|||0|0|0|0|</v>
      </c>
      <c r="S1262" s="25"/>
    </row>
    <row r="1263" spans="1:19" x14ac:dyDescent="0.2">
      <c r="A1263" s="72" t="s">
        <v>2528</v>
      </c>
      <c r="B1263" s="61" t="s">
        <v>2529</v>
      </c>
      <c r="C1263" s="37"/>
      <c r="D1263" s="38"/>
      <c r="E1263" s="28">
        <v>0</v>
      </c>
      <c r="F1263" s="29">
        <v>0</v>
      </c>
      <c r="G1263" s="6">
        <f t="shared" si="143"/>
        <v>0</v>
      </c>
      <c r="H1263" s="7">
        <f t="shared" si="144"/>
        <v>0</v>
      </c>
      <c r="I1263" s="6">
        <f t="shared" si="139"/>
        <v>0</v>
      </c>
      <c r="J1263" s="7">
        <f t="shared" si="140"/>
        <v>0</v>
      </c>
      <c r="K1263" s="28">
        <v>0</v>
      </c>
      <c r="L1263" s="29">
        <v>0</v>
      </c>
      <c r="M1263" s="35"/>
      <c r="N1263" s="36"/>
      <c r="O1263" s="6">
        <f t="shared" si="141"/>
        <v>0</v>
      </c>
      <c r="P1263" s="7">
        <f t="shared" si="142"/>
        <v>0</v>
      </c>
      <c r="Q1263" s="59"/>
      <c r="R1263" s="2" t="str">
        <f t="shared" si="145"/>
        <v>76134|||0|0|0|0|</v>
      </c>
      <c r="S1263" s="25"/>
    </row>
    <row r="1264" spans="1:19" x14ac:dyDescent="0.2">
      <c r="A1264" s="72" t="s">
        <v>631</v>
      </c>
      <c r="B1264" s="61" t="s">
        <v>2530</v>
      </c>
      <c r="C1264" s="37"/>
      <c r="D1264" s="38"/>
      <c r="E1264" s="28">
        <v>0</v>
      </c>
      <c r="F1264" s="29">
        <v>0</v>
      </c>
      <c r="G1264" s="6">
        <f t="shared" si="143"/>
        <v>0</v>
      </c>
      <c r="H1264" s="7">
        <f t="shared" si="144"/>
        <v>0</v>
      </c>
      <c r="I1264" s="6">
        <f t="shared" si="139"/>
        <v>0</v>
      </c>
      <c r="J1264" s="7">
        <f t="shared" si="140"/>
        <v>0</v>
      </c>
      <c r="K1264" s="28">
        <v>0</v>
      </c>
      <c r="L1264" s="29">
        <v>0</v>
      </c>
      <c r="M1264" s="35"/>
      <c r="N1264" s="36"/>
      <c r="O1264" s="6">
        <f t="shared" si="141"/>
        <v>0</v>
      </c>
      <c r="P1264" s="7">
        <f t="shared" si="142"/>
        <v>0</v>
      </c>
      <c r="Q1264" s="59"/>
      <c r="R1264" s="2" t="str">
        <f t="shared" si="145"/>
        <v>7621|||0|0|0|0|</v>
      </c>
      <c r="S1264" s="25"/>
    </row>
    <row r="1265" spans="1:19" x14ac:dyDescent="0.2">
      <c r="A1265" s="72" t="s">
        <v>632</v>
      </c>
      <c r="B1265" s="61" t="s">
        <v>2531</v>
      </c>
      <c r="C1265" s="37"/>
      <c r="D1265" s="38"/>
      <c r="E1265" s="28">
        <v>0</v>
      </c>
      <c r="F1265" s="29">
        <v>0</v>
      </c>
      <c r="G1265" s="6">
        <f t="shared" si="143"/>
        <v>0</v>
      </c>
      <c r="H1265" s="7">
        <f t="shared" si="144"/>
        <v>0</v>
      </c>
      <c r="I1265" s="6">
        <f t="shared" si="139"/>
        <v>0</v>
      </c>
      <c r="J1265" s="7">
        <f t="shared" si="140"/>
        <v>0</v>
      </c>
      <c r="K1265" s="28">
        <v>0</v>
      </c>
      <c r="L1265" s="29">
        <v>0</v>
      </c>
      <c r="M1265" s="35"/>
      <c r="N1265" s="36"/>
      <c r="O1265" s="6">
        <f t="shared" si="141"/>
        <v>0</v>
      </c>
      <c r="P1265" s="7">
        <f t="shared" si="142"/>
        <v>0</v>
      </c>
      <c r="Q1265" s="59"/>
      <c r="R1265" s="2" t="str">
        <f t="shared" si="145"/>
        <v>7622|||0|0|0|0|</v>
      </c>
      <c r="S1265" s="25"/>
    </row>
    <row r="1266" spans="1:19" x14ac:dyDescent="0.2">
      <c r="A1266" s="72" t="s">
        <v>633</v>
      </c>
      <c r="B1266" s="61" t="s">
        <v>2532</v>
      </c>
      <c r="C1266" s="37"/>
      <c r="D1266" s="38"/>
      <c r="E1266" s="28">
        <v>0</v>
      </c>
      <c r="F1266" s="29">
        <v>0</v>
      </c>
      <c r="G1266" s="6">
        <f t="shared" si="143"/>
        <v>0</v>
      </c>
      <c r="H1266" s="7">
        <f t="shared" si="144"/>
        <v>0</v>
      </c>
      <c r="I1266" s="6">
        <f t="shared" ref="I1266:I1288" si="148">IF($E1266-$F1266&gt;=0,$E1266-$F1266,0)</f>
        <v>0</v>
      </c>
      <c r="J1266" s="7">
        <f t="shared" ref="J1266:J1288" si="149">IF($E1266-$F1266&lt;0,-$E1266+$F1266,0)</f>
        <v>0</v>
      </c>
      <c r="K1266" s="28">
        <v>0</v>
      </c>
      <c r="L1266" s="29">
        <v>0</v>
      </c>
      <c r="M1266" s="35"/>
      <c r="N1266" s="36"/>
      <c r="O1266" s="6">
        <f t="shared" ref="O1266:O1288" si="150">IF($I1266-$J1266+$K1266-$L1266&gt;=0,$I1266-$J1266+$K1266-$L1266,0)</f>
        <v>0</v>
      </c>
      <c r="P1266" s="7">
        <f t="shared" ref="P1266:P1288" si="151">IF($I1266-$J1266+$K1266-$L1266&lt;0,-($I1266-$J1266+$K1266-$L1266),0)</f>
        <v>0</v>
      </c>
      <c r="Q1266" s="59"/>
      <c r="R1266" s="2" t="str">
        <f t="shared" si="145"/>
        <v>771|||0|0|0|0|</v>
      </c>
      <c r="S1266" s="25"/>
    </row>
    <row r="1267" spans="1:19" x14ac:dyDescent="0.2">
      <c r="A1267" s="72" t="s">
        <v>634</v>
      </c>
      <c r="B1267" s="61" t="s">
        <v>2533</v>
      </c>
      <c r="C1267" s="37"/>
      <c r="D1267" s="38"/>
      <c r="E1267" s="28">
        <v>0</v>
      </c>
      <c r="F1267" s="29">
        <v>0</v>
      </c>
      <c r="G1267" s="6">
        <f t="shared" si="143"/>
        <v>0</v>
      </c>
      <c r="H1267" s="7">
        <f t="shared" si="144"/>
        <v>0</v>
      </c>
      <c r="I1267" s="6">
        <f t="shared" si="148"/>
        <v>0</v>
      </c>
      <c r="J1267" s="7">
        <f t="shared" si="149"/>
        <v>0</v>
      </c>
      <c r="K1267" s="28">
        <v>0</v>
      </c>
      <c r="L1267" s="29">
        <v>0</v>
      </c>
      <c r="M1267" s="35"/>
      <c r="N1267" s="36"/>
      <c r="O1267" s="6">
        <f t="shared" si="150"/>
        <v>0</v>
      </c>
      <c r="P1267" s="7">
        <f t="shared" si="151"/>
        <v>0</v>
      </c>
      <c r="Q1267" s="59"/>
      <c r="R1267" s="2" t="str">
        <f t="shared" si="145"/>
        <v>7721|||0|0|0|0|</v>
      </c>
      <c r="S1267" s="25"/>
    </row>
    <row r="1268" spans="1:19" x14ac:dyDescent="0.2">
      <c r="A1268" s="72" t="s">
        <v>635</v>
      </c>
      <c r="B1268" s="61" t="s">
        <v>2534</v>
      </c>
      <c r="C1268" s="37"/>
      <c r="D1268" s="38"/>
      <c r="E1268" s="28">
        <v>0</v>
      </c>
      <c r="F1268" s="29">
        <v>0</v>
      </c>
      <c r="G1268" s="6">
        <f t="shared" si="143"/>
        <v>0</v>
      </c>
      <c r="H1268" s="7">
        <f t="shared" si="144"/>
        <v>0</v>
      </c>
      <c r="I1268" s="6">
        <f t="shared" si="148"/>
        <v>0</v>
      </c>
      <c r="J1268" s="7">
        <f t="shared" si="149"/>
        <v>0</v>
      </c>
      <c r="K1268" s="28">
        <v>0</v>
      </c>
      <c r="L1268" s="29">
        <v>0</v>
      </c>
      <c r="M1268" s="35"/>
      <c r="N1268" s="36"/>
      <c r="O1268" s="6">
        <f t="shared" si="150"/>
        <v>0</v>
      </c>
      <c r="P1268" s="7">
        <f t="shared" si="151"/>
        <v>0</v>
      </c>
      <c r="Q1268" s="59"/>
      <c r="R1268" s="2" t="str">
        <f t="shared" si="145"/>
        <v>7722|||0|0|0|0|</v>
      </c>
      <c r="S1268" s="25"/>
    </row>
    <row r="1269" spans="1:19" x14ac:dyDescent="0.2">
      <c r="A1269" s="72" t="s">
        <v>636</v>
      </c>
      <c r="B1269" s="61" t="s">
        <v>2535</v>
      </c>
      <c r="C1269" s="37"/>
      <c r="D1269" s="38"/>
      <c r="E1269" s="28">
        <v>0</v>
      </c>
      <c r="F1269" s="29">
        <v>0</v>
      </c>
      <c r="G1269" s="6">
        <f t="shared" si="143"/>
        <v>0</v>
      </c>
      <c r="H1269" s="7">
        <f t="shared" si="144"/>
        <v>0</v>
      </c>
      <c r="I1269" s="6">
        <f t="shared" si="148"/>
        <v>0</v>
      </c>
      <c r="J1269" s="7">
        <f t="shared" si="149"/>
        <v>0</v>
      </c>
      <c r="K1269" s="28">
        <v>0</v>
      </c>
      <c r="L1269" s="29">
        <v>0</v>
      </c>
      <c r="M1269" s="35"/>
      <c r="N1269" s="36"/>
      <c r="O1269" s="6">
        <f t="shared" si="150"/>
        <v>0</v>
      </c>
      <c r="P1269" s="7">
        <f t="shared" si="151"/>
        <v>0</v>
      </c>
      <c r="Q1269" s="59"/>
      <c r="R1269" s="2" t="str">
        <f t="shared" si="145"/>
        <v>7723|||0|0|0|0|</v>
      </c>
      <c r="S1269" s="25"/>
    </row>
    <row r="1270" spans="1:19" x14ac:dyDescent="0.2">
      <c r="A1270" s="72" t="s">
        <v>637</v>
      </c>
      <c r="B1270" s="61" t="s">
        <v>2536</v>
      </c>
      <c r="C1270" s="37"/>
      <c r="D1270" s="38"/>
      <c r="E1270" s="28">
        <v>0</v>
      </c>
      <c r="F1270" s="29">
        <v>0</v>
      </c>
      <c r="G1270" s="6">
        <f t="shared" si="143"/>
        <v>0</v>
      </c>
      <c r="H1270" s="7">
        <f t="shared" si="144"/>
        <v>0</v>
      </c>
      <c r="I1270" s="6">
        <f t="shared" si="148"/>
        <v>0</v>
      </c>
      <c r="J1270" s="7">
        <f t="shared" si="149"/>
        <v>0</v>
      </c>
      <c r="K1270" s="28">
        <v>0</v>
      </c>
      <c r="L1270" s="29">
        <v>0</v>
      </c>
      <c r="M1270" s="35"/>
      <c r="N1270" s="36"/>
      <c r="O1270" s="6">
        <f t="shared" si="150"/>
        <v>0</v>
      </c>
      <c r="P1270" s="7">
        <f t="shared" si="151"/>
        <v>0</v>
      </c>
      <c r="Q1270" s="59"/>
      <c r="R1270" s="2" t="str">
        <f t="shared" si="145"/>
        <v>7724|||0|0|0|0|</v>
      </c>
      <c r="S1270" s="25"/>
    </row>
    <row r="1271" spans="1:19" x14ac:dyDescent="0.2">
      <c r="A1271" s="72" t="s">
        <v>638</v>
      </c>
      <c r="B1271" s="61" t="s">
        <v>2537</v>
      </c>
      <c r="C1271" s="37"/>
      <c r="D1271" s="38"/>
      <c r="E1271" s="28">
        <v>0</v>
      </c>
      <c r="F1271" s="29">
        <v>0</v>
      </c>
      <c r="G1271" s="6">
        <f t="shared" si="143"/>
        <v>0</v>
      </c>
      <c r="H1271" s="7">
        <f t="shared" si="144"/>
        <v>0</v>
      </c>
      <c r="I1271" s="6">
        <f t="shared" si="148"/>
        <v>0</v>
      </c>
      <c r="J1271" s="7">
        <f t="shared" si="149"/>
        <v>0</v>
      </c>
      <c r="K1271" s="28">
        <v>0</v>
      </c>
      <c r="L1271" s="29">
        <v>0</v>
      </c>
      <c r="M1271" s="35"/>
      <c r="N1271" s="36"/>
      <c r="O1271" s="6">
        <f t="shared" si="150"/>
        <v>0</v>
      </c>
      <c r="P1271" s="7">
        <f t="shared" si="151"/>
        <v>0</v>
      </c>
      <c r="Q1271" s="59"/>
      <c r="R1271" s="2" t="str">
        <f t="shared" si="145"/>
        <v>7725|||0|0|0|0|</v>
      </c>
      <c r="S1271" s="25"/>
    </row>
    <row r="1272" spans="1:19" x14ac:dyDescent="0.2">
      <c r="A1272" s="72" t="s">
        <v>639</v>
      </c>
      <c r="B1272" s="61" t="s">
        <v>2538</v>
      </c>
      <c r="C1272" s="37"/>
      <c r="D1272" s="38"/>
      <c r="E1272" s="28">
        <v>0</v>
      </c>
      <c r="F1272" s="29">
        <v>0</v>
      </c>
      <c r="G1272" s="6">
        <f t="shared" si="143"/>
        <v>0</v>
      </c>
      <c r="H1272" s="7">
        <f t="shared" si="144"/>
        <v>0</v>
      </c>
      <c r="I1272" s="6">
        <f t="shared" si="148"/>
        <v>0</v>
      </c>
      <c r="J1272" s="7">
        <f t="shared" si="149"/>
        <v>0</v>
      </c>
      <c r="K1272" s="28">
        <v>0</v>
      </c>
      <c r="L1272" s="29">
        <v>0</v>
      </c>
      <c r="M1272" s="35"/>
      <c r="N1272" s="36"/>
      <c r="O1272" s="6">
        <f t="shared" si="150"/>
        <v>0</v>
      </c>
      <c r="P1272" s="7">
        <f t="shared" si="151"/>
        <v>0</v>
      </c>
      <c r="Q1272" s="59"/>
      <c r="R1272" s="2" t="str">
        <f t="shared" si="145"/>
        <v>773|||0|0|0|0|</v>
      </c>
      <c r="S1272" s="25"/>
    </row>
    <row r="1273" spans="1:19" x14ac:dyDescent="0.2">
      <c r="A1273" s="72" t="s">
        <v>0</v>
      </c>
      <c r="B1273" s="61" t="s">
        <v>2539</v>
      </c>
      <c r="C1273" s="37"/>
      <c r="D1273" s="38"/>
      <c r="E1273" s="28">
        <v>0</v>
      </c>
      <c r="F1273" s="29">
        <v>0</v>
      </c>
      <c r="G1273" s="6">
        <f t="shared" si="143"/>
        <v>0</v>
      </c>
      <c r="H1273" s="7">
        <f t="shared" si="144"/>
        <v>0</v>
      </c>
      <c r="I1273" s="6">
        <f t="shared" si="148"/>
        <v>0</v>
      </c>
      <c r="J1273" s="7">
        <f t="shared" si="149"/>
        <v>0</v>
      </c>
      <c r="K1273" s="28">
        <v>0</v>
      </c>
      <c r="L1273" s="29">
        <v>0</v>
      </c>
      <c r="M1273" s="35"/>
      <c r="N1273" s="36"/>
      <c r="O1273" s="6">
        <f t="shared" si="150"/>
        <v>0</v>
      </c>
      <c r="P1273" s="7">
        <f t="shared" si="151"/>
        <v>0</v>
      </c>
      <c r="Q1273" s="59"/>
      <c r="R1273" s="2" t="str">
        <f t="shared" si="145"/>
        <v>774|||0|0|0|0|</v>
      </c>
      <c r="S1273" s="25"/>
    </row>
    <row r="1274" spans="1:19" x14ac:dyDescent="0.2">
      <c r="A1274" s="72" t="s">
        <v>640</v>
      </c>
      <c r="B1274" s="61" t="s">
        <v>1</v>
      </c>
      <c r="C1274" s="37"/>
      <c r="D1274" s="38"/>
      <c r="E1274" s="28">
        <v>0</v>
      </c>
      <c r="F1274" s="29">
        <v>0</v>
      </c>
      <c r="G1274" s="6">
        <f t="shared" si="143"/>
        <v>0</v>
      </c>
      <c r="H1274" s="7">
        <f t="shared" si="144"/>
        <v>0</v>
      </c>
      <c r="I1274" s="6">
        <f t="shared" si="148"/>
        <v>0</v>
      </c>
      <c r="J1274" s="7">
        <f t="shared" si="149"/>
        <v>0</v>
      </c>
      <c r="K1274" s="28">
        <v>0</v>
      </c>
      <c r="L1274" s="29">
        <v>0</v>
      </c>
      <c r="M1274" s="35"/>
      <c r="N1274" s="36"/>
      <c r="O1274" s="6">
        <f t="shared" si="150"/>
        <v>0</v>
      </c>
      <c r="P1274" s="7">
        <f t="shared" si="151"/>
        <v>0</v>
      </c>
      <c r="Q1274" s="59"/>
      <c r="R1274" s="2" t="str">
        <f t="shared" si="145"/>
        <v>775|||0|0|0|0|</v>
      </c>
      <c r="S1274" s="25"/>
    </row>
    <row r="1275" spans="1:19" x14ac:dyDescent="0.2">
      <c r="A1275" s="72" t="s">
        <v>641</v>
      </c>
      <c r="B1275" s="61" t="s">
        <v>2540</v>
      </c>
      <c r="C1275" s="37"/>
      <c r="D1275" s="38"/>
      <c r="E1275" s="28">
        <v>0</v>
      </c>
      <c r="F1275" s="29">
        <v>0</v>
      </c>
      <c r="G1275" s="6">
        <f t="shared" si="143"/>
        <v>0</v>
      </c>
      <c r="H1275" s="7">
        <f t="shared" si="144"/>
        <v>0</v>
      </c>
      <c r="I1275" s="6">
        <f t="shared" si="148"/>
        <v>0</v>
      </c>
      <c r="J1275" s="7">
        <f t="shared" si="149"/>
        <v>0</v>
      </c>
      <c r="K1275" s="28">
        <v>0</v>
      </c>
      <c r="L1275" s="29">
        <v>0</v>
      </c>
      <c r="M1275" s="35"/>
      <c r="N1275" s="36"/>
      <c r="O1275" s="6">
        <f t="shared" si="150"/>
        <v>0</v>
      </c>
      <c r="P1275" s="7">
        <f t="shared" si="151"/>
        <v>0</v>
      </c>
      <c r="Q1275" s="59"/>
      <c r="R1275" s="2" t="str">
        <f t="shared" si="145"/>
        <v>776|||0|0|0|0|</v>
      </c>
      <c r="S1275" s="25"/>
    </row>
    <row r="1276" spans="1:19" x14ac:dyDescent="0.2">
      <c r="A1276" s="72" t="s">
        <v>2541</v>
      </c>
      <c r="B1276" s="61" t="s">
        <v>2542</v>
      </c>
      <c r="C1276" s="37"/>
      <c r="D1276" s="38"/>
      <c r="E1276" s="28">
        <v>0</v>
      </c>
      <c r="F1276" s="29">
        <v>0</v>
      </c>
      <c r="G1276" s="6">
        <f t="shared" si="143"/>
        <v>0</v>
      </c>
      <c r="H1276" s="7">
        <f t="shared" si="144"/>
        <v>0</v>
      </c>
      <c r="I1276" s="6">
        <f t="shared" si="148"/>
        <v>0</v>
      </c>
      <c r="J1276" s="7">
        <f t="shared" si="149"/>
        <v>0</v>
      </c>
      <c r="K1276" s="28">
        <v>0</v>
      </c>
      <c r="L1276" s="29">
        <v>0</v>
      </c>
      <c r="M1276" s="35"/>
      <c r="N1276" s="36"/>
      <c r="O1276" s="6">
        <f t="shared" si="150"/>
        <v>0</v>
      </c>
      <c r="P1276" s="7">
        <f t="shared" si="151"/>
        <v>0</v>
      </c>
      <c r="Q1276" s="59"/>
      <c r="R1276" s="2" t="str">
        <f t="shared" si="145"/>
        <v>7771|||0|0|0|0|</v>
      </c>
      <c r="S1276" s="25"/>
    </row>
    <row r="1277" spans="1:19" x14ac:dyDescent="0.2">
      <c r="A1277" s="72" t="s">
        <v>2543</v>
      </c>
      <c r="B1277" s="61" t="s">
        <v>2544</v>
      </c>
      <c r="C1277" s="37"/>
      <c r="D1277" s="38"/>
      <c r="E1277" s="28">
        <v>0</v>
      </c>
      <c r="F1277" s="29">
        <v>0</v>
      </c>
      <c r="G1277" s="6">
        <f t="shared" si="143"/>
        <v>0</v>
      </c>
      <c r="H1277" s="7">
        <f t="shared" si="144"/>
        <v>0</v>
      </c>
      <c r="I1277" s="6">
        <f t="shared" si="148"/>
        <v>0</v>
      </c>
      <c r="J1277" s="7">
        <f t="shared" si="149"/>
        <v>0</v>
      </c>
      <c r="K1277" s="28">
        <v>0</v>
      </c>
      <c r="L1277" s="29">
        <v>0</v>
      </c>
      <c r="M1277" s="35"/>
      <c r="N1277" s="36"/>
      <c r="O1277" s="6">
        <f t="shared" si="150"/>
        <v>0</v>
      </c>
      <c r="P1277" s="7">
        <f t="shared" si="151"/>
        <v>0</v>
      </c>
      <c r="Q1277" s="59"/>
      <c r="R1277" s="2" t="str">
        <f t="shared" si="145"/>
        <v>7772|||0|0|0|0|</v>
      </c>
      <c r="S1277" s="25"/>
    </row>
    <row r="1278" spans="1:19" x14ac:dyDescent="0.2">
      <c r="A1278" s="72" t="s">
        <v>2545</v>
      </c>
      <c r="B1278" s="61" t="s">
        <v>2546</v>
      </c>
      <c r="C1278" s="37"/>
      <c r="D1278" s="38"/>
      <c r="E1278" s="28">
        <v>0</v>
      </c>
      <c r="F1278" s="29">
        <v>0</v>
      </c>
      <c r="G1278" s="6">
        <f t="shared" si="143"/>
        <v>0</v>
      </c>
      <c r="H1278" s="7">
        <f t="shared" si="144"/>
        <v>0</v>
      </c>
      <c r="I1278" s="6">
        <f t="shared" si="148"/>
        <v>0</v>
      </c>
      <c r="J1278" s="7">
        <f t="shared" si="149"/>
        <v>0</v>
      </c>
      <c r="K1278" s="28">
        <v>0</v>
      </c>
      <c r="L1278" s="29">
        <v>0</v>
      </c>
      <c r="M1278" s="35"/>
      <c r="N1278" s="36"/>
      <c r="O1278" s="6">
        <f t="shared" si="150"/>
        <v>0</v>
      </c>
      <c r="P1278" s="7">
        <f t="shared" si="151"/>
        <v>0</v>
      </c>
      <c r="Q1278" s="59"/>
      <c r="R1278" s="2" t="str">
        <f t="shared" si="145"/>
        <v>7773|||0|0|0|0|</v>
      </c>
      <c r="S1278" s="25"/>
    </row>
    <row r="1279" spans="1:19" x14ac:dyDescent="0.2">
      <c r="A1279" s="72" t="s">
        <v>2547</v>
      </c>
      <c r="B1279" s="61" t="s">
        <v>2548</v>
      </c>
      <c r="C1279" s="37"/>
      <c r="D1279" s="38"/>
      <c r="E1279" s="28">
        <v>0</v>
      </c>
      <c r="F1279" s="29">
        <v>0</v>
      </c>
      <c r="G1279" s="6">
        <f t="shared" si="143"/>
        <v>0</v>
      </c>
      <c r="H1279" s="7">
        <f t="shared" si="144"/>
        <v>0</v>
      </c>
      <c r="I1279" s="6">
        <f t="shared" si="148"/>
        <v>0</v>
      </c>
      <c r="J1279" s="7">
        <f t="shared" si="149"/>
        <v>0</v>
      </c>
      <c r="K1279" s="28">
        <v>0</v>
      </c>
      <c r="L1279" s="29">
        <v>0</v>
      </c>
      <c r="M1279" s="35"/>
      <c r="N1279" s="36"/>
      <c r="O1279" s="6">
        <f t="shared" si="150"/>
        <v>0</v>
      </c>
      <c r="P1279" s="7">
        <f t="shared" si="151"/>
        <v>0</v>
      </c>
      <c r="Q1279" s="59"/>
      <c r="R1279" s="2" t="str">
        <f t="shared" si="145"/>
        <v>7781|||0|0|0|0|</v>
      </c>
      <c r="S1279" s="25"/>
    </row>
    <row r="1280" spans="1:19" x14ac:dyDescent="0.2">
      <c r="A1280" s="72" t="s">
        <v>2549</v>
      </c>
      <c r="B1280" s="61" t="s">
        <v>2550</v>
      </c>
      <c r="C1280" s="37"/>
      <c r="D1280" s="38"/>
      <c r="E1280" s="28">
        <v>0</v>
      </c>
      <c r="F1280" s="29">
        <v>0</v>
      </c>
      <c r="G1280" s="6">
        <f t="shared" si="143"/>
        <v>0</v>
      </c>
      <c r="H1280" s="7">
        <f t="shared" si="144"/>
        <v>0</v>
      </c>
      <c r="I1280" s="6">
        <f t="shared" si="148"/>
        <v>0</v>
      </c>
      <c r="J1280" s="7">
        <f t="shared" si="149"/>
        <v>0</v>
      </c>
      <c r="K1280" s="28">
        <v>0</v>
      </c>
      <c r="L1280" s="29">
        <v>0</v>
      </c>
      <c r="M1280" s="35"/>
      <c r="N1280" s="36"/>
      <c r="O1280" s="6">
        <f t="shared" si="150"/>
        <v>0</v>
      </c>
      <c r="P1280" s="7">
        <f t="shared" si="151"/>
        <v>0</v>
      </c>
      <c r="Q1280" s="59"/>
      <c r="R1280" s="2" t="str">
        <f t="shared" si="145"/>
        <v>7782|||0|0|0|0|</v>
      </c>
      <c r="S1280" s="25"/>
    </row>
    <row r="1281" spans="1:19" x14ac:dyDescent="0.2">
      <c r="A1281" s="72" t="s">
        <v>642</v>
      </c>
      <c r="B1281" s="61" t="s">
        <v>2551</v>
      </c>
      <c r="C1281" s="37"/>
      <c r="D1281" s="38"/>
      <c r="E1281" s="28">
        <v>0</v>
      </c>
      <c r="F1281" s="29">
        <v>0</v>
      </c>
      <c r="G1281" s="6">
        <f t="shared" si="143"/>
        <v>0</v>
      </c>
      <c r="H1281" s="7">
        <f t="shared" si="144"/>
        <v>0</v>
      </c>
      <c r="I1281" s="6">
        <f t="shared" si="148"/>
        <v>0</v>
      </c>
      <c r="J1281" s="7">
        <f t="shared" si="149"/>
        <v>0</v>
      </c>
      <c r="K1281" s="28">
        <v>0</v>
      </c>
      <c r="L1281" s="29">
        <v>0</v>
      </c>
      <c r="M1281" s="35"/>
      <c r="N1281" s="36"/>
      <c r="O1281" s="6">
        <f t="shared" si="150"/>
        <v>0</v>
      </c>
      <c r="P1281" s="7">
        <f t="shared" si="151"/>
        <v>0</v>
      </c>
      <c r="Q1281" s="59"/>
      <c r="R1281" s="2" t="str">
        <f t="shared" si="145"/>
        <v>7792|||0|0|0|0|</v>
      </c>
      <c r="S1281" s="25"/>
    </row>
    <row r="1282" spans="1:19" x14ac:dyDescent="0.2">
      <c r="A1282" s="72" t="s">
        <v>643</v>
      </c>
      <c r="B1282" s="61" t="s">
        <v>2</v>
      </c>
      <c r="C1282" s="37"/>
      <c r="D1282" s="38"/>
      <c r="E1282" s="28">
        <v>0</v>
      </c>
      <c r="F1282" s="29">
        <v>0</v>
      </c>
      <c r="G1282" s="6">
        <f t="shared" si="143"/>
        <v>0</v>
      </c>
      <c r="H1282" s="7">
        <f t="shared" si="144"/>
        <v>0</v>
      </c>
      <c r="I1282" s="6">
        <f t="shared" si="148"/>
        <v>0</v>
      </c>
      <c r="J1282" s="7">
        <f t="shared" si="149"/>
        <v>0</v>
      </c>
      <c r="K1282" s="28">
        <v>0</v>
      </c>
      <c r="L1282" s="29">
        <v>0</v>
      </c>
      <c r="M1282" s="35"/>
      <c r="N1282" s="36"/>
      <c r="O1282" s="6">
        <f t="shared" si="150"/>
        <v>0</v>
      </c>
      <c r="P1282" s="7">
        <f t="shared" si="151"/>
        <v>0</v>
      </c>
      <c r="Q1282" s="59"/>
      <c r="R1282" s="2" t="str">
        <f t="shared" si="145"/>
        <v>781|||0|0|0|0|</v>
      </c>
      <c r="S1282" s="25"/>
    </row>
    <row r="1283" spans="1:19" x14ac:dyDescent="0.2">
      <c r="A1283" s="72" t="s">
        <v>644</v>
      </c>
      <c r="B1283" s="61" t="s">
        <v>2552</v>
      </c>
      <c r="C1283" s="37"/>
      <c r="D1283" s="38"/>
      <c r="E1283" s="28">
        <v>0</v>
      </c>
      <c r="F1283" s="29">
        <v>0</v>
      </c>
      <c r="G1283" s="6">
        <f t="shared" si="143"/>
        <v>0</v>
      </c>
      <c r="H1283" s="7">
        <f t="shared" si="144"/>
        <v>0</v>
      </c>
      <c r="I1283" s="6">
        <f t="shared" si="148"/>
        <v>0</v>
      </c>
      <c r="J1283" s="7">
        <f t="shared" si="149"/>
        <v>0</v>
      </c>
      <c r="K1283" s="28">
        <v>0</v>
      </c>
      <c r="L1283" s="29">
        <v>0</v>
      </c>
      <c r="M1283" s="35"/>
      <c r="N1283" s="36"/>
      <c r="O1283" s="6">
        <f t="shared" si="150"/>
        <v>0</v>
      </c>
      <c r="P1283" s="7">
        <f t="shared" si="151"/>
        <v>0</v>
      </c>
      <c r="Q1283" s="59"/>
      <c r="R1283" s="2" t="str">
        <f t="shared" si="145"/>
        <v>791|||0|0|0|0|</v>
      </c>
      <c r="S1283" s="25"/>
    </row>
    <row r="1284" spans="1:19" x14ac:dyDescent="0.2">
      <c r="A1284" s="72" t="s">
        <v>645</v>
      </c>
      <c r="B1284" s="61" t="s">
        <v>2553</v>
      </c>
      <c r="C1284" s="37"/>
      <c r="D1284" s="38"/>
      <c r="E1284" s="28">
        <v>0</v>
      </c>
      <c r="F1284" s="29">
        <v>0</v>
      </c>
      <c r="G1284" s="6">
        <f t="shared" si="143"/>
        <v>0</v>
      </c>
      <c r="H1284" s="7">
        <f t="shared" si="144"/>
        <v>0</v>
      </c>
      <c r="I1284" s="6">
        <f t="shared" si="148"/>
        <v>0</v>
      </c>
      <c r="J1284" s="7">
        <f t="shared" si="149"/>
        <v>0</v>
      </c>
      <c r="K1284" s="28">
        <v>0</v>
      </c>
      <c r="L1284" s="29">
        <v>0</v>
      </c>
      <c r="M1284" s="35"/>
      <c r="N1284" s="36"/>
      <c r="O1284" s="6">
        <f t="shared" si="150"/>
        <v>0</v>
      </c>
      <c r="P1284" s="7">
        <f t="shared" si="151"/>
        <v>0</v>
      </c>
      <c r="Q1284" s="59"/>
      <c r="R1284" s="2" t="str">
        <f t="shared" si="145"/>
        <v>792|||0|0|0|0|</v>
      </c>
      <c r="S1284" s="25"/>
    </row>
    <row r="1285" spans="1:19" x14ac:dyDescent="0.2">
      <c r="A1285" s="72" t="s">
        <v>646</v>
      </c>
      <c r="B1285" s="61" t="s">
        <v>2554</v>
      </c>
      <c r="C1285" s="37"/>
      <c r="D1285" s="38"/>
      <c r="E1285" s="28">
        <v>0</v>
      </c>
      <c r="F1285" s="29">
        <v>0</v>
      </c>
      <c r="G1285" s="6">
        <f t="shared" si="143"/>
        <v>0</v>
      </c>
      <c r="H1285" s="7">
        <f t="shared" si="144"/>
        <v>0</v>
      </c>
      <c r="I1285" s="6">
        <f t="shared" si="148"/>
        <v>0</v>
      </c>
      <c r="J1285" s="7">
        <f t="shared" si="149"/>
        <v>0</v>
      </c>
      <c r="K1285" s="28">
        <v>0</v>
      </c>
      <c r="L1285" s="29">
        <v>0</v>
      </c>
      <c r="M1285" s="35"/>
      <c r="N1285" s="36"/>
      <c r="O1285" s="6">
        <f t="shared" si="150"/>
        <v>0</v>
      </c>
      <c r="P1285" s="7">
        <f t="shared" si="151"/>
        <v>0</v>
      </c>
      <c r="Q1285" s="59"/>
      <c r="R1285" s="2" t="str">
        <f t="shared" si="145"/>
        <v>871|||0|0|0|0|</v>
      </c>
      <c r="S1285" s="25"/>
    </row>
    <row r="1286" spans="1:19" x14ac:dyDescent="0.2">
      <c r="A1286" s="72" t="s">
        <v>647</v>
      </c>
      <c r="B1286" s="61" t="s">
        <v>2555</v>
      </c>
      <c r="C1286" s="37"/>
      <c r="D1286" s="38"/>
      <c r="E1286" s="28">
        <v>0</v>
      </c>
      <c r="F1286" s="29">
        <v>0</v>
      </c>
      <c r="G1286" s="6">
        <f t="shared" si="143"/>
        <v>0</v>
      </c>
      <c r="H1286" s="7">
        <f t="shared" si="144"/>
        <v>0</v>
      </c>
      <c r="I1286" s="6">
        <f t="shared" si="148"/>
        <v>0</v>
      </c>
      <c r="J1286" s="7">
        <f t="shared" si="149"/>
        <v>0</v>
      </c>
      <c r="K1286" s="28">
        <v>0</v>
      </c>
      <c r="L1286" s="29">
        <v>0</v>
      </c>
      <c r="M1286" s="35"/>
      <c r="N1286" s="36"/>
      <c r="O1286" s="6">
        <f t="shared" si="150"/>
        <v>0</v>
      </c>
      <c r="P1286" s="7">
        <f t="shared" si="151"/>
        <v>0</v>
      </c>
      <c r="Q1286" s="59"/>
      <c r="R1286" s="2" t="str">
        <f t="shared" si="145"/>
        <v>872|||0|0|0|0|</v>
      </c>
      <c r="S1286" s="25"/>
    </row>
    <row r="1287" spans="1:19" x14ac:dyDescent="0.2">
      <c r="A1287" s="72" t="s">
        <v>648</v>
      </c>
      <c r="B1287" s="61" t="s">
        <v>2556</v>
      </c>
      <c r="C1287" s="37"/>
      <c r="D1287" s="38"/>
      <c r="E1287" s="28">
        <v>0</v>
      </c>
      <c r="F1287" s="29">
        <v>0</v>
      </c>
      <c r="G1287" s="6">
        <f t="shared" si="143"/>
        <v>0</v>
      </c>
      <c r="H1287" s="7">
        <f t="shared" si="144"/>
        <v>0</v>
      </c>
      <c r="I1287" s="6">
        <f t="shared" si="148"/>
        <v>0</v>
      </c>
      <c r="J1287" s="7">
        <f t="shared" si="149"/>
        <v>0</v>
      </c>
      <c r="K1287" s="28">
        <v>0</v>
      </c>
      <c r="L1287" s="29">
        <v>0</v>
      </c>
      <c r="M1287" s="35"/>
      <c r="N1287" s="36"/>
      <c r="O1287" s="6">
        <f t="shared" si="150"/>
        <v>0</v>
      </c>
      <c r="P1287" s="7">
        <f t="shared" si="151"/>
        <v>0</v>
      </c>
      <c r="Q1287" s="59"/>
      <c r="R1287" s="2" t="str">
        <f t="shared" si="145"/>
        <v>881|||0|0|0|0|</v>
      </c>
      <c r="S1287" s="25"/>
    </row>
    <row r="1288" spans="1:19" ht="13.5" thickBot="1" x14ac:dyDescent="0.25">
      <c r="A1288" s="72" t="s">
        <v>649</v>
      </c>
      <c r="B1288" s="62" t="s">
        <v>2557</v>
      </c>
      <c r="C1288" s="37"/>
      <c r="D1288" s="38"/>
      <c r="E1288" s="28">
        <v>0</v>
      </c>
      <c r="F1288" s="29">
        <v>0</v>
      </c>
      <c r="G1288" s="6">
        <f t="shared" si="143"/>
        <v>0</v>
      </c>
      <c r="H1288" s="7">
        <f t="shared" si="144"/>
        <v>0</v>
      </c>
      <c r="I1288" s="6">
        <f t="shared" si="148"/>
        <v>0</v>
      </c>
      <c r="J1288" s="7">
        <f t="shared" si="149"/>
        <v>0</v>
      </c>
      <c r="K1288" s="28">
        <v>0</v>
      </c>
      <c r="L1288" s="29">
        <v>0</v>
      </c>
      <c r="M1288" s="35"/>
      <c r="N1288" s="36"/>
      <c r="O1288" s="6">
        <f t="shared" si="150"/>
        <v>0</v>
      </c>
      <c r="P1288" s="7">
        <f t="shared" si="151"/>
        <v>0</v>
      </c>
      <c r="Q1288" s="59"/>
      <c r="R1288" s="3" t="str">
        <f t="shared" si="145"/>
        <v>882|||0|0|0|0|</v>
      </c>
      <c r="S1288" s="25"/>
    </row>
    <row r="1289" spans="1:19" ht="13.5" thickBot="1" x14ac:dyDescent="0.25">
      <c r="A1289" s="72"/>
      <c r="B1289" s="39" t="s">
        <v>650</v>
      </c>
      <c r="C1289" s="39">
        <f t="shared" ref="C1289:P1289" si="152">SUM(C5:C1288)</f>
        <v>0</v>
      </c>
      <c r="D1289" s="40">
        <f t="shared" si="152"/>
        <v>0</v>
      </c>
      <c r="E1289" s="39">
        <f t="shared" si="152"/>
        <v>0</v>
      </c>
      <c r="F1289" s="40">
        <f t="shared" si="152"/>
        <v>0</v>
      </c>
      <c r="G1289" s="39">
        <f t="shared" si="152"/>
        <v>0</v>
      </c>
      <c r="H1289" s="40">
        <f t="shared" si="152"/>
        <v>0</v>
      </c>
      <c r="I1289" s="39">
        <f t="shared" si="152"/>
        <v>0</v>
      </c>
      <c r="J1289" s="40">
        <f t="shared" si="152"/>
        <v>0</v>
      </c>
      <c r="K1289" s="39">
        <f t="shared" si="152"/>
        <v>0</v>
      </c>
      <c r="L1289" s="40">
        <f t="shared" si="152"/>
        <v>0</v>
      </c>
      <c r="M1289" s="39">
        <f t="shared" si="152"/>
        <v>0</v>
      </c>
      <c r="N1289" s="40">
        <f t="shared" si="152"/>
        <v>0</v>
      </c>
      <c r="O1289" s="39">
        <f t="shared" si="152"/>
        <v>0</v>
      </c>
      <c r="P1289" s="40">
        <f t="shared" si="152"/>
        <v>0</v>
      </c>
    </row>
    <row r="1290" spans="1:19" ht="13.5" thickBot="1" x14ac:dyDescent="0.25">
      <c r="A1290" s="72" t="s">
        <v>651</v>
      </c>
      <c r="B1290" s="65" t="s">
        <v>652</v>
      </c>
      <c r="C1290" s="41"/>
      <c r="D1290" s="42"/>
      <c r="E1290" s="43"/>
      <c r="F1290" s="42"/>
      <c r="G1290" s="44"/>
      <c r="H1290" s="45"/>
      <c r="I1290" s="44"/>
      <c r="J1290" s="45"/>
      <c r="K1290" s="46"/>
      <c r="L1290" s="47"/>
      <c r="M1290" s="48">
        <f>IF(M1289&gt;N1289,0,+N1289-M1289)</f>
        <v>0</v>
      </c>
      <c r="N1290" s="49">
        <f>IF(M1289&gt;N1289,+M1289-N1289,0)</f>
        <v>0</v>
      </c>
      <c r="O1290" s="48">
        <f>IF(O1289&gt;P1289,0,+P1289-O1289)</f>
        <v>0</v>
      </c>
      <c r="P1290" s="49">
        <f>IF(O1289&gt;P1289,+O1289-P1289,0)</f>
        <v>0</v>
      </c>
    </row>
    <row r="1291" spans="1:19" ht="13.5" thickBot="1" x14ac:dyDescent="0.25">
      <c r="A1291" s="72"/>
      <c r="B1291" s="66" t="s">
        <v>653</v>
      </c>
      <c r="C1291" s="50">
        <f t="shared" ref="C1291:L1291" si="153">+C1289</f>
        <v>0</v>
      </c>
      <c r="D1291" s="51">
        <f t="shared" si="153"/>
        <v>0</v>
      </c>
      <c r="E1291" s="50">
        <f t="shared" si="153"/>
        <v>0</v>
      </c>
      <c r="F1291" s="51">
        <f t="shared" si="153"/>
        <v>0</v>
      </c>
      <c r="G1291" s="52">
        <f t="shared" si="153"/>
        <v>0</v>
      </c>
      <c r="H1291" s="53">
        <f t="shared" si="153"/>
        <v>0</v>
      </c>
      <c r="I1291" s="52">
        <f t="shared" si="153"/>
        <v>0</v>
      </c>
      <c r="J1291" s="53">
        <f t="shared" si="153"/>
        <v>0</v>
      </c>
      <c r="K1291" s="52">
        <f t="shared" si="153"/>
        <v>0</v>
      </c>
      <c r="L1291" s="53">
        <f t="shared" si="153"/>
        <v>0</v>
      </c>
      <c r="M1291" s="52">
        <f>+M1289+M1290</f>
        <v>0</v>
      </c>
      <c r="N1291" s="53">
        <f>+N1289+N1290</f>
        <v>0</v>
      </c>
      <c r="O1291" s="52">
        <f>+O1289+O1290</f>
        <v>0</v>
      </c>
      <c r="P1291" s="53">
        <f>+P1289+P1290</f>
        <v>0</v>
      </c>
    </row>
    <row r="1292" spans="1:19" ht="13.5" thickBot="1" x14ac:dyDescent="0.25">
      <c r="A1292" s="72"/>
      <c r="B1292" s="67"/>
      <c r="C1292" s="55"/>
      <c r="D1292" s="55"/>
      <c r="E1292" s="55"/>
      <c r="F1292" s="55"/>
      <c r="G1292" s="55"/>
      <c r="H1292" s="55"/>
      <c r="I1292" s="55"/>
      <c r="J1292" s="55"/>
      <c r="K1292" s="55"/>
      <c r="L1292" s="55"/>
      <c r="M1292" s="55"/>
      <c r="N1292" s="55"/>
      <c r="O1292" s="55"/>
      <c r="P1292" s="55"/>
    </row>
    <row r="1293" spans="1:19" ht="13.5" thickBot="1" x14ac:dyDescent="0.25">
      <c r="A1293" s="72"/>
      <c r="B1293" s="68" t="s">
        <v>654</v>
      </c>
      <c r="C1293" s="56"/>
      <c r="D1293" s="57">
        <f>+C1291-D1291</f>
        <v>0</v>
      </c>
      <c r="E1293" s="56"/>
      <c r="F1293" s="57">
        <f>+E1291-F1291</f>
        <v>0</v>
      </c>
      <c r="G1293" s="58"/>
      <c r="H1293" s="57">
        <f>+G1291-H1291</f>
        <v>0</v>
      </c>
      <c r="I1293" s="58"/>
      <c r="J1293" s="57">
        <f>+I1291-J1291</f>
        <v>0</v>
      </c>
      <c r="K1293" s="58"/>
      <c r="L1293" s="57">
        <f>+K1291-L1291</f>
        <v>0</v>
      </c>
      <c r="M1293" s="58"/>
      <c r="N1293" s="57">
        <f>+M1291-N1291</f>
        <v>0</v>
      </c>
      <c r="O1293" s="58"/>
      <c r="P1293" s="57">
        <f>+O1291-P1291</f>
        <v>0</v>
      </c>
    </row>
  </sheetData>
  <sheetProtection selectLockedCells="1"/>
  <mergeCells count="9">
    <mergeCell ref="B2:B4"/>
    <mergeCell ref="R2:R4"/>
    <mergeCell ref="C3:D3"/>
    <mergeCell ref="E3:F3"/>
    <mergeCell ref="G3:H3"/>
    <mergeCell ref="I3:J3"/>
    <mergeCell ref="K3:L3"/>
    <mergeCell ref="M3:N3"/>
    <mergeCell ref="O3:P3"/>
  </mergeCells>
  <dataValidations xWindow="782" yWindow="544" count="1">
    <dataValidation type="whole" operator="greaterThanOrEqual" allowBlank="1" showInputMessage="1" showErrorMessage="1" error="Ingresar número entero." prompt="Ingresar número entero." sqref="C5:F47 K5:L1288 C48:D853 E48:F1288">
      <formula1>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GenerarTexto">
                <anchor moveWithCells="1">
                  <from>
                    <xdr:col>17</xdr:col>
                    <xdr:colOff>695325</xdr:colOff>
                    <xdr:row>2</xdr:row>
                    <xdr:rowOff>9525</xdr:rowOff>
                  </from>
                  <to>
                    <xdr:col>17</xdr:col>
                    <xdr:colOff>2028825</xdr:colOff>
                    <xdr:row>3</xdr:row>
                    <xdr:rowOff>57150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Instrucciones</vt:lpstr>
      <vt:lpstr>BC_PCGEmpresarial</vt:lpstr>
    </vt:vector>
  </TitlesOfParts>
  <Company>SUNAT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prueba1</dc:creator>
  <cp:lastModifiedBy>Developer</cp:lastModifiedBy>
  <dcterms:created xsi:type="dcterms:W3CDTF">2009-08-13T20:16:18Z</dcterms:created>
  <dcterms:modified xsi:type="dcterms:W3CDTF">2015-04-09T16:39:24Z</dcterms:modified>
</cp:coreProperties>
</file>