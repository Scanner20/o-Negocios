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K:\AplVfp\Bsinfo\hojas\PLANILLA\"/>
    </mc:Choice>
  </mc:AlternateContent>
  <bookViews>
    <workbookView xWindow="0" yWindow="0" windowWidth="16725" windowHeight="8205" tabRatio="815" activeTab="1"/>
  </bookViews>
  <sheets>
    <sheet name="ASIENTO CONTABLE" sheetId="8" r:id="rId1"/>
    <sheet name="PLLA PARA EL SISTEMA" sheetId="2" r:id="rId2"/>
    <sheet name="BOLETA" sheetId="1" r:id="rId3"/>
    <sheet name="CALCULO 5TA" sheetId="3" r:id="rId4"/>
    <sheet name=" P CTS" sheetId="4" r:id="rId5"/>
    <sheet name="GRAT" sheetId="6" r:id="rId6"/>
    <sheet name="VAC" sheetId="7" r:id="rId7"/>
    <sheet name="TABLA" sheetId="5" r:id="rId8"/>
  </sheets>
  <externalReferences>
    <externalReference r:id="rId9"/>
    <externalReference r:id="rId10"/>
  </externalReferences>
  <definedNames>
    <definedName name="_xlnm._FilterDatabase" localSheetId="2" hidden="1">BOLETA!$A$3:$M$6</definedName>
    <definedName name="_xlnm._FilterDatabase" localSheetId="1" hidden="1">'PLLA PARA EL SISTEMA'!$A$10:$IN$10</definedName>
    <definedName name="CODIGO" localSheetId="4">[1]BOLETA!$A$14</definedName>
    <definedName name="CODIGO" localSheetId="3">[1]BOLETA!$A$14</definedName>
    <definedName name="CODIGO" localSheetId="5">[1]BOLETA!$A$14</definedName>
    <definedName name="CODIGO" localSheetId="1">[1]BOLETA!$A$14</definedName>
    <definedName name="CODIGO" localSheetId="6">[1]BOLETA!$A$14</definedName>
    <definedName name="CODIGO">BOLETA!$A$14</definedName>
    <definedName name="FIN">BOLETA!$X$5</definedName>
    <definedName name="INICIO">BOLETA!$V$5</definedName>
    <definedName name="MESES">[2]SPP!$D$39:$D$50</definedName>
    <definedName name="_xlnm.Print_Area" localSheetId="4">' P CTS'!$A$2:$T$30</definedName>
    <definedName name="_xlnm.Print_Area" localSheetId="2">BOLETA!$A$2:$Q$95</definedName>
    <definedName name="_xlnm.Print_Area" localSheetId="5">GRAT!$A$2:$R$30</definedName>
    <definedName name="_xlnm.Print_Area" localSheetId="6">VAC!$A$2:$AD$30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8" l="1"/>
  <c r="D16" i="8"/>
  <c r="D31" i="8" l="1"/>
  <c r="Q38" i="2"/>
  <c r="R38" i="2"/>
  <c r="S38" i="2"/>
  <c r="T38" i="2"/>
  <c r="V38" i="2"/>
  <c r="W38" i="2"/>
  <c r="X38" i="2"/>
  <c r="Y38" i="2"/>
  <c r="Z38" i="2"/>
  <c r="AA38" i="2"/>
  <c r="AC38" i="2"/>
  <c r="AD38" i="2"/>
  <c r="AE38" i="2"/>
  <c r="AH38" i="2"/>
  <c r="AI38" i="2"/>
  <c r="AO38" i="2"/>
  <c r="AP38" i="2"/>
  <c r="AQ38" i="2"/>
  <c r="AR38" i="2"/>
  <c r="AS38" i="2"/>
  <c r="AT38" i="2"/>
  <c r="AU38" i="2"/>
  <c r="AV38" i="2"/>
  <c r="AW38" i="2"/>
  <c r="BC38" i="2"/>
  <c r="BD38" i="2"/>
  <c r="BE38" i="2"/>
  <c r="BF38" i="2"/>
  <c r="BH38" i="2"/>
  <c r="AB27" i="2"/>
  <c r="Q8" i="7" l="1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E30" i="7"/>
  <c r="F30" i="7"/>
  <c r="G30" i="7"/>
  <c r="H30" i="7"/>
  <c r="I30" i="7"/>
  <c r="J30" i="7"/>
  <c r="K30" i="7"/>
  <c r="L30" i="7"/>
  <c r="M30" i="7"/>
  <c r="N30" i="7"/>
  <c r="O30" i="7"/>
  <c r="P30" i="7"/>
  <c r="C27" i="7"/>
  <c r="B27" i="7"/>
  <c r="C26" i="7"/>
  <c r="B26" i="7"/>
  <c r="C25" i="7"/>
  <c r="B25" i="7"/>
  <c r="C24" i="7"/>
  <c r="B24" i="7"/>
  <c r="C23" i="7"/>
  <c r="B23" i="7"/>
  <c r="C22" i="7"/>
  <c r="B22" i="7"/>
  <c r="C21" i="7"/>
  <c r="B21" i="7"/>
  <c r="C20" i="7"/>
  <c r="B20" i="7"/>
  <c r="C19" i="7"/>
  <c r="B19" i="7"/>
  <c r="C18" i="7"/>
  <c r="B18" i="7"/>
  <c r="C17" i="7"/>
  <c r="B17" i="7"/>
  <c r="C16" i="7"/>
  <c r="B16" i="7"/>
  <c r="C15" i="7"/>
  <c r="B15" i="7"/>
  <c r="C14" i="7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E30" i="6"/>
  <c r="F30" i="6"/>
  <c r="G30" i="6"/>
  <c r="H30" i="6"/>
  <c r="I30" i="6"/>
  <c r="J30" i="6"/>
  <c r="B27" i="6"/>
  <c r="C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K25" i="6"/>
  <c r="K26" i="6"/>
  <c r="K27" i="6"/>
  <c r="M7" i="4"/>
  <c r="H30" i="4"/>
  <c r="M9" i="4"/>
  <c r="M11" i="4"/>
  <c r="M13" i="4"/>
  <c r="M15" i="4"/>
  <c r="M17" i="4"/>
  <c r="M19" i="4"/>
  <c r="E30" i="4"/>
  <c r="F30" i="4"/>
  <c r="G30" i="4"/>
  <c r="I30" i="4"/>
  <c r="J30" i="4"/>
  <c r="K30" i="4"/>
  <c r="L30" i="4"/>
  <c r="M8" i="4"/>
  <c r="M10" i="4"/>
  <c r="M12" i="4"/>
  <c r="M14" i="4"/>
  <c r="M16" i="4"/>
  <c r="M18" i="4"/>
  <c r="M20" i="4"/>
  <c r="M21" i="4"/>
  <c r="M22" i="4"/>
  <c r="M23" i="4"/>
  <c r="M24" i="4"/>
  <c r="M25" i="4"/>
  <c r="M26" i="4"/>
  <c r="M2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C7" i="4"/>
  <c r="B7" i="4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5" i="3"/>
  <c r="G5" i="3"/>
  <c r="G57" i="1"/>
  <c r="L5" i="1"/>
  <c r="I5" i="1"/>
  <c r="H28" i="3" l="1"/>
  <c r="BO31" i="2" l="1"/>
  <c r="BO32" i="2"/>
  <c r="BO33" i="2"/>
  <c r="BO34" i="2"/>
  <c r="BO3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15" i="2"/>
  <c r="BO36" i="2" l="1"/>
  <c r="BO38" i="2" s="1"/>
  <c r="BN36" i="2"/>
  <c r="BM36" i="2"/>
  <c r="A81" i="1"/>
  <c r="A82" i="1"/>
  <c r="E30" i="1"/>
  <c r="E32" i="1"/>
  <c r="E33" i="1"/>
  <c r="E81" i="1" s="1"/>
  <c r="E34" i="1"/>
  <c r="E82" i="1" s="1"/>
  <c r="AZ16" i="2"/>
  <c r="AZ17" i="2"/>
  <c r="AZ18" i="2"/>
  <c r="AZ19" i="2"/>
  <c r="AY20" i="2"/>
  <c r="AZ21" i="2"/>
  <c r="AZ22" i="2"/>
  <c r="AZ23" i="2"/>
  <c r="AY24" i="2"/>
  <c r="AZ25" i="2"/>
  <c r="AZ26" i="2"/>
  <c r="AY27" i="2"/>
  <c r="AY28" i="2"/>
  <c r="AY29" i="2"/>
  <c r="AZ30" i="2"/>
  <c r="AY31" i="2"/>
  <c r="AZ32" i="2"/>
  <c r="AZ33" i="2"/>
  <c r="AZ34" i="2"/>
  <c r="AY35" i="2"/>
  <c r="AN17" i="2"/>
  <c r="AL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E27" i="1" s="1"/>
  <c r="AG31" i="2"/>
  <c r="AG32" i="2"/>
  <c r="AG33" i="2"/>
  <c r="AG34" i="2"/>
  <c r="AG35" i="2"/>
  <c r="U16" i="2"/>
  <c r="AM16" i="2" s="1"/>
  <c r="O15" i="2"/>
  <c r="AF15" i="2" l="1"/>
  <c r="P15" i="2"/>
  <c r="I7" i="2"/>
  <c r="I8" i="2"/>
  <c r="I9" i="2"/>
  <c r="I6" i="2"/>
  <c r="O16" i="2" l="1"/>
  <c r="O17" i="2"/>
  <c r="AF17" i="2" s="1"/>
  <c r="O18" i="2"/>
  <c r="O19" i="2"/>
  <c r="O20" i="2"/>
  <c r="AF20" i="2" s="1"/>
  <c r="O21" i="2"/>
  <c r="O22" i="2"/>
  <c r="O23" i="2"/>
  <c r="O24" i="2"/>
  <c r="AF24" i="2" s="1"/>
  <c r="O25" i="2"/>
  <c r="O26" i="2"/>
  <c r="AF26" i="2" s="1"/>
  <c r="O27" i="2"/>
  <c r="O28" i="2"/>
  <c r="AJ28" i="2" s="1"/>
  <c r="O29" i="2"/>
  <c r="AF29" i="2" s="1"/>
  <c r="O30" i="2"/>
  <c r="AF30" i="2" s="1"/>
  <c r="O31" i="2"/>
  <c r="O32" i="2"/>
  <c r="AF32" i="2" s="1"/>
  <c r="O33" i="2"/>
  <c r="AF33" i="2" s="1"/>
  <c r="O34" i="2"/>
  <c r="O35" i="2"/>
  <c r="AJ20" i="2"/>
  <c r="AJ15" i="2"/>
  <c r="AK30" i="2"/>
  <c r="AJ18" i="2"/>
  <c r="O38" i="2" l="1"/>
  <c r="E29" i="1"/>
  <c r="D9" i="8"/>
  <c r="D44" i="8" s="1"/>
  <c r="AK38" i="2"/>
  <c r="AJ24" i="2"/>
  <c r="AJ30" i="2"/>
  <c r="E28" i="1" s="1"/>
  <c r="AJ29" i="2"/>
  <c r="AJ22" i="2"/>
  <c r="F12" i="3" s="1"/>
  <c r="AJ26" i="2"/>
  <c r="AJ32" i="2"/>
  <c r="F22" i="3" s="1"/>
  <c r="AJ35" i="2"/>
  <c r="F25" i="3" s="1"/>
  <c r="AF35" i="2"/>
  <c r="AJ31" i="2"/>
  <c r="F21" i="3" s="1"/>
  <c r="AF31" i="2"/>
  <c r="AJ27" i="2"/>
  <c r="F17" i="3" s="1"/>
  <c r="AF27" i="2"/>
  <c r="AJ25" i="2"/>
  <c r="F15" i="3" s="1"/>
  <c r="AJ23" i="2"/>
  <c r="F13" i="3" s="1"/>
  <c r="AF23" i="2"/>
  <c r="AJ19" i="2"/>
  <c r="F9" i="3" s="1"/>
  <c r="AJ17" i="2"/>
  <c r="AJ21" i="2"/>
  <c r="AJ34" i="2"/>
  <c r="F24" i="3" s="1"/>
  <c r="AF34" i="2"/>
  <c r="AF16" i="2"/>
  <c r="AJ16" i="2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F8" i="3"/>
  <c r="F10" i="3"/>
  <c r="F14" i="3"/>
  <c r="F18" i="3"/>
  <c r="F19" i="3"/>
  <c r="F23" i="3"/>
  <c r="F26" i="3"/>
  <c r="F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5" i="3"/>
  <c r="D7" i="3"/>
  <c r="D10" i="3"/>
  <c r="D13" i="3"/>
  <c r="D14" i="3"/>
  <c r="D16" i="3"/>
  <c r="D17" i="3"/>
  <c r="D19" i="3"/>
  <c r="D20" i="3"/>
  <c r="D21" i="3"/>
  <c r="D22" i="3"/>
  <c r="D23" i="3"/>
  <c r="D24" i="3"/>
  <c r="D25" i="3"/>
  <c r="D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5" i="3"/>
  <c r="Y23" i="3"/>
  <c r="Y24" i="3"/>
  <c r="AB35" i="2"/>
  <c r="D15" i="8" l="1"/>
  <c r="D8" i="8"/>
  <c r="I5" i="3"/>
  <c r="F6" i="3"/>
  <c r="D22" i="8"/>
  <c r="AJ38" i="2"/>
  <c r="I24" i="3"/>
  <c r="T24" i="3" s="1"/>
  <c r="I22" i="3"/>
  <c r="I17" i="3"/>
  <c r="I14" i="3"/>
  <c r="I10" i="3"/>
  <c r="I25" i="3"/>
  <c r="I23" i="3"/>
  <c r="K23" i="3" s="1"/>
  <c r="I21" i="3"/>
  <c r="I19" i="3"/>
  <c r="I13" i="3"/>
  <c r="I26" i="3"/>
  <c r="F20" i="3"/>
  <c r="I20" i="3" s="1"/>
  <c r="F11" i="3"/>
  <c r="F16" i="3"/>
  <c r="I16" i="3" s="1"/>
  <c r="F7" i="3"/>
  <c r="I7" i="3" s="1"/>
  <c r="W23" i="3"/>
  <c r="W24" i="3"/>
  <c r="Q23" i="3"/>
  <c r="Q24" i="3"/>
  <c r="P35" i="2"/>
  <c r="P33" i="2"/>
  <c r="AB33" i="2"/>
  <c r="P34" i="2"/>
  <c r="AB34" i="2"/>
  <c r="D6" i="3"/>
  <c r="I6" i="3" l="1"/>
  <c r="D43" i="8"/>
  <c r="N23" i="3"/>
  <c r="J24" i="3"/>
  <c r="K24" i="3"/>
  <c r="J23" i="3"/>
  <c r="P24" i="3"/>
  <c r="T23" i="3"/>
  <c r="L23" i="3"/>
  <c r="V24" i="3"/>
  <c r="U24" i="3"/>
  <c r="L24" i="3"/>
  <c r="S24" i="3"/>
  <c r="R24" i="3"/>
  <c r="M24" i="3"/>
  <c r="V23" i="3"/>
  <c r="U23" i="3"/>
  <c r="S23" i="3"/>
  <c r="O24" i="3"/>
  <c r="N24" i="3"/>
  <c r="R23" i="3"/>
  <c r="M23" i="3"/>
  <c r="O23" i="3"/>
  <c r="P23" i="3"/>
  <c r="X24" i="3" l="1"/>
  <c r="Z24" i="3" s="1"/>
  <c r="X23" i="3"/>
  <c r="Z23" i="3" s="1"/>
  <c r="AB20" i="2" l="1"/>
  <c r="AB21" i="2"/>
  <c r="AB22" i="2"/>
  <c r="AB23" i="2"/>
  <c r="AB24" i="2"/>
  <c r="AB25" i="2"/>
  <c r="AB26" i="2"/>
  <c r="AB28" i="2"/>
  <c r="AB29" i="2"/>
  <c r="AB30" i="2"/>
  <c r="AB31" i="2"/>
  <c r="AB32" i="2"/>
  <c r="AB19" i="2"/>
  <c r="Q7" i="7" l="1"/>
  <c r="Q30" i="7" s="1"/>
  <c r="D28" i="7"/>
  <c r="C28" i="7"/>
  <c r="B28" i="7"/>
  <c r="AK18" i="7"/>
  <c r="AK17" i="7"/>
  <c r="AK16" i="7"/>
  <c r="AK15" i="7"/>
  <c r="AK14" i="7"/>
  <c r="AK13" i="7"/>
  <c r="AK12" i="7"/>
  <c r="AK11" i="7"/>
  <c r="B4" i="7"/>
  <c r="C4" i="7" s="1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Z4" i="7" s="1"/>
  <c r="AA4" i="7" s="1"/>
  <c r="AB4" i="7" s="1"/>
  <c r="AC4" i="7" s="1"/>
  <c r="L6" i="6"/>
  <c r="E6" i="6"/>
  <c r="B2" i="6" l="1"/>
  <c r="Q6" i="6"/>
  <c r="P6" i="6"/>
  <c r="O6" i="6"/>
  <c r="N6" i="6"/>
  <c r="M6" i="6"/>
  <c r="J6" i="6"/>
  <c r="I6" i="6"/>
  <c r="H6" i="6"/>
  <c r="G6" i="6"/>
  <c r="F6" i="6"/>
  <c r="K24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E28" i="3" l="1"/>
  <c r="F28" i="3"/>
  <c r="G28" i="3"/>
  <c r="Q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5" i="3"/>
  <c r="Y26" i="3"/>
  <c r="Y5" i="3"/>
  <c r="W5" i="3"/>
  <c r="Y18" i="6"/>
  <c r="Y17" i="6"/>
  <c r="Y16" i="6"/>
  <c r="Y15" i="6"/>
  <c r="Y14" i="6"/>
  <c r="Y13" i="6"/>
  <c r="Y12" i="6"/>
  <c r="Y11" i="6"/>
  <c r="B4" i="6"/>
  <c r="C4" i="6" s="1"/>
  <c r="D4" i="6" s="1"/>
  <c r="E4" i="6" s="1"/>
  <c r="F4" i="6" l="1"/>
  <c r="G4" i="6" s="1"/>
  <c r="H4" i="6" s="1"/>
  <c r="I4" i="6" s="1"/>
  <c r="J4" i="6" s="1"/>
  <c r="K4" i="6" s="1"/>
  <c r="L4" i="6" s="1"/>
  <c r="M4" i="6" s="1"/>
  <c r="N4" i="6" s="1"/>
  <c r="O4" i="6" s="1"/>
  <c r="P4" i="6" s="1"/>
  <c r="Q4" i="6" s="1"/>
  <c r="R4" i="6" s="1"/>
  <c r="L6" i="4"/>
  <c r="S6" i="4"/>
  <c r="R6" i="4"/>
  <c r="Q6" i="4"/>
  <c r="P6" i="4"/>
  <c r="O6" i="4"/>
  <c r="N6" i="4"/>
  <c r="K6" i="4"/>
  <c r="J6" i="4"/>
  <c r="I6" i="4"/>
  <c r="H6" i="4"/>
  <c r="G6" i="4"/>
  <c r="B2" i="4"/>
  <c r="M30" i="4" l="1"/>
  <c r="J19" i="1" l="1"/>
  <c r="G75" i="1"/>
  <c r="G76" i="1"/>
  <c r="G77" i="1"/>
  <c r="G78" i="1"/>
  <c r="G79" i="1"/>
  <c r="G80" i="1"/>
  <c r="G81" i="1"/>
  <c r="K81" i="1"/>
  <c r="G74" i="1"/>
  <c r="A75" i="1"/>
  <c r="A76" i="1"/>
  <c r="A77" i="1"/>
  <c r="E77" i="1"/>
  <c r="A78" i="1"/>
  <c r="A79" i="1"/>
  <c r="A80" i="1"/>
  <c r="A74" i="1"/>
  <c r="E71" i="1"/>
  <c r="E67" i="1"/>
  <c r="D67" i="1"/>
  <c r="A62" i="1"/>
  <c r="B14" i="1"/>
  <c r="B62" i="1" s="1"/>
  <c r="M92" i="1" s="1"/>
  <c r="K31" i="1"/>
  <c r="K79" i="1" s="1"/>
  <c r="E79" i="1"/>
  <c r="E78" i="1"/>
  <c r="M23" i="1" l="1"/>
  <c r="M71" i="1" s="1"/>
  <c r="L23" i="1"/>
  <c r="L71" i="1" s="1"/>
  <c r="K7" i="6" l="1"/>
  <c r="K30" i="6" s="1"/>
  <c r="L19" i="1"/>
  <c r="L67" i="1" s="1"/>
  <c r="J23" i="1"/>
  <c r="J71" i="1" s="1"/>
  <c r="F23" i="1"/>
  <c r="F71" i="1" s="1"/>
  <c r="J67" i="1" l="1"/>
  <c r="Q19" i="1"/>
  <c r="Q67" i="1" s="1"/>
  <c r="P19" i="1"/>
  <c r="P67" i="1" s="1"/>
  <c r="M19" i="1"/>
  <c r="M67" i="1" s="1"/>
  <c r="A19" i="1"/>
  <c r="A67" i="1" s="1"/>
  <c r="F19" i="1"/>
  <c r="F67" i="1" s="1"/>
  <c r="K14" i="1"/>
  <c r="K62" i="1" s="1"/>
  <c r="I14" i="1"/>
  <c r="B10" i="2"/>
  <c r="M45" i="1" l="1"/>
  <c r="I62" i="1"/>
  <c r="M93" i="1" s="1"/>
  <c r="B4" i="4"/>
  <c r="C4" i="4" s="1"/>
  <c r="D4" i="4" s="1"/>
  <c r="AA11" i="4"/>
  <c r="AA12" i="4"/>
  <c r="AA13" i="4"/>
  <c r="AA14" i="4"/>
  <c r="AA15" i="4"/>
  <c r="AA16" i="4"/>
  <c r="AA17" i="4"/>
  <c r="AA18" i="4"/>
  <c r="B2" i="3"/>
  <c r="K5" i="3"/>
  <c r="U5" i="3"/>
  <c r="AN9" i="3"/>
  <c r="AN10" i="3"/>
  <c r="AN11" i="3"/>
  <c r="AN12" i="3"/>
  <c r="AN13" i="3"/>
  <c r="AN14" i="3"/>
  <c r="AN15" i="3"/>
  <c r="AN16" i="3"/>
  <c r="W22" i="3"/>
  <c r="M22" i="3"/>
  <c r="Q22" i="3"/>
  <c r="U22" i="3"/>
  <c r="J26" i="3"/>
  <c r="Q26" i="3"/>
  <c r="W26" i="3"/>
  <c r="I5" i="2"/>
  <c r="C10" i="2"/>
  <c r="D10" i="2" s="1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AB15" i="2"/>
  <c r="AG15" i="2"/>
  <c r="AM15" i="2"/>
  <c r="AN15" i="2"/>
  <c r="AZ15" i="2"/>
  <c r="AB16" i="2"/>
  <c r="N19" i="1" s="1"/>
  <c r="N67" i="1" s="1"/>
  <c r="P17" i="2"/>
  <c r="AB17" i="2"/>
  <c r="AL17" i="2"/>
  <c r="AM17" i="2"/>
  <c r="P18" i="2"/>
  <c r="U18" i="2"/>
  <c r="AB18" i="2"/>
  <c r="P19" i="2"/>
  <c r="U19" i="2"/>
  <c r="AF19" i="2" s="1"/>
  <c r="AM20" i="2"/>
  <c r="P21" i="2"/>
  <c r="U21" i="2"/>
  <c r="AF21" i="2" s="1"/>
  <c r="P22" i="2"/>
  <c r="U22" i="2"/>
  <c r="AF22" i="2" s="1"/>
  <c r="P23" i="2"/>
  <c r="AM23" i="2"/>
  <c r="AL24" i="2"/>
  <c r="AM24" i="2"/>
  <c r="AN24" i="2"/>
  <c r="P25" i="2"/>
  <c r="U25" i="2"/>
  <c r="AF25" i="2" s="1"/>
  <c r="AL26" i="2"/>
  <c r="AM26" i="2"/>
  <c r="AN26" i="2"/>
  <c r="P27" i="2"/>
  <c r="P28" i="2"/>
  <c r="U28" i="2"/>
  <c r="AF28" i="2" s="1"/>
  <c r="P30" i="2"/>
  <c r="L57" i="1"/>
  <c r="C57" i="1"/>
  <c r="A57" i="1"/>
  <c r="L53" i="1"/>
  <c r="I53" i="1"/>
  <c r="F53" i="1"/>
  <c r="AD24" i="3" l="1"/>
  <c r="AD23" i="3"/>
  <c r="AB24" i="3"/>
  <c r="AA23" i="3"/>
  <c r="AA24" i="3"/>
  <c r="AB23" i="3"/>
  <c r="AG38" i="2"/>
  <c r="AX15" i="2"/>
  <c r="U38" i="2"/>
  <c r="AF18" i="2"/>
  <c r="AF38" i="2" s="1"/>
  <c r="AB38" i="2"/>
  <c r="AE23" i="3"/>
  <c r="AE24" i="3"/>
  <c r="AC24" i="3"/>
  <c r="AC23" i="3"/>
  <c r="BI26" i="2"/>
  <c r="BI15" i="2"/>
  <c r="AX24" i="2"/>
  <c r="BM24" i="2" s="1"/>
  <c r="AX26" i="2"/>
  <c r="BM26" i="2" s="1"/>
  <c r="BI24" i="2"/>
  <c r="BI17" i="2"/>
  <c r="AX17" i="2"/>
  <c r="L14" i="1"/>
  <c r="L62" i="1" s="1"/>
  <c r="E76" i="1"/>
  <c r="AM21" i="2"/>
  <c r="D11" i="3"/>
  <c r="I11" i="3" s="1"/>
  <c r="AM22" i="2"/>
  <c r="D12" i="3"/>
  <c r="I12" i="3" s="1"/>
  <c r="AM18" i="2"/>
  <c r="D8" i="3"/>
  <c r="I8" i="3" s="1"/>
  <c r="AM19" i="2"/>
  <c r="D9" i="3"/>
  <c r="I9" i="3" s="1"/>
  <c r="AM28" i="2"/>
  <c r="D18" i="3"/>
  <c r="I18" i="3" s="1"/>
  <c r="AM25" i="2"/>
  <c r="D15" i="3"/>
  <c r="I15" i="3" s="1"/>
  <c r="AN19" i="2"/>
  <c r="AL19" i="2"/>
  <c r="P32" i="2"/>
  <c r="P31" i="2"/>
  <c r="Q6" i="3"/>
  <c r="H23" i="1"/>
  <c r="S10" i="2"/>
  <c r="T10" i="2" s="1"/>
  <c r="U10" i="2" s="1"/>
  <c r="V10" i="2" s="1"/>
  <c r="W10" i="2" s="1"/>
  <c r="P29" i="2"/>
  <c r="AM27" i="2"/>
  <c r="P24" i="2"/>
  <c r="AN22" i="2"/>
  <c r="AL22" i="2"/>
  <c r="AN20" i="2"/>
  <c r="AL20" i="2"/>
  <c r="P16" i="2"/>
  <c r="A23" i="1"/>
  <c r="A71" i="1" s="1"/>
  <c r="D2" i="3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U26" i="3"/>
  <c r="M26" i="3"/>
  <c r="M5" i="3"/>
  <c r="S26" i="3"/>
  <c r="O26" i="3"/>
  <c r="K26" i="3"/>
  <c r="S5" i="3"/>
  <c r="O5" i="3"/>
  <c r="E4" i="4"/>
  <c r="F4" i="4" s="1"/>
  <c r="G4" i="4" s="1"/>
  <c r="H4" i="4" s="1"/>
  <c r="I4" i="4" s="1"/>
  <c r="J4" i="4" s="1"/>
  <c r="K4" i="4" s="1"/>
  <c r="L4" i="4" s="1"/>
  <c r="M4" i="4" s="1"/>
  <c r="N4" i="4" s="1"/>
  <c r="O4" i="4"/>
  <c r="P4" i="4" s="1"/>
  <c r="Q4" i="4" s="1"/>
  <c r="R4" i="4" s="1"/>
  <c r="S4" i="4" s="1"/>
  <c r="T4" i="4" s="1"/>
  <c r="P20" i="2"/>
  <c r="AN23" i="2"/>
  <c r="AL23" i="2"/>
  <c r="AN21" i="2"/>
  <c r="AL21" i="2"/>
  <c r="AN18" i="2"/>
  <c r="AL18" i="2"/>
  <c r="AN16" i="2"/>
  <c r="AL16" i="2"/>
  <c r="K25" i="3"/>
  <c r="M25" i="3"/>
  <c r="O25" i="3"/>
  <c r="S25" i="3"/>
  <c r="U25" i="3"/>
  <c r="J25" i="3"/>
  <c r="L25" i="3"/>
  <c r="N25" i="3"/>
  <c r="P25" i="3"/>
  <c r="R25" i="3"/>
  <c r="T25" i="3"/>
  <c r="V25" i="3"/>
  <c r="J22" i="3"/>
  <c r="L22" i="3"/>
  <c r="N22" i="3"/>
  <c r="P22" i="3"/>
  <c r="R22" i="3"/>
  <c r="T22" i="3"/>
  <c r="V22" i="3"/>
  <c r="Q21" i="3"/>
  <c r="W21" i="3"/>
  <c r="Q19" i="3"/>
  <c r="W19" i="3"/>
  <c r="Q16" i="3"/>
  <c r="W16" i="3"/>
  <c r="Q14" i="3"/>
  <c r="W14" i="3"/>
  <c r="V26" i="3"/>
  <c r="T26" i="3"/>
  <c r="R26" i="3"/>
  <c r="P26" i="3"/>
  <c r="N26" i="3"/>
  <c r="L26" i="3"/>
  <c r="W25" i="3"/>
  <c r="Q25" i="3"/>
  <c r="S22" i="3"/>
  <c r="O22" i="3"/>
  <c r="K22" i="3"/>
  <c r="J5" i="3"/>
  <c r="L5" i="3"/>
  <c r="N5" i="3"/>
  <c r="P5" i="3"/>
  <c r="R5" i="3"/>
  <c r="T5" i="3"/>
  <c r="V5" i="3"/>
  <c r="AN28" i="2"/>
  <c r="AL28" i="2"/>
  <c r="AN27" i="2"/>
  <c r="AL27" i="2"/>
  <c r="P26" i="2"/>
  <c r="AL25" i="2"/>
  <c r="AN25" i="2"/>
  <c r="M44" i="1"/>
  <c r="AN38" i="2" l="1"/>
  <c r="AM38" i="2"/>
  <c r="AX19" i="2"/>
  <c r="BM19" i="2" s="1"/>
  <c r="BM17" i="2"/>
  <c r="AF24" i="3"/>
  <c r="AG24" i="3" s="1"/>
  <c r="BG34" i="2" s="1"/>
  <c r="AL38" i="2"/>
  <c r="BM15" i="2"/>
  <c r="BL15" i="2"/>
  <c r="D7" i="7"/>
  <c r="D7" i="6"/>
  <c r="D7" i="4"/>
  <c r="BN15" i="2"/>
  <c r="AF23" i="3"/>
  <c r="AG23" i="3" s="1"/>
  <c r="BG33" i="2" s="1"/>
  <c r="B23" i="1"/>
  <c r="B71" i="1" s="1"/>
  <c r="P38" i="2"/>
  <c r="D18" i="6"/>
  <c r="D18" i="4"/>
  <c r="D18" i="7"/>
  <c r="BN26" i="2"/>
  <c r="BL26" i="2"/>
  <c r="D11" i="7"/>
  <c r="D11" i="6"/>
  <c r="D11" i="4"/>
  <c r="BN19" i="2"/>
  <c r="BL19" i="2"/>
  <c r="D9" i="7"/>
  <c r="D9" i="6"/>
  <c r="D9" i="4"/>
  <c r="BN17" i="2"/>
  <c r="BL17" i="2"/>
  <c r="D16" i="6"/>
  <c r="D16" i="4"/>
  <c r="D16" i="7"/>
  <c r="BN24" i="2"/>
  <c r="BL24" i="2"/>
  <c r="X10" i="2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BL10" i="2" s="1"/>
  <c r="BM10" i="2" s="1"/>
  <c r="BN10" i="2" s="1"/>
  <c r="BO10" i="2" s="1"/>
  <c r="BP10" i="2" s="1"/>
  <c r="BQ10" i="2" s="1"/>
  <c r="BI19" i="2"/>
  <c r="AX25" i="2"/>
  <c r="BM25" i="2" s="1"/>
  <c r="AX27" i="2"/>
  <c r="BM27" i="2" s="1"/>
  <c r="AX28" i="2"/>
  <c r="BM28" i="2" s="1"/>
  <c r="BI21" i="2"/>
  <c r="BI22" i="2"/>
  <c r="AZ27" i="2"/>
  <c r="BI30" i="2"/>
  <c r="AX30" i="2"/>
  <c r="BM30" i="2" s="1"/>
  <c r="AY15" i="2"/>
  <c r="BI28" i="2"/>
  <c r="BI25" i="2"/>
  <c r="AX16" i="2"/>
  <c r="BI16" i="2"/>
  <c r="AX18" i="2"/>
  <c r="BM18" i="2" s="1"/>
  <c r="AX21" i="2"/>
  <c r="BM21" i="2" s="1"/>
  <c r="AX23" i="2"/>
  <c r="BM23" i="2" s="1"/>
  <c r="BB15" i="2"/>
  <c r="AX20" i="2"/>
  <c r="BM20" i="2" s="1"/>
  <c r="AX22" i="2"/>
  <c r="BM22" i="2" s="1"/>
  <c r="BA19" i="2"/>
  <c r="AY19" i="2"/>
  <c r="BB19" i="2"/>
  <c r="AY17" i="2"/>
  <c r="BB17" i="2"/>
  <c r="BA17" i="2"/>
  <c r="BI18" i="2"/>
  <c r="BI23" i="2"/>
  <c r="BB26" i="2"/>
  <c r="AY26" i="2"/>
  <c r="BA26" i="2"/>
  <c r="BI20" i="2"/>
  <c r="BA24" i="2"/>
  <c r="AZ24" i="2"/>
  <c r="BB24" i="2"/>
  <c r="BI27" i="2"/>
  <c r="E75" i="1"/>
  <c r="Q13" i="3"/>
  <c r="Q17" i="3"/>
  <c r="W6" i="3"/>
  <c r="W11" i="3"/>
  <c r="W15" i="3"/>
  <c r="W8" i="3"/>
  <c r="Q12" i="3"/>
  <c r="BA15" i="2"/>
  <c r="Q11" i="3"/>
  <c r="Q15" i="3"/>
  <c r="E80" i="1"/>
  <c r="W18" i="3"/>
  <c r="Q18" i="3"/>
  <c r="H71" i="1"/>
  <c r="K32" i="1"/>
  <c r="K80" i="1" s="1"/>
  <c r="W10" i="3"/>
  <c r="Q10" i="3"/>
  <c r="Q8" i="3"/>
  <c r="W12" i="3"/>
  <c r="W13" i="3"/>
  <c r="W17" i="3"/>
  <c r="Q7" i="3"/>
  <c r="W7" i="3"/>
  <c r="W9" i="3"/>
  <c r="Q9" i="3"/>
  <c r="E26" i="1"/>
  <c r="E37" i="1" s="1"/>
  <c r="K6" i="3"/>
  <c r="D28" i="3"/>
  <c r="W20" i="3"/>
  <c r="Q20" i="3"/>
  <c r="X26" i="3"/>
  <c r="Z26" i="3" s="1"/>
  <c r="X5" i="3"/>
  <c r="K11" i="3"/>
  <c r="M11" i="3"/>
  <c r="O11" i="3"/>
  <c r="S11" i="3"/>
  <c r="U11" i="3"/>
  <c r="J11" i="3"/>
  <c r="N11" i="3"/>
  <c r="R11" i="3"/>
  <c r="V11" i="3"/>
  <c r="L11" i="3"/>
  <c r="P11" i="3"/>
  <c r="T11" i="3"/>
  <c r="K13" i="3"/>
  <c r="M13" i="3"/>
  <c r="O13" i="3"/>
  <c r="S13" i="3"/>
  <c r="U13" i="3"/>
  <c r="J13" i="3"/>
  <c r="N13" i="3"/>
  <c r="R13" i="3"/>
  <c r="V13" i="3"/>
  <c r="L13" i="3"/>
  <c r="P13" i="3"/>
  <c r="T13" i="3"/>
  <c r="K15" i="3"/>
  <c r="M15" i="3"/>
  <c r="O15" i="3"/>
  <c r="S15" i="3"/>
  <c r="U15" i="3"/>
  <c r="J15" i="3"/>
  <c r="N15" i="3"/>
  <c r="R15" i="3"/>
  <c r="V15" i="3"/>
  <c r="L15" i="3"/>
  <c r="P15" i="3"/>
  <c r="T15" i="3"/>
  <c r="K17" i="3"/>
  <c r="M17" i="3"/>
  <c r="O17" i="3"/>
  <c r="S17" i="3"/>
  <c r="U17" i="3"/>
  <c r="J17" i="3"/>
  <c r="N17" i="3"/>
  <c r="R17" i="3"/>
  <c r="V17" i="3"/>
  <c r="L17" i="3"/>
  <c r="P17" i="3"/>
  <c r="T17" i="3"/>
  <c r="K19" i="3"/>
  <c r="M19" i="3"/>
  <c r="O19" i="3"/>
  <c r="S19" i="3"/>
  <c r="U19" i="3"/>
  <c r="J19" i="3"/>
  <c r="N19" i="3"/>
  <c r="R19" i="3"/>
  <c r="V19" i="3"/>
  <c r="L19" i="3"/>
  <c r="P19" i="3"/>
  <c r="T19" i="3"/>
  <c r="K21" i="3"/>
  <c r="M21" i="3"/>
  <c r="O21" i="3"/>
  <c r="S21" i="3"/>
  <c r="U21" i="3"/>
  <c r="J21" i="3"/>
  <c r="N21" i="3"/>
  <c r="R21" i="3"/>
  <c r="V21" i="3"/>
  <c r="L21" i="3"/>
  <c r="P21" i="3"/>
  <c r="T21" i="3"/>
  <c r="X25" i="3"/>
  <c r="Z25" i="3" s="1"/>
  <c r="K8" i="3"/>
  <c r="M8" i="3"/>
  <c r="O8" i="3"/>
  <c r="S8" i="3"/>
  <c r="U8" i="3"/>
  <c r="L8" i="3"/>
  <c r="P8" i="3"/>
  <c r="T8" i="3"/>
  <c r="J8" i="3"/>
  <c r="R8" i="3"/>
  <c r="N8" i="3"/>
  <c r="V8" i="3"/>
  <c r="K12" i="3"/>
  <c r="M12" i="3"/>
  <c r="O12" i="3"/>
  <c r="S12" i="3"/>
  <c r="U12" i="3"/>
  <c r="J12" i="3"/>
  <c r="N12" i="3"/>
  <c r="R12" i="3"/>
  <c r="V12" i="3"/>
  <c r="L12" i="3"/>
  <c r="P12" i="3"/>
  <c r="T12" i="3"/>
  <c r="K14" i="3"/>
  <c r="M14" i="3"/>
  <c r="O14" i="3"/>
  <c r="S14" i="3"/>
  <c r="U14" i="3"/>
  <c r="J14" i="3"/>
  <c r="N14" i="3"/>
  <c r="R14" i="3"/>
  <c r="V14" i="3"/>
  <c r="L14" i="3"/>
  <c r="P14" i="3"/>
  <c r="T14" i="3"/>
  <c r="K16" i="3"/>
  <c r="M16" i="3"/>
  <c r="O16" i="3"/>
  <c r="S16" i="3"/>
  <c r="U16" i="3"/>
  <c r="J16" i="3"/>
  <c r="N16" i="3"/>
  <c r="R16" i="3"/>
  <c r="V16" i="3"/>
  <c r="L16" i="3"/>
  <c r="P16" i="3"/>
  <c r="T16" i="3"/>
  <c r="X22" i="3"/>
  <c r="Z22" i="3" s="1"/>
  <c r="BA25" i="2" l="1"/>
  <c r="BA27" i="2"/>
  <c r="D12" i="8"/>
  <c r="BM16" i="2"/>
  <c r="D14" i="8"/>
  <c r="O7" i="4"/>
  <c r="R7" i="4"/>
  <c r="N7" i="4"/>
  <c r="S7" i="4"/>
  <c r="Q7" i="4"/>
  <c r="P7" i="4"/>
  <c r="D12" i="6"/>
  <c r="D12" i="4"/>
  <c r="D12" i="7"/>
  <c r="BN20" i="2"/>
  <c r="BL20" i="2"/>
  <c r="D15" i="7"/>
  <c r="D15" i="6"/>
  <c r="D15" i="4"/>
  <c r="BN23" i="2"/>
  <c r="BL23" i="2"/>
  <c r="D10" i="6"/>
  <c r="D10" i="4"/>
  <c r="D10" i="7"/>
  <c r="BN18" i="2"/>
  <c r="BL18" i="2"/>
  <c r="D8" i="6"/>
  <c r="P8" i="6" s="1"/>
  <c r="D8" i="4"/>
  <c r="D8" i="7"/>
  <c r="BN16" i="2"/>
  <c r="BL16" i="2"/>
  <c r="D19" i="7"/>
  <c r="D19" i="6"/>
  <c r="D19" i="4"/>
  <c r="BN27" i="2"/>
  <c r="BL27" i="2"/>
  <c r="D13" i="8" s="1"/>
  <c r="S16" i="4"/>
  <c r="P16" i="4"/>
  <c r="O16" i="4"/>
  <c r="R16" i="4"/>
  <c r="N16" i="4"/>
  <c r="Q16" i="4"/>
  <c r="N9" i="4"/>
  <c r="R9" i="4"/>
  <c r="P9" i="4"/>
  <c r="O9" i="4"/>
  <c r="Q9" i="4"/>
  <c r="S9" i="4"/>
  <c r="Y9" i="7"/>
  <c r="U9" i="7"/>
  <c r="T9" i="7"/>
  <c r="X9" i="7"/>
  <c r="AB9" i="7"/>
  <c r="W9" i="7"/>
  <c r="AC9" i="7"/>
  <c r="V9" i="7"/>
  <c r="AA9" i="7"/>
  <c r="R9" i="7"/>
  <c r="Z9" i="7"/>
  <c r="S9" i="7"/>
  <c r="S18" i="7"/>
  <c r="W18" i="7"/>
  <c r="AA18" i="7"/>
  <c r="R18" i="7"/>
  <c r="Z18" i="7"/>
  <c r="U18" i="7"/>
  <c r="AC18" i="7"/>
  <c r="AB18" i="7"/>
  <c r="V18" i="7"/>
  <c r="X18" i="7"/>
  <c r="Y18" i="7"/>
  <c r="T18" i="7"/>
  <c r="D14" i="6"/>
  <c r="D14" i="4"/>
  <c r="D14" i="7"/>
  <c r="BN22" i="2"/>
  <c r="BL22" i="2"/>
  <c r="D13" i="7"/>
  <c r="D13" i="6"/>
  <c r="D13" i="4"/>
  <c r="BN21" i="2"/>
  <c r="BL21" i="2"/>
  <c r="D22" i="7"/>
  <c r="D22" i="6"/>
  <c r="Q22" i="6" s="1"/>
  <c r="D22" i="4"/>
  <c r="BN30" i="2"/>
  <c r="BL30" i="2"/>
  <c r="BB27" i="2"/>
  <c r="BA28" i="2"/>
  <c r="D20" i="6"/>
  <c r="D20" i="4"/>
  <c r="D20" i="7"/>
  <c r="BN28" i="2"/>
  <c r="BL28" i="2"/>
  <c r="AY25" i="2"/>
  <c r="D17" i="7"/>
  <c r="D17" i="6"/>
  <c r="D17" i="4"/>
  <c r="BN25" i="2"/>
  <c r="BL25" i="2"/>
  <c r="U16" i="7"/>
  <c r="Y16" i="7"/>
  <c r="AC16" i="7"/>
  <c r="V16" i="7"/>
  <c r="W16" i="7"/>
  <c r="R16" i="7"/>
  <c r="AB16" i="7"/>
  <c r="X16" i="7"/>
  <c r="S16" i="7"/>
  <c r="Z16" i="7"/>
  <c r="T16" i="7"/>
  <c r="AA16" i="7"/>
  <c r="P11" i="4"/>
  <c r="Q11" i="4"/>
  <c r="N11" i="4"/>
  <c r="S11" i="4"/>
  <c r="R11" i="4"/>
  <c r="O11" i="4"/>
  <c r="T11" i="7"/>
  <c r="X11" i="7"/>
  <c r="AB11" i="7"/>
  <c r="U11" i="7"/>
  <c r="Y11" i="7"/>
  <c r="AC11" i="7"/>
  <c r="Z11" i="7"/>
  <c r="R11" i="7"/>
  <c r="W11" i="7"/>
  <c r="V11" i="7"/>
  <c r="S11" i="7"/>
  <c r="AA11" i="7"/>
  <c r="S18" i="4"/>
  <c r="O18" i="4"/>
  <c r="N18" i="4"/>
  <c r="R18" i="4"/>
  <c r="Q18" i="4"/>
  <c r="P18" i="4"/>
  <c r="AA25" i="3"/>
  <c r="AC25" i="3"/>
  <c r="AE25" i="3"/>
  <c r="AB25" i="3"/>
  <c r="AD25" i="3"/>
  <c r="AA26" i="3"/>
  <c r="AC26" i="3"/>
  <c r="AE26" i="3"/>
  <c r="AB26" i="3"/>
  <c r="AD26" i="3"/>
  <c r="AB22" i="3"/>
  <c r="AD22" i="3"/>
  <c r="AC22" i="3"/>
  <c r="AA22" i="3"/>
  <c r="AE22" i="3"/>
  <c r="AZ28" i="2"/>
  <c r="D33" i="8" s="1"/>
  <c r="BB28" i="2"/>
  <c r="BB25" i="2"/>
  <c r="AX32" i="2"/>
  <c r="BM32" i="2" s="1"/>
  <c r="BI32" i="2"/>
  <c r="BI29" i="2"/>
  <c r="BB22" i="2"/>
  <c r="AY22" i="2"/>
  <c r="BA22" i="2"/>
  <c r="BB23" i="2"/>
  <c r="BA23" i="2"/>
  <c r="AY23" i="2"/>
  <c r="BB18" i="2"/>
  <c r="AY18" i="2"/>
  <c r="BA18" i="2"/>
  <c r="AY16" i="2"/>
  <c r="BA16" i="2"/>
  <c r="BB16" i="2"/>
  <c r="BB30" i="2"/>
  <c r="AY30" i="2"/>
  <c r="BA30" i="2"/>
  <c r="AX29" i="2"/>
  <c r="BM29" i="2" s="1"/>
  <c r="D7" i="8" s="1"/>
  <c r="BA20" i="2"/>
  <c r="AZ20" i="2"/>
  <c r="BB20" i="2"/>
  <c r="BI31" i="2"/>
  <c r="AX31" i="2"/>
  <c r="BM31" i="2" s="1"/>
  <c r="BB21" i="2"/>
  <c r="AY21" i="2"/>
  <c r="BA21" i="2"/>
  <c r="M18" i="6"/>
  <c r="L6" i="3"/>
  <c r="W28" i="3"/>
  <c r="R6" i="3"/>
  <c r="M6" i="3"/>
  <c r="Q28" i="3"/>
  <c r="N6" i="3"/>
  <c r="T6" i="3"/>
  <c r="S6" i="3"/>
  <c r="V6" i="3"/>
  <c r="I28" i="3"/>
  <c r="J6" i="3"/>
  <c r="P6" i="3"/>
  <c r="U6" i="3"/>
  <c r="O6" i="3"/>
  <c r="M20" i="3"/>
  <c r="U20" i="3"/>
  <c r="L20" i="3"/>
  <c r="P20" i="3"/>
  <c r="T20" i="3"/>
  <c r="S20" i="3"/>
  <c r="K20" i="3"/>
  <c r="J20" i="3"/>
  <c r="N20" i="3"/>
  <c r="R20" i="3"/>
  <c r="V20" i="3"/>
  <c r="O20" i="3"/>
  <c r="E74" i="1"/>
  <c r="E85" i="1" s="1"/>
  <c r="K9" i="3"/>
  <c r="U9" i="3"/>
  <c r="O9" i="3"/>
  <c r="L9" i="3"/>
  <c r="P9" i="3"/>
  <c r="T9" i="3"/>
  <c r="M9" i="3"/>
  <c r="S9" i="3"/>
  <c r="J9" i="3"/>
  <c r="N9" i="3"/>
  <c r="R9" i="3"/>
  <c r="V9" i="3"/>
  <c r="N7" i="6"/>
  <c r="L7" i="6"/>
  <c r="O7" i="6"/>
  <c r="P7" i="6"/>
  <c r="M7" i="6"/>
  <c r="Q7" i="6"/>
  <c r="K28" i="1"/>
  <c r="K76" i="1" s="1"/>
  <c r="M7" i="3"/>
  <c r="U7" i="3"/>
  <c r="K7" i="3"/>
  <c r="O7" i="3"/>
  <c r="J7" i="3"/>
  <c r="N7" i="3"/>
  <c r="R7" i="3"/>
  <c r="V7" i="3"/>
  <c r="S7" i="3"/>
  <c r="L7" i="3"/>
  <c r="P7" i="3"/>
  <c r="T7" i="3"/>
  <c r="T7" i="7"/>
  <c r="AC7" i="7"/>
  <c r="S7" i="7"/>
  <c r="W7" i="7"/>
  <c r="AA7" i="7"/>
  <c r="U7" i="7"/>
  <c r="Y7" i="7"/>
  <c r="R7" i="7"/>
  <c r="Z7" i="7"/>
  <c r="V7" i="7"/>
  <c r="AB7" i="7"/>
  <c r="X7" i="7"/>
  <c r="M16" i="6"/>
  <c r="Q16" i="6"/>
  <c r="N16" i="6"/>
  <c r="O16" i="6"/>
  <c r="L16" i="6"/>
  <c r="P16" i="6"/>
  <c r="K10" i="3"/>
  <c r="U10" i="3"/>
  <c r="O10" i="3"/>
  <c r="J10" i="3"/>
  <c r="N10" i="3"/>
  <c r="R10" i="3"/>
  <c r="V10" i="3"/>
  <c r="M10" i="3"/>
  <c r="S10" i="3"/>
  <c r="L10" i="3"/>
  <c r="P10" i="3"/>
  <c r="T10" i="3"/>
  <c r="M18" i="3"/>
  <c r="U18" i="3"/>
  <c r="J18" i="3"/>
  <c r="N18" i="3"/>
  <c r="R18" i="3"/>
  <c r="V18" i="3"/>
  <c r="O18" i="3"/>
  <c r="L18" i="3"/>
  <c r="P18" i="3"/>
  <c r="T18" i="3"/>
  <c r="S18" i="3"/>
  <c r="K18" i="3"/>
  <c r="X21" i="3"/>
  <c r="Z21" i="3" s="1"/>
  <c r="X19" i="3"/>
  <c r="Z19" i="3" s="1"/>
  <c r="X17" i="3"/>
  <c r="Z17" i="3" s="1"/>
  <c r="X15" i="3"/>
  <c r="Z15" i="3" s="1"/>
  <c r="X13" i="3"/>
  <c r="Z13" i="3" s="1"/>
  <c r="X11" i="3"/>
  <c r="Z11" i="3" s="1"/>
  <c r="X16" i="3"/>
  <c r="Z16" i="3" s="1"/>
  <c r="X14" i="3"/>
  <c r="Z14" i="3" s="1"/>
  <c r="X12" i="3"/>
  <c r="Z12" i="3" s="1"/>
  <c r="X8" i="3"/>
  <c r="Z8" i="3" s="1"/>
  <c r="Z5" i="3"/>
  <c r="T7" i="4" l="1"/>
  <c r="D5" i="8"/>
  <c r="E11" i="8"/>
  <c r="T16" i="4"/>
  <c r="D24" i="7"/>
  <c r="D24" i="6"/>
  <c r="D24" i="4"/>
  <c r="BN32" i="2"/>
  <c r="BL32" i="2"/>
  <c r="AD11" i="7"/>
  <c r="AD16" i="7"/>
  <c r="N17" i="4"/>
  <c r="R17" i="4"/>
  <c r="P17" i="4"/>
  <c r="O17" i="4"/>
  <c r="Q17" i="4"/>
  <c r="S17" i="4"/>
  <c r="X17" i="7"/>
  <c r="T17" i="7"/>
  <c r="AB17" i="7"/>
  <c r="U17" i="7"/>
  <c r="Y17" i="7"/>
  <c r="AC17" i="7"/>
  <c r="V17" i="7"/>
  <c r="W17" i="7"/>
  <c r="S17" i="7"/>
  <c r="AA17" i="7"/>
  <c r="R17" i="7"/>
  <c r="Z17" i="7"/>
  <c r="U20" i="7"/>
  <c r="Y20" i="7"/>
  <c r="AC20" i="7"/>
  <c r="V20" i="7"/>
  <c r="S20" i="7"/>
  <c r="AA20" i="7"/>
  <c r="Z20" i="7"/>
  <c r="AB20" i="7"/>
  <c r="X20" i="7"/>
  <c r="R20" i="7"/>
  <c r="T20" i="7"/>
  <c r="W20" i="7"/>
  <c r="S22" i="4"/>
  <c r="N22" i="4"/>
  <c r="R22" i="4"/>
  <c r="Q22" i="4"/>
  <c r="O22" i="4"/>
  <c r="P22" i="4"/>
  <c r="R22" i="7"/>
  <c r="V22" i="7"/>
  <c r="Z22" i="7"/>
  <c r="X22" i="7"/>
  <c r="Y22" i="7"/>
  <c r="W22" i="7"/>
  <c r="AB22" i="7"/>
  <c r="AC22" i="7"/>
  <c r="T22" i="7"/>
  <c r="U22" i="7"/>
  <c r="S22" i="7"/>
  <c r="AA22" i="7"/>
  <c r="S14" i="7"/>
  <c r="W14" i="7"/>
  <c r="AA14" i="7"/>
  <c r="R14" i="7"/>
  <c r="Z14" i="7"/>
  <c r="Y14" i="7"/>
  <c r="V14" i="7"/>
  <c r="AB14" i="7"/>
  <c r="U14" i="7"/>
  <c r="AC14" i="7"/>
  <c r="T14" i="7"/>
  <c r="X14" i="7"/>
  <c r="T9" i="4"/>
  <c r="T8" i="7"/>
  <c r="X8" i="7"/>
  <c r="AB8" i="7"/>
  <c r="Y8" i="7"/>
  <c r="V8" i="7"/>
  <c r="U8" i="7"/>
  <c r="AA8" i="7"/>
  <c r="W8" i="7"/>
  <c r="R8" i="7"/>
  <c r="Z8" i="7"/>
  <c r="AC8" i="7"/>
  <c r="S8" i="7"/>
  <c r="S10" i="4"/>
  <c r="O10" i="4"/>
  <c r="N10" i="4"/>
  <c r="R10" i="4"/>
  <c r="Q10" i="4"/>
  <c r="P10" i="4"/>
  <c r="P15" i="4"/>
  <c r="Q15" i="4"/>
  <c r="R15" i="4"/>
  <c r="S15" i="4"/>
  <c r="N15" i="4"/>
  <c r="O15" i="4"/>
  <c r="T15" i="7"/>
  <c r="AB15" i="7"/>
  <c r="X15" i="7"/>
  <c r="U15" i="7"/>
  <c r="Y15" i="7"/>
  <c r="AC15" i="7"/>
  <c r="Z15" i="7"/>
  <c r="R15" i="7"/>
  <c r="V15" i="7"/>
  <c r="W15" i="7"/>
  <c r="S15" i="7"/>
  <c r="AA15" i="7"/>
  <c r="S12" i="4"/>
  <c r="O12" i="4"/>
  <c r="P12" i="4"/>
  <c r="N12" i="4"/>
  <c r="R12" i="4"/>
  <c r="Q12" i="4"/>
  <c r="D23" i="6"/>
  <c r="Q23" i="6" s="1"/>
  <c r="D23" i="4"/>
  <c r="D23" i="7"/>
  <c r="BN31" i="2"/>
  <c r="BL31" i="2"/>
  <c r="T18" i="4"/>
  <c r="T11" i="4"/>
  <c r="S20" i="4"/>
  <c r="O20" i="4"/>
  <c r="P20" i="4"/>
  <c r="N20" i="4"/>
  <c r="R20" i="4"/>
  <c r="Q20" i="4"/>
  <c r="N13" i="4"/>
  <c r="R13" i="4"/>
  <c r="Q13" i="4"/>
  <c r="O13" i="4"/>
  <c r="P13" i="4"/>
  <c r="S13" i="4"/>
  <c r="X13" i="7"/>
  <c r="T13" i="7"/>
  <c r="AB13" i="7"/>
  <c r="U13" i="7"/>
  <c r="Y13" i="7"/>
  <c r="AC13" i="7"/>
  <c r="V13" i="7"/>
  <c r="W13" i="7"/>
  <c r="S13" i="7"/>
  <c r="AA13" i="7"/>
  <c r="Z13" i="7"/>
  <c r="R13" i="7"/>
  <c r="S14" i="4"/>
  <c r="O14" i="4"/>
  <c r="N14" i="4"/>
  <c r="R14" i="4"/>
  <c r="Q14" i="4"/>
  <c r="P14" i="4"/>
  <c r="AD18" i="7"/>
  <c r="AD9" i="7"/>
  <c r="P19" i="4"/>
  <c r="Q19" i="4"/>
  <c r="N19" i="4"/>
  <c r="S19" i="4"/>
  <c r="R19" i="4"/>
  <c r="O19" i="4"/>
  <c r="T19" i="7"/>
  <c r="X19" i="7"/>
  <c r="U19" i="7"/>
  <c r="Y19" i="7"/>
  <c r="AC19" i="7"/>
  <c r="Z19" i="7"/>
  <c r="R19" i="7"/>
  <c r="AB19" i="7"/>
  <c r="AA19" i="7"/>
  <c r="W19" i="7"/>
  <c r="V19" i="7"/>
  <c r="S19" i="7"/>
  <c r="S8" i="4"/>
  <c r="O8" i="4"/>
  <c r="P8" i="4"/>
  <c r="R8" i="4"/>
  <c r="Q8" i="4"/>
  <c r="N8" i="4"/>
  <c r="R10" i="7"/>
  <c r="V10" i="7"/>
  <c r="Z10" i="7"/>
  <c r="U10" i="7"/>
  <c r="AC10" i="7"/>
  <c r="T10" i="7"/>
  <c r="AB10" i="7"/>
  <c r="AA10" i="7"/>
  <c r="X10" i="7"/>
  <c r="Y10" i="7"/>
  <c r="S10" i="7"/>
  <c r="W10" i="7"/>
  <c r="U12" i="7"/>
  <c r="Y12" i="7"/>
  <c r="AC12" i="7"/>
  <c r="V12" i="7"/>
  <c r="S12" i="7"/>
  <c r="AA12" i="7"/>
  <c r="Z12" i="7"/>
  <c r="AB12" i="7"/>
  <c r="X12" i="7"/>
  <c r="W12" i="7"/>
  <c r="T12" i="7"/>
  <c r="R12" i="7"/>
  <c r="D21" i="7"/>
  <c r="D21" i="6"/>
  <c r="D21" i="4"/>
  <c r="BN29" i="2"/>
  <c r="BL29" i="2"/>
  <c r="D6" i="8" s="1"/>
  <c r="AB12" i="3"/>
  <c r="AD12" i="3"/>
  <c r="AC12" i="3"/>
  <c r="AA12" i="3"/>
  <c r="AE12" i="3"/>
  <c r="AB16" i="3"/>
  <c r="AD16" i="3"/>
  <c r="AC16" i="3"/>
  <c r="AA16" i="3"/>
  <c r="AE16" i="3"/>
  <c r="AB13" i="3"/>
  <c r="AD13" i="3"/>
  <c r="AA13" i="3"/>
  <c r="AE13" i="3"/>
  <c r="AC13" i="3"/>
  <c r="AB17" i="3"/>
  <c r="AD17" i="3"/>
  <c r="AA17" i="3"/>
  <c r="AE17" i="3"/>
  <c r="AC17" i="3"/>
  <c r="AB21" i="3"/>
  <c r="AD21" i="3"/>
  <c r="AA21" i="3"/>
  <c r="AE21" i="3"/>
  <c r="AC21" i="3"/>
  <c r="AF25" i="3"/>
  <c r="AG25" i="3" s="1"/>
  <c r="BG35" i="2" s="1"/>
  <c r="AB8" i="3"/>
  <c r="AD8" i="3"/>
  <c r="AC8" i="3"/>
  <c r="AA8" i="3"/>
  <c r="AE8" i="3"/>
  <c r="AB14" i="3"/>
  <c r="AD14" i="3"/>
  <c r="AC14" i="3"/>
  <c r="AA14" i="3"/>
  <c r="AE14" i="3"/>
  <c r="AB11" i="3"/>
  <c r="AD11" i="3"/>
  <c r="AA11" i="3"/>
  <c r="AE11" i="3"/>
  <c r="AC11" i="3"/>
  <c r="AB15" i="3"/>
  <c r="AD15" i="3"/>
  <c r="AA15" i="3"/>
  <c r="AE15" i="3"/>
  <c r="AC15" i="3"/>
  <c r="AB19" i="3"/>
  <c r="AD19" i="3"/>
  <c r="AA19" i="3"/>
  <c r="AE19" i="3"/>
  <c r="AC19" i="3"/>
  <c r="AF22" i="3"/>
  <c r="AG22" i="3" s="1"/>
  <c r="BG32" i="2" s="1"/>
  <c r="AF26" i="3"/>
  <c r="AG26" i="3" s="1"/>
  <c r="AD7" i="7"/>
  <c r="BB29" i="2"/>
  <c r="BA29" i="2"/>
  <c r="AZ29" i="2"/>
  <c r="AY32" i="2"/>
  <c r="BA32" i="2"/>
  <c r="BB32" i="2"/>
  <c r="BB31" i="2"/>
  <c r="AZ31" i="2"/>
  <c r="BA31" i="2"/>
  <c r="AX33" i="2"/>
  <c r="BM33" i="2" s="1"/>
  <c r="BI33" i="2"/>
  <c r="Q18" i="6"/>
  <c r="P18" i="6"/>
  <c r="O18" i="6"/>
  <c r="N22" i="6"/>
  <c r="L22" i="6"/>
  <c r="M22" i="6"/>
  <c r="L18" i="6"/>
  <c r="N18" i="6"/>
  <c r="Q17" i="6"/>
  <c r="M14" i="6"/>
  <c r="M10" i="6"/>
  <c r="P22" i="6"/>
  <c r="O22" i="6"/>
  <c r="K27" i="1"/>
  <c r="K75" i="1" s="1"/>
  <c r="O10" i="6"/>
  <c r="Q10" i="6"/>
  <c r="K26" i="1"/>
  <c r="K29" i="1"/>
  <c r="K77" i="1" s="1"/>
  <c r="L8" i="6"/>
  <c r="O8" i="6"/>
  <c r="M8" i="6"/>
  <c r="Q8" i="6"/>
  <c r="N8" i="6"/>
  <c r="P28" i="3"/>
  <c r="S28" i="3"/>
  <c r="X6" i="3"/>
  <c r="Z6" i="3" s="1"/>
  <c r="T28" i="3"/>
  <c r="L28" i="3"/>
  <c r="N28" i="3"/>
  <c r="U28" i="3"/>
  <c r="O28" i="3"/>
  <c r="V28" i="3"/>
  <c r="R28" i="3"/>
  <c r="M28" i="3"/>
  <c r="K28" i="3"/>
  <c r="X10" i="3"/>
  <c r="Z10" i="3" s="1"/>
  <c r="M20" i="6"/>
  <c r="Q20" i="6"/>
  <c r="N20" i="6"/>
  <c r="O20" i="6"/>
  <c r="L20" i="6"/>
  <c r="P20" i="6"/>
  <c r="M12" i="6"/>
  <c r="Q12" i="6"/>
  <c r="N12" i="6"/>
  <c r="O12" i="6"/>
  <c r="L12" i="6"/>
  <c r="P12" i="6"/>
  <c r="M19" i="6"/>
  <c r="Q19" i="6"/>
  <c r="N19" i="6"/>
  <c r="O19" i="6"/>
  <c r="L19" i="6"/>
  <c r="P19" i="6"/>
  <c r="L11" i="6"/>
  <c r="O11" i="6"/>
  <c r="N11" i="6"/>
  <c r="M11" i="6"/>
  <c r="Q11" i="6"/>
  <c r="P11" i="6"/>
  <c r="M15" i="6"/>
  <c r="Q15" i="6"/>
  <c r="N15" i="6"/>
  <c r="O15" i="6"/>
  <c r="L15" i="6"/>
  <c r="P15" i="6"/>
  <c r="R7" i="6"/>
  <c r="X9" i="3"/>
  <c r="Z9" i="3" s="1"/>
  <c r="X20" i="3"/>
  <c r="Z20" i="3" s="1"/>
  <c r="J28" i="3"/>
  <c r="X18" i="3"/>
  <c r="Z18" i="3" s="1"/>
  <c r="R16" i="6"/>
  <c r="M13" i="6"/>
  <c r="Q13" i="6"/>
  <c r="N13" i="6"/>
  <c r="O13" i="6"/>
  <c r="L13" i="6"/>
  <c r="P13" i="6"/>
  <c r="X7" i="3"/>
  <c r="Z7" i="3" s="1"/>
  <c r="L9" i="6"/>
  <c r="P9" i="6"/>
  <c r="Q9" i="6"/>
  <c r="N9" i="6"/>
  <c r="M9" i="6"/>
  <c r="O9" i="6"/>
  <c r="AB5" i="3"/>
  <c r="AD5" i="3"/>
  <c r="AC5" i="3"/>
  <c r="AA5" i="3"/>
  <c r="AE5" i="3"/>
  <c r="D30" i="8" l="1"/>
  <c r="E4" i="8"/>
  <c r="O23" i="6"/>
  <c r="L23" i="6"/>
  <c r="BJ32" i="2"/>
  <c r="BK32" i="2" s="1"/>
  <c r="P23" i="6"/>
  <c r="M23" i="6"/>
  <c r="N23" i="6"/>
  <c r="AF14" i="3"/>
  <c r="AG14" i="3" s="1"/>
  <c r="BG24" i="2" s="1"/>
  <c r="AF16" i="3"/>
  <c r="AG16" i="3" s="1"/>
  <c r="BG26" i="2" s="1"/>
  <c r="T15" i="4"/>
  <c r="D25" i="6"/>
  <c r="D25" i="4"/>
  <c r="D25" i="7"/>
  <c r="BN33" i="2"/>
  <c r="BL33" i="2"/>
  <c r="AD10" i="7"/>
  <c r="AD19" i="7"/>
  <c r="T19" i="4"/>
  <c r="T14" i="4"/>
  <c r="T13" i="4"/>
  <c r="N23" i="4"/>
  <c r="R23" i="4"/>
  <c r="Q23" i="4"/>
  <c r="S23" i="4"/>
  <c r="P23" i="4"/>
  <c r="O23" i="4"/>
  <c r="T10" i="4"/>
  <c r="AD8" i="7"/>
  <c r="AD14" i="7"/>
  <c r="T22" i="4"/>
  <c r="AD20" i="7"/>
  <c r="S24" i="4"/>
  <c r="Q24" i="4"/>
  <c r="N24" i="4"/>
  <c r="O24" i="4"/>
  <c r="R24" i="4"/>
  <c r="P24" i="4"/>
  <c r="R24" i="7"/>
  <c r="V24" i="7"/>
  <c r="Z24" i="7"/>
  <c r="T24" i="7"/>
  <c r="AB24" i="7"/>
  <c r="AC24" i="7"/>
  <c r="U24" i="7"/>
  <c r="AA24" i="7"/>
  <c r="S24" i="7"/>
  <c r="X24" i="7"/>
  <c r="Y24" i="7"/>
  <c r="W24" i="7"/>
  <c r="AF5" i="3"/>
  <c r="AG5" i="3" s="1"/>
  <c r="BG15" i="2" s="1"/>
  <c r="AD12" i="7"/>
  <c r="T8" i="4"/>
  <c r="AD13" i="7"/>
  <c r="T20" i="4"/>
  <c r="R23" i="7"/>
  <c r="AA23" i="7"/>
  <c r="AC23" i="7"/>
  <c r="U23" i="7"/>
  <c r="Y23" i="7"/>
  <c r="Z23" i="7"/>
  <c r="V23" i="7"/>
  <c r="W23" i="7"/>
  <c r="S23" i="7"/>
  <c r="T23" i="7"/>
  <c r="X23" i="7"/>
  <c r="AB23" i="7"/>
  <c r="T12" i="4"/>
  <c r="AD15" i="7"/>
  <c r="AD22" i="7"/>
  <c r="AD17" i="7"/>
  <c r="T17" i="4"/>
  <c r="P21" i="4"/>
  <c r="Q21" i="4"/>
  <c r="O21" i="4"/>
  <c r="N21" i="4"/>
  <c r="R21" i="4"/>
  <c r="S21" i="4"/>
  <c r="X21" i="7"/>
  <c r="T21" i="7"/>
  <c r="AC21" i="7"/>
  <c r="U21" i="7"/>
  <c r="Y21" i="7"/>
  <c r="AB21" i="7"/>
  <c r="V21" i="7"/>
  <c r="AA21" i="7"/>
  <c r="S21" i="7"/>
  <c r="W21" i="7"/>
  <c r="Z21" i="7"/>
  <c r="R21" i="7"/>
  <c r="AB7" i="3"/>
  <c r="AD7" i="3"/>
  <c r="AA7" i="3"/>
  <c r="AE7" i="3"/>
  <c r="AC7" i="3"/>
  <c r="AB18" i="3"/>
  <c r="AD18" i="3"/>
  <c r="AC18" i="3"/>
  <c r="AA18" i="3"/>
  <c r="AE18" i="3"/>
  <c r="AB20" i="3"/>
  <c r="AD20" i="3"/>
  <c r="AC20" i="3"/>
  <c r="AA20" i="3"/>
  <c r="AE20" i="3"/>
  <c r="AF19" i="3"/>
  <c r="AG19" i="3" s="1"/>
  <c r="BG29" i="2" s="1"/>
  <c r="AF11" i="3"/>
  <c r="AG11" i="3" s="1"/>
  <c r="BG21" i="2" s="1"/>
  <c r="AF21" i="3"/>
  <c r="AG21" i="3" s="1"/>
  <c r="BG31" i="2" s="1"/>
  <c r="AF13" i="3"/>
  <c r="AG13" i="3" s="1"/>
  <c r="BG23" i="2" s="1"/>
  <c r="AB9" i="3"/>
  <c r="AD9" i="3"/>
  <c r="AA9" i="3"/>
  <c r="AE9" i="3"/>
  <c r="AC9" i="3"/>
  <c r="AB10" i="3"/>
  <c r="AD10" i="3"/>
  <c r="AC10" i="3"/>
  <c r="AA10" i="3"/>
  <c r="AE10" i="3"/>
  <c r="AB6" i="3"/>
  <c r="AD6" i="3"/>
  <c r="AC6" i="3"/>
  <c r="AA6" i="3"/>
  <c r="AE6" i="3"/>
  <c r="AF15" i="3"/>
  <c r="AG15" i="3" s="1"/>
  <c r="BG25" i="2" s="1"/>
  <c r="AF8" i="3"/>
  <c r="AG8" i="3" s="1"/>
  <c r="BG18" i="2" s="1"/>
  <c r="AF17" i="3"/>
  <c r="AG17" i="3" s="1"/>
  <c r="BG27" i="2" s="1"/>
  <c r="AF12" i="3"/>
  <c r="AG12" i="3" s="1"/>
  <c r="BG22" i="2" s="1"/>
  <c r="K74" i="1"/>
  <c r="BB33" i="2"/>
  <c r="AY33" i="2"/>
  <c r="BA33" i="2"/>
  <c r="AX34" i="2"/>
  <c r="BM34" i="2" s="1"/>
  <c r="BM38" i="2" s="1"/>
  <c r="D29" i="8" s="1"/>
  <c r="BI34" i="2"/>
  <c r="BI35" i="2"/>
  <c r="AX35" i="2"/>
  <c r="BM35" i="2" s="1"/>
  <c r="O14" i="6"/>
  <c r="N17" i="6"/>
  <c r="P14" i="6"/>
  <c r="Q14" i="6"/>
  <c r="R22" i="6"/>
  <c r="R18" i="6"/>
  <c r="L17" i="6"/>
  <c r="M17" i="6"/>
  <c r="P17" i="6"/>
  <c r="O17" i="6"/>
  <c r="P10" i="6"/>
  <c r="L10" i="6"/>
  <c r="L14" i="6"/>
  <c r="N14" i="6"/>
  <c r="N10" i="6"/>
  <c r="O24" i="6"/>
  <c r="Q24" i="6"/>
  <c r="M24" i="6"/>
  <c r="L24" i="6"/>
  <c r="P24" i="6"/>
  <c r="N24" i="6"/>
  <c r="R8" i="6"/>
  <c r="X28" i="3"/>
  <c r="Z28" i="3"/>
  <c r="R13" i="6"/>
  <c r="R9" i="6"/>
  <c r="R15" i="6"/>
  <c r="R11" i="6"/>
  <c r="R19" i="6"/>
  <c r="R12" i="6"/>
  <c r="R20" i="6"/>
  <c r="M21" i="6"/>
  <c r="Q21" i="6"/>
  <c r="N21" i="6"/>
  <c r="O21" i="6"/>
  <c r="L21" i="6"/>
  <c r="P21" i="6"/>
  <c r="BJ29" i="2"/>
  <c r="BK29" i="2" s="1"/>
  <c r="BJ27" i="2"/>
  <c r="BK27" i="2" s="1"/>
  <c r="BJ31" i="2"/>
  <c r="BK31" i="2" s="1"/>
  <c r="BI38" i="2" l="1"/>
  <c r="AX38" i="2"/>
  <c r="D19" i="8"/>
  <c r="D21" i="8"/>
  <c r="D42" i="8" s="1"/>
  <c r="BJ15" i="2"/>
  <c r="BJ21" i="2"/>
  <c r="BK21" i="2" s="1"/>
  <c r="BJ24" i="2"/>
  <c r="BK24" i="2" s="1"/>
  <c r="BJ22" i="2"/>
  <c r="BK22" i="2" s="1"/>
  <c r="BJ26" i="2"/>
  <c r="BK26" i="2" s="1"/>
  <c r="R23" i="6"/>
  <c r="BJ18" i="2"/>
  <c r="BK18" i="2" s="1"/>
  <c r="AF18" i="3"/>
  <c r="AG18" i="3" s="1"/>
  <c r="BG28" i="2" s="1"/>
  <c r="BJ28" i="2" s="1"/>
  <c r="BK28" i="2" s="1"/>
  <c r="AD24" i="7"/>
  <c r="T24" i="4"/>
  <c r="N25" i="4"/>
  <c r="S25" i="4"/>
  <c r="O25" i="4"/>
  <c r="R25" i="4"/>
  <c r="Q25" i="4"/>
  <c r="P25" i="4"/>
  <c r="D26" i="7"/>
  <c r="D26" i="6"/>
  <c r="D26" i="4"/>
  <c r="BN34" i="2"/>
  <c r="BL34" i="2"/>
  <c r="AF6" i="3"/>
  <c r="AG6" i="3" s="1"/>
  <c r="BG16" i="2" s="1"/>
  <c r="D27" i="4"/>
  <c r="D27" i="7"/>
  <c r="D27" i="6"/>
  <c r="BN35" i="2"/>
  <c r="BL35" i="2"/>
  <c r="BL38" i="2" s="1"/>
  <c r="AD23" i="7"/>
  <c r="T23" i="4"/>
  <c r="R25" i="7"/>
  <c r="AA25" i="7"/>
  <c r="Y25" i="7"/>
  <c r="W25" i="7"/>
  <c r="AC25" i="7"/>
  <c r="AB25" i="7"/>
  <c r="X25" i="7"/>
  <c r="T25" i="7"/>
  <c r="S25" i="7"/>
  <c r="U25" i="7"/>
  <c r="Z25" i="7"/>
  <c r="V25" i="7"/>
  <c r="M25" i="6"/>
  <c r="O25" i="6"/>
  <c r="Q25" i="6"/>
  <c r="L25" i="6"/>
  <c r="N25" i="6"/>
  <c r="P25" i="6"/>
  <c r="AD21" i="7"/>
  <c r="T21" i="4"/>
  <c r="AF7" i="3"/>
  <c r="AG7" i="3" s="1"/>
  <c r="BG17" i="2" s="1"/>
  <c r="BJ23" i="2"/>
  <c r="BK23" i="2" s="1"/>
  <c r="BJ25" i="2"/>
  <c r="BK25" i="2" s="1"/>
  <c r="AF10" i="3"/>
  <c r="AG10" i="3" s="1"/>
  <c r="BG20" i="2" s="1"/>
  <c r="AF9" i="3"/>
  <c r="AG9" i="3" s="1"/>
  <c r="BG19" i="2" s="1"/>
  <c r="AF20" i="3"/>
  <c r="AG20" i="3" s="1"/>
  <c r="BG30" i="2" s="1"/>
  <c r="BJ33" i="2"/>
  <c r="BK33" i="2" s="1"/>
  <c r="AY34" i="2"/>
  <c r="AY38" i="2" s="1"/>
  <c r="BB34" i="2"/>
  <c r="BA34" i="2"/>
  <c r="AZ35" i="2"/>
  <c r="BA35" i="2"/>
  <c r="BB35" i="2"/>
  <c r="BB38" i="2" s="1"/>
  <c r="R17" i="6"/>
  <c r="R10" i="6"/>
  <c r="R14" i="6"/>
  <c r="R24" i="6"/>
  <c r="R21" i="6"/>
  <c r="BJ20" i="2"/>
  <c r="BK20" i="2" s="1"/>
  <c r="BN38" i="2" l="1"/>
  <c r="D27" i="8"/>
  <c r="D20" i="8"/>
  <c r="D41" i="8" s="1"/>
  <c r="BA38" i="2"/>
  <c r="D28" i="8"/>
  <c r="D32" i="8"/>
  <c r="AZ38" i="2"/>
  <c r="D40" i="8"/>
  <c r="BJ17" i="2"/>
  <c r="BK17" i="2" s="1"/>
  <c r="BJ19" i="2"/>
  <c r="BK19" i="2" s="1"/>
  <c r="D30" i="4"/>
  <c r="AD25" i="7"/>
  <c r="P27" i="6"/>
  <c r="L27" i="6"/>
  <c r="M27" i="6"/>
  <c r="Q27" i="6"/>
  <c r="O27" i="6"/>
  <c r="N27" i="6"/>
  <c r="N27" i="4"/>
  <c r="Q27" i="4"/>
  <c r="O27" i="4"/>
  <c r="R27" i="4"/>
  <c r="S27" i="4"/>
  <c r="P27" i="4"/>
  <c r="N26" i="4"/>
  <c r="S26" i="4"/>
  <c r="Q26" i="4"/>
  <c r="R26" i="4"/>
  <c r="O26" i="4"/>
  <c r="O30" i="4" s="1"/>
  <c r="P26" i="4"/>
  <c r="R26" i="7"/>
  <c r="V26" i="7"/>
  <c r="Z26" i="7"/>
  <c r="AC26" i="7"/>
  <c r="X26" i="7"/>
  <c r="Y26" i="7"/>
  <c r="W26" i="7"/>
  <c r="T26" i="7"/>
  <c r="U26" i="7"/>
  <c r="AB26" i="7"/>
  <c r="AA26" i="7"/>
  <c r="S26" i="7"/>
  <c r="D30" i="7"/>
  <c r="T25" i="4"/>
  <c r="R25" i="6"/>
  <c r="R27" i="7"/>
  <c r="W27" i="7"/>
  <c r="S27" i="7"/>
  <c r="AC27" i="7"/>
  <c r="U27" i="7"/>
  <c r="Z27" i="7"/>
  <c r="V27" i="7"/>
  <c r="AA27" i="7"/>
  <c r="Y27" i="7"/>
  <c r="AB27" i="7"/>
  <c r="T27" i="7"/>
  <c r="X27" i="7"/>
  <c r="M26" i="6"/>
  <c r="N26" i="6"/>
  <c r="L26" i="6"/>
  <c r="O26" i="6"/>
  <c r="Q26" i="6"/>
  <c r="P26" i="6"/>
  <c r="D30" i="6"/>
  <c r="BJ30" i="2"/>
  <c r="BK30" i="2" s="1"/>
  <c r="BJ35" i="2"/>
  <c r="BK35" i="2" s="1"/>
  <c r="BJ34" i="2"/>
  <c r="BK34" i="2" s="1"/>
  <c r="BK42" i="2" s="1"/>
  <c r="P27" i="1"/>
  <c r="P75" i="1" s="1"/>
  <c r="BK15" i="2"/>
  <c r="N30" i="6" l="1"/>
  <c r="P30" i="4"/>
  <c r="R30" i="4"/>
  <c r="E18" i="8"/>
  <c r="E39" i="8"/>
  <c r="BJ16" i="2"/>
  <c r="BG38" i="2"/>
  <c r="M30" i="6"/>
  <c r="P30" i="6"/>
  <c r="O30" i="6"/>
  <c r="AB30" i="7"/>
  <c r="AC30" i="7"/>
  <c r="S30" i="4"/>
  <c r="S30" i="7"/>
  <c r="T30" i="7"/>
  <c r="Y30" i="7"/>
  <c r="V30" i="7"/>
  <c r="Q30" i="6"/>
  <c r="AA30" i="7"/>
  <c r="U30" i="7"/>
  <c r="W30" i="7"/>
  <c r="X30" i="7"/>
  <c r="Z30" i="7"/>
  <c r="Q30" i="4"/>
  <c r="R26" i="6"/>
  <c r="L30" i="6"/>
  <c r="AD26" i="7"/>
  <c r="R30" i="7"/>
  <c r="T26" i="4"/>
  <c r="N30" i="4"/>
  <c r="T27" i="4"/>
  <c r="AD27" i="7"/>
  <c r="R27" i="6"/>
  <c r="K30" i="1"/>
  <c r="D26" i="8" l="1"/>
  <c r="F25" i="8"/>
  <c r="BK16" i="2"/>
  <c r="BK38" i="2" s="1"/>
  <c r="D36" i="8" s="1"/>
  <c r="BJ38" i="2"/>
  <c r="AD30" i="7"/>
  <c r="T30" i="4"/>
  <c r="R30" i="6"/>
  <c r="K78" i="1"/>
  <c r="L85" i="1" s="1"/>
  <c r="Q85" i="1" s="1"/>
  <c r="L37" i="1"/>
  <c r="Q37" i="1" s="1"/>
  <c r="F35" i="8" l="1"/>
  <c r="D47" i="8" s="1"/>
  <c r="F46" i="8" s="1"/>
  <c r="D51" i="8"/>
  <c r="E50" i="8" l="1"/>
  <c r="E1" i="8" s="1"/>
  <c r="D54" i="8"/>
  <c r="F53" i="8" s="1"/>
  <c r="F1" i="8" s="1"/>
</calcChain>
</file>

<file path=xl/comments1.xml><?xml version="1.0" encoding="utf-8"?>
<comments xmlns="http://schemas.openxmlformats.org/spreadsheetml/2006/main">
  <authors>
    <author>HPG Contadores</author>
    <author>Auxiliar</author>
    <author>Miluska Salazar Bravo</author>
    <author>User</author>
  </authors>
  <commentList>
    <comment ref="Y12" authorId="0" shapeId="0">
      <text>
        <r>
          <rPr>
            <b/>
            <sz val="9"/>
            <color indexed="81"/>
            <rFont val="Tahoma"/>
            <family val="2"/>
          </rPr>
          <t>HPG Contadores:</t>
        </r>
        <r>
          <rPr>
            <sz val="9"/>
            <color indexed="81"/>
            <rFont val="Tahoma"/>
            <family val="2"/>
          </rPr>
          <t xml:space="preserve">
Ingresar horas trabajadas recordar que las dos primeras son al 60% y el resto al 100%</t>
        </r>
      </text>
    </comment>
    <comment ref="Y13" authorId="0" shapeId="0">
      <text>
        <r>
          <rPr>
            <b/>
            <sz val="9"/>
            <color indexed="81"/>
            <rFont val="Tahoma"/>
            <family val="2"/>
          </rPr>
          <t>HPG Contadores:</t>
        </r>
        <r>
          <rPr>
            <sz val="9"/>
            <color indexed="81"/>
            <rFont val="Tahoma"/>
            <family val="2"/>
          </rPr>
          <t xml:space="preserve">
Ingresar horas trabajadas recordar que las dos primeras son al 60% y el resto al 100%</t>
        </r>
      </text>
    </comment>
    <comment ref="W15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  <comment ref="AE15" authorId="2" shapeId="0">
      <text>
        <r>
          <rPr>
            <b/>
            <sz val="9"/>
            <color indexed="81"/>
            <rFont val="Tahoma"/>
            <family val="2"/>
          </rPr>
          <t>Miluska Salazar Bravo:</t>
        </r>
        <r>
          <rPr>
            <sz val="9"/>
            <color indexed="81"/>
            <rFont val="Tahoma"/>
            <family val="2"/>
          </rPr>
          <t xml:space="preserve">
el fraccionamiento máximo posible de un período vacacional de 30 días puede ser en tres periodos de 7 días y un periodo de 9 días, dado que la norma sobre vacaciones establece claramente que la fracción de descanso vacacional no debe ser menor de 7 días.
“En tal sentido, no es correcto, legal ni mucho menos formal, que se otorguen 1 o 6 días a cuenta de vacaciones, dado que el periodo mínimo debe ser 7 días y siempre que medie un convenio de fraccionamiento, el cual también deberá ser custodiado en el file personal del trabajador”</t>
        </r>
      </text>
    </comment>
    <comment ref="U16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TENIA SUELDO POR FUERA DE S/ 170.00
</t>
        </r>
      </text>
    </comment>
    <comment ref="AJ16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ES COMPUTABLE PARA BBSS</t>
        </r>
      </text>
    </comment>
    <comment ref="U17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TENIA SUELDO POR FUERA DE S/ 1100.00</t>
        </r>
      </text>
    </comment>
    <comment ref="W19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  <comment ref="U20" authorId="3" shapeId="0">
      <text>
        <r>
          <rPr>
            <b/>
            <sz val="9"/>
            <color indexed="81"/>
            <rFont val="Tahoma"/>
            <family val="2"/>
          </rPr>
          <t xml:space="preserve">User:
Tenia sueldo por fuer a de S/ 200.00
</t>
        </r>
      </text>
    </comment>
    <comment ref="U21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Tenia sueldo por fuera de S/ 200.00
</t>
        </r>
      </text>
    </comment>
    <comment ref="U22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Tenia sueldo por fuera de S/ 500.00</t>
        </r>
      </text>
    </comment>
    <comment ref="W22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  <comment ref="U23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tenia sueldo por fuera de S/ 410.00 </t>
        </r>
      </text>
    </comment>
    <comment ref="W23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  <comment ref="W25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  <comment ref="W26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  <comment ref="U27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tenia sueldo por fuera de S/ 180.00
 </t>
        </r>
      </text>
    </comment>
    <comment ref="W27" authorId="1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NO HAY DNI HIJOS</t>
        </r>
      </text>
    </comment>
  </commentList>
</comments>
</file>

<file path=xl/comments2.xml><?xml version="1.0" encoding="utf-8"?>
<comments xmlns="http://schemas.openxmlformats.org/spreadsheetml/2006/main">
  <authors>
    <author>Marcelo</author>
  </authors>
  <commentList>
    <comment ref="L21" authorId="0" shapeId="0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DESCANSOS Y FERIADOS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DESCANSOS Y FERIADOS</t>
        </r>
      </text>
    </comment>
  </commentList>
</comments>
</file>

<file path=xl/comments3.xml><?xml version="1.0" encoding="utf-8"?>
<comments xmlns="http://schemas.openxmlformats.org/spreadsheetml/2006/main">
  <authors>
    <author>Auxiliar</author>
  </authors>
  <commentList>
    <comment ref="AG3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FALTA TERMINAR POR FECHA DE INGRESO</t>
        </r>
      </text>
    </comment>
  </commentList>
</comments>
</file>

<file path=xl/comments4.xml><?xml version="1.0" encoding="utf-8"?>
<comments xmlns="http://schemas.openxmlformats.org/spreadsheetml/2006/main">
  <authors>
    <author>Auxiliar</author>
  </authors>
  <commentList>
    <comment ref="G7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15 VAC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20 VAC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21 PERMISO SIN GOCE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11 VAC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18 VACACIONES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30 PERMISO CON GOCE ACUERDO MUTUO CON DAVIS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 Y 23 PERMISO CON GOCE ACUERDO MUTUO CON DAVIS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
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15 VAC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4 DIAS VAC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 Y 23 PERMISO SIN GOCE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</t>
        </r>
      </text>
    </comment>
    <comment ref="H18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15 VAC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7 VAC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11 VAC</t>
        </r>
      </text>
    </comment>
    <comment ref="G22" authorId="0" shapeId="0">
      <text>
        <r>
          <rPr>
            <b/>
            <sz val="9"/>
            <color indexed="81"/>
            <rFont val="Tahoma"/>
            <family val="2"/>
          </rPr>
          <t>Auxiliar:</t>
        </r>
        <r>
          <rPr>
            <sz val="9"/>
            <color indexed="81"/>
            <rFont val="Tahoma"/>
            <family val="2"/>
          </rPr>
          <t xml:space="preserve">
30 VAC</t>
        </r>
      </text>
    </comment>
  </commentList>
</comments>
</file>

<file path=xl/sharedStrings.xml><?xml version="1.0" encoding="utf-8"?>
<sst xmlns="http://schemas.openxmlformats.org/spreadsheetml/2006/main" count="658" uniqueCount="310">
  <si>
    <t>BOLETA DE PAGO</t>
  </si>
  <si>
    <t>NO ELIMINAR</t>
  </si>
  <si>
    <t>ART. 19 DEL DECRETO SUPREMO N° 001-98-TR DEL 22-01-98</t>
  </si>
  <si>
    <t>MES:</t>
  </si>
  <si>
    <t>DICIEMBRE</t>
  </si>
  <si>
    <t>Del</t>
  </si>
  <si>
    <t>Al</t>
  </si>
  <si>
    <t>INICIO</t>
  </si>
  <si>
    <t>FIN</t>
  </si>
  <si>
    <t>DATOS DE LA EMPRESA</t>
  </si>
  <si>
    <t>RUC</t>
  </si>
  <si>
    <t>RAZON SOCIAL</t>
  </si>
  <si>
    <t>RUBRO DE LA EMPRESA</t>
  </si>
  <si>
    <t>DIRECCIÓN</t>
  </si>
  <si>
    <t>DATOS DEL TRABAJADOR</t>
  </si>
  <si>
    <t>CODIGO</t>
  </si>
  <si>
    <t>D.N.I.</t>
  </si>
  <si>
    <t>F. NAC.</t>
  </si>
  <si>
    <t>HIJOS</t>
  </si>
  <si>
    <t>DATOS DEL TRABAJADOR VINCULADOS A LA RELACION LABORAL</t>
  </si>
  <si>
    <t>CARGO</t>
  </si>
  <si>
    <t>CATEGORIA</t>
  </si>
  <si>
    <t>PERIODIC.</t>
  </si>
  <si>
    <t>ONP</t>
  </si>
  <si>
    <t>C.U.S.P.P.</t>
  </si>
  <si>
    <t>F. INGRESO</t>
  </si>
  <si>
    <t>F. CESE</t>
  </si>
  <si>
    <t>INIC. VAC.</t>
  </si>
  <si>
    <t>FIN VAC.</t>
  </si>
  <si>
    <t>DIAS VAC</t>
  </si>
  <si>
    <t>EMPLEADO</t>
  </si>
  <si>
    <t>MENSUAL</t>
  </si>
  <si>
    <t>DIAS LABORADOS</t>
  </si>
  <si>
    <t>TOTAL HORAS LABORADOS</t>
  </si>
  <si>
    <t>HORAS EXTRAS</t>
  </si>
  <si>
    <t>SUELDO</t>
  </si>
  <si>
    <t>CTA CTE DE DEPÓSITO</t>
  </si>
  <si>
    <t xml:space="preserve"> </t>
  </si>
  <si>
    <t>REMUNERACIONES</t>
  </si>
  <si>
    <t>RETENCIONES / DESCUENTOS</t>
  </si>
  <si>
    <t>APORTACIONES DEL EMPLEADOR</t>
  </si>
  <si>
    <t>Sueldo computable</t>
  </si>
  <si>
    <t>AFP Obligatorio.</t>
  </si>
  <si>
    <t>Asignación Familiar</t>
  </si>
  <si>
    <t>AFP Comisión.</t>
  </si>
  <si>
    <t>Essalud</t>
  </si>
  <si>
    <t>Bono Producción</t>
  </si>
  <si>
    <t>AFP Seguro.</t>
  </si>
  <si>
    <t>Subsidios, Des.Medico o Otros</t>
  </si>
  <si>
    <t>Vacaciones</t>
  </si>
  <si>
    <t>Retenciones 5ta</t>
  </si>
  <si>
    <t>Gratificaciones</t>
  </si>
  <si>
    <t>Adelanto Quincena</t>
  </si>
  <si>
    <t>Descuentos por faltas</t>
  </si>
  <si>
    <t>Reintegro</t>
  </si>
  <si>
    <t>Otros descuentos</t>
  </si>
  <si>
    <t>Total Remuneraciones</t>
  </si>
  <si>
    <t>Total Descuentos</t>
  </si>
  <si>
    <t>Neto a Pagar</t>
  </si>
  <si>
    <t>EMPLEADOR</t>
  </si>
  <si>
    <t>TRABAJADOR</t>
  </si>
  <si>
    <t>___</t>
  </si>
  <si>
    <t>__</t>
  </si>
  <si>
    <t>VENTAS</t>
  </si>
  <si>
    <t>CALLIRGOS URBIZAGASTEGUI KARINA ROCIO</t>
  </si>
  <si>
    <t>628871JCVLE3</t>
  </si>
  <si>
    <t>HABITAT</t>
  </si>
  <si>
    <t>Com.Mixta/Saldo</t>
  </si>
  <si>
    <t>AYUDANTE DE EXTRUDER</t>
  </si>
  <si>
    <t>CALLACNA VALENCIA JOSE JOSE</t>
  </si>
  <si>
    <t>VELASQUEZ CAMPOS DAVIS JONATHAN</t>
  </si>
  <si>
    <t>639860AVCAP3</t>
  </si>
  <si>
    <t>VELASQUEZ CAMPOS ABIGAIL NOEMI</t>
  </si>
  <si>
    <t>584661JVRAA6</t>
  </si>
  <si>
    <t>PROFUTURO</t>
  </si>
  <si>
    <t>ALMACENERO</t>
  </si>
  <si>
    <t>VEGA ROSALES JOB EZEQUIEL</t>
  </si>
  <si>
    <t>582020SSAMI5</t>
  </si>
  <si>
    <t>PRIMA</t>
  </si>
  <si>
    <t>SECRETARIA</t>
  </si>
  <si>
    <t>SARMIENTO AURIS SONIA LIZ</t>
  </si>
  <si>
    <t>OBRERO DE CAUCHO</t>
  </si>
  <si>
    <t>RODRIGUEZ ROSAS REYNALDO GERMAN</t>
  </si>
  <si>
    <t>JEFE DE ESTRUDER</t>
  </si>
  <si>
    <t>PARCO CASTILLON SAUL</t>
  </si>
  <si>
    <t>343731RNPAN2</t>
  </si>
  <si>
    <t>NOLASCO PRINCIPE RONAL JACINTO</t>
  </si>
  <si>
    <t>DELINEANTE HERRAMIENTAS</t>
  </si>
  <si>
    <t>JARA LEON SAMUEL BERNALDO</t>
  </si>
  <si>
    <t>JEFE DE AUTOCLAVE</t>
  </si>
  <si>
    <t>HUAMANI CASAVILCA ROBERT WILLIAM</t>
  </si>
  <si>
    <t>FARFAN COLINA JOSE FRANCISCO</t>
  </si>
  <si>
    <t>642151FDRAI0</t>
  </si>
  <si>
    <t>PESADOR DE INSUMOS QUIMICOS</t>
  </si>
  <si>
    <t>DUPA RAMIREZ FRANCISCO NEMECIO</t>
  </si>
  <si>
    <t>TECNICO MECANICO</t>
  </si>
  <si>
    <t>CHAVEZ DIAZ SEGUNDO FRANKLIN</t>
  </si>
  <si>
    <t>CERRON FLORES JORGE ALBERTO</t>
  </si>
  <si>
    <t>GERENTE GENERAL</t>
  </si>
  <si>
    <t>CAMPOS ROLDAN JULIA  APOLINAR</t>
  </si>
  <si>
    <t>MOLINERO</t>
  </si>
  <si>
    <t>CAMPOS RODRIGUEZ RONY ROGGER</t>
  </si>
  <si>
    <t>AYUDANTE SULCA LOURDES ISABEL</t>
  </si>
  <si>
    <t>5ta Categoria</t>
  </si>
  <si>
    <t>OTROS DSCTOS - TARDANZAS</t>
  </si>
  <si>
    <t>PRESTAMO</t>
  </si>
  <si>
    <t>ADELANTO GRATIFICACION</t>
  </si>
  <si>
    <t>ADELANTO</t>
  </si>
  <si>
    <t>Aport
Afp</t>
  </si>
  <si>
    <t>Prim.
Afp</t>
  </si>
  <si>
    <t>Comis.
Afp</t>
  </si>
  <si>
    <t>Dsto
13% ONP</t>
  </si>
  <si>
    <t>REINTEGROS</t>
  </si>
  <si>
    <t>Devolucion De 5ta Categoria</t>
  </si>
  <si>
    <t>AGUINALDO</t>
  </si>
  <si>
    <t>BONO LEY</t>
  </si>
  <si>
    <t>FERIADO 25/10</t>
  </si>
  <si>
    <t>VAC. TRUNCAS</t>
  </si>
  <si>
    <t>GRATIF. TRUNCAS</t>
  </si>
  <si>
    <t>GRATIF.</t>
  </si>
  <si>
    <t>CTS</t>
  </si>
  <si>
    <t>HH.EE</t>
  </si>
  <si>
    <t>ASIG EDUCACION</t>
  </si>
  <si>
    <t>ASIG. TRANSPORTE</t>
  </si>
  <si>
    <t>COMPRA DE VACAC.</t>
  </si>
  <si>
    <t>VACACIONES</t>
  </si>
  <si>
    <t>ASIG. FAM.</t>
  </si>
  <si>
    <t>SUELDO BASICO</t>
  </si>
  <si>
    <t>TOTAL DIAS VAC.</t>
  </si>
  <si>
    <t>AL</t>
  </si>
  <si>
    <t>DEL</t>
  </si>
  <si>
    <t>TOTAL</t>
  </si>
  <si>
    <t>Promedio de HH.EE</t>
  </si>
  <si>
    <t>Suspension</t>
  </si>
  <si>
    <t>Feriado</t>
  </si>
  <si>
    <t>Faltas</t>
  </si>
  <si>
    <t>Total
Horas</t>
  </si>
  <si>
    <t>Total
Dias Asist</t>
  </si>
  <si>
    <t>CUENTA</t>
  </si>
  <si>
    <t>BANCO</t>
  </si>
  <si>
    <t>Nº CUSPP</t>
  </si>
  <si>
    <t>Sistema
Pension</t>
  </si>
  <si>
    <t>Fecha
Cese</t>
  </si>
  <si>
    <t>Fecha
Ingreso</t>
  </si>
  <si>
    <t>Fecha
Nacimiento</t>
  </si>
  <si>
    <t>Tipo de Comision</t>
  </si>
  <si>
    <t>Cargo</t>
  </si>
  <si>
    <t>Nombres y Apellidos</t>
  </si>
  <si>
    <t>N°</t>
  </si>
  <si>
    <t>Total Egresos</t>
  </si>
  <si>
    <t>Total Ingresos</t>
  </si>
  <si>
    <t>EGRESOS</t>
  </si>
  <si>
    <t>Base Dscto ONP/AFP</t>
  </si>
  <si>
    <t>INGRESOS</t>
  </si>
  <si>
    <t>Profuturo</t>
  </si>
  <si>
    <t>Prima</t>
  </si>
  <si>
    <t>Integra</t>
  </si>
  <si>
    <t>Habitat</t>
  </si>
  <si>
    <t>Horizonte</t>
  </si>
  <si>
    <t>Tope</t>
  </si>
  <si>
    <t>Total %</t>
  </si>
  <si>
    <t>Aport Obligat</t>
  </si>
  <si>
    <t>Prima Seguro</t>
  </si>
  <si>
    <t>Com. Mixta</t>
  </si>
  <si>
    <t>Com Por Flujo</t>
  </si>
  <si>
    <t>ó</t>
  </si>
  <si>
    <t>UIT</t>
  </si>
  <si>
    <t>Por el Exceso de</t>
  </si>
  <si>
    <t>y hasta</t>
  </si>
  <si>
    <t>Hasta</t>
  </si>
  <si>
    <t>TASA</t>
  </si>
  <si>
    <t>RENTA IMPONIBLE DE TRABAJO</t>
  </si>
  <si>
    <t>Valor de la UIT</t>
  </si>
  <si>
    <t>GRATIF</t>
  </si>
  <si>
    <t>NOVIEMBRE</t>
  </si>
  <si>
    <t>OCTUBRE</t>
  </si>
  <si>
    <t>SETIEMBRE</t>
  </si>
  <si>
    <t>AGOSTO</t>
  </si>
  <si>
    <t>JULIO</t>
  </si>
  <si>
    <t>JUNIO</t>
  </si>
  <si>
    <t>MAYO</t>
  </si>
  <si>
    <t>ABRIL</t>
  </si>
  <si>
    <t>MARZO</t>
  </si>
  <si>
    <t>FEBRERO</t>
  </si>
  <si>
    <t>ENERO</t>
  </si>
  <si>
    <t>RETENCION MENSUAL</t>
  </si>
  <si>
    <t>TOTAL RENTA ANUAL</t>
  </si>
  <si>
    <t>5to TRAMO</t>
  </si>
  <si>
    <t>4to TRAMO</t>
  </si>
  <si>
    <t>3er TRAMO</t>
  </si>
  <si>
    <t>2do TRAMO</t>
  </si>
  <si>
    <t>1ER TRAMO</t>
  </si>
  <si>
    <t>BASE DE CALCULO</t>
  </si>
  <si>
    <t>7 UIT</t>
  </si>
  <si>
    <t>PROMEDIO DE REMUNERACION</t>
  </si>
  <si>
    <t>TOTAL INGRESOS</t>
  </si>
  <si>
    <t>ASIG. TRANSPPORTE</t>
  </si>
  <si>
    <t>AAFF</t>
  </si>
  <si>
    <t>BASICO</t>
  </si>
  <si>
    <t>APELLIDOS Y NOMBRES</t>
  </si>
  <si>
    <t>DNI</t>
  </si>
  <si>
    <t>NUEVOS PARAMETROS - RENTA DE QUINTA CATEGORÍA 2018</t>
  </si>
  <si>
    <t>DIAS LABORADOS CALCULO CTS NOV A ABRIL X MONTOS</t>
  </si>
  <si>
    <t>ULTIMA GRAT 1/6 DIC</t>
  </si>
  <si>
    <t>DIAS LABORADOS PROVISION CALCULO CTS NOV A ABRIL</t>
  </si>
  <si>
    <t>INGENIERIA Y DESARROLLO DEL CAUCHO S.A.C.</t>
  </si>
  <si>
    <t>CAL.SANTA ISABEL NRO. 194 URB. LOS SAUCES LIMA - LIMA - ATE</t>
  </si>
  <si>
    <t>INDUSTRIAL</t>
  </si>
  <si>
    <t xml:space="preserve">APELLIDOS Y NOMBRES </t>
  </si>
  <si>
    <t>SISTEMA PENSIONES</t>
  </si>
  <si>
    <t>DIAS FERIADO Y/O DOMINICALES</t>
  </si>
  <si>
    <t>DIAS  SUBSIDIADO O DESC MED</t>
  </si>
  <si>
    <t>subsidiado desc med</t>
  </si>
  <si>
    <t>FALTAS Y/O SUSPENSIÓN (DIAS)</t>
  </si>
  <si>
    <t>ULTIMA GRAT 1/6 jul</t>
  </si>
  <si>
    <t>SELECCIONE PERIODO</t>
  </si>
  <si>
    <t>NOV - ABR</t>
  </si>
  <si>
    <t>MAY - OCT</t>
  </si>
  <si>
    <t/>
  </si>
  <si>
    <t>FECHA INGRESO</t>
  </si>
  <si>
    <t>ENE - JUN</t>
  </si>
  <si>
    <t>JUL - DIC</t>
  </si>
  <si>
    <t>CALCULO POR MESES INCLUYE EXTRA BONIFICACION</t>
  </si>
  <si>
    <t>PROVISION DE GASTO POR VACACIONES 2018</t>
  </si>
  <si>
    <t>SEPTIEMBRE</t>
  </si>
  <si>
    <t>CALCULO POR MESES</t>
  </si>
  <si>
    <t>----------------------------------- X -------------------------------------</t>
  </si>
  <si>
    <t>GASTOS DE PERSONAL, DIRECTORES Y GERENTES</t>
  </si>
  <si>
    <t>TRIBUTOS Y APORTES AL SISTEMA DE PENSIONES Y DE SALUD POR PAGAR</t>
  </si>
  <si>
    <t>ESSALUD</t>
  </si>
  <si>
    <t>SCTR</t>
  </si>
  <si>
    <t>REMUNERACIONES Y PARTICIPACIONES POR PAGAR</t>
  </si>
  <si>
    <t>REMUNERACIONES POR PAGAR</t>
  </si>
  <si>
    <t>Sueldos y Salarios por Pagar</t>
  </si>
  <si>
    <t>Regimen de Prestaciones de Salud ESSALUD</t>
  </si>
  <si>
    <t>Seguro Comp Trabajo de Riesgo,Acc.Trab. SCTR</t>
  </si>
  <si>
    <t>DEBE</t>
  </si>
  <si>
    <t>HABER</t>
  </si>
  <si>
    <t>CARGAS IMPUTABLES</t>
  </si>
  <si>
    <t xml:space="preserve">CUENTA </t>
  </si>
  <si>
    <t>DESCRIPCION</t>
  </si>
  <si>
    <t>PROD</t>
  </si>
  <si>
    <t>GERENTE  VENTAS</t>
  </si>
  <si>
    <t>AURES PEREZ DANITZA NELLY</t>
  </si>
  <si>
    <t xml:space="preserve">FLORES TORRE ANDREA SEGUNDINA </t>
  </si>
  <si>
    <t>AYUDANTE DE DETRACCION</t>
  </si>
  <si>
    <t>QUISPE TITO BETTY  CARMEN</t>
  </si>
  <si>
    <t>BCP</t>
  </si>
  <si>
    <t>CENTRO DE COSTO</t>
  </si>
  <si>
    <t>CUENTA CTS</t>
  </si>
  <si>
    <t>CRUZ GONZALES GILBERTO A</t>
  </si>
  <si>
    <t>Asignacion Familiar</t>
  </si>
  <si>
    <t>Bono Produccion</t>
  </si>
  <si>
    <t>Asignación Transporte Movilidad</t>
  </si>
  <si>
    <t>Asignación Educación</t>
  </si>
  <si>
    <t>Aportaciones ESSALUD</t>
  </si>
  <si>
    <t>Aportaciones SCTR</t>
  </si>
  <si>
    <t>SEGURO DE VIDA</t>
  </si>
  <si>
    <t>VENCIMIENTO CONTRATOS</t>
  </si>
  <si>
    <t xml:space="preserve">NO TIENE </t>
  </si>
  <si>
    <t>SENATI</t>
  </si>
  <si>
    <t>Aportaciones SENATI 0.75%</t>
  </si>
  <si>
    <t>BONO PRODUCCION</t>
  </si>
  <si>
    <t>91621101</t>
  </si>
  <si>
    <t>94621101</t>
  </si>
  <si>
    <t>95621101</t>
  </si>
  <si>
    <t>91627101</t>
  </si>
  <si>
    <t>94627101</t>
  </si>
  <si>
    <t>95627101</t>
  </si>
  <si>
    <t>91627301</t>
  </si>
  <si>
    <t>94627301</t>
  </si>
  <si>
    <t>95627301</t>
  </si>
  <si>
    <t>ADM</t>
  </si>
  <si>
    <t>Administradoras de Fondos de Pensiones Habitat</t>
  </si>
  <si>
    <t>Administradoras de Fondos de Pensiones Integra</t>
  </si>
  <si>
    <t>Administradoras de Fondos de Pensiones Prima</t>
  </si>
  <si>
    <t>Administradoras de Fondos de Pensiones Profuturo</t>
  </si>
  <si>
    <t>SUB</t>
  </si>
  <si>
    <t>Renta de Quinta Categoria (5ta)</t>
  </si>
  <si>
    <t>Movilidad Supeditada Traslado 0909</t>
  </si>
  <si>
    <t>Bonificacion Educación 0202</t>
  </si>
  <si>
    <t>Cargas Imput.a Cuentas de Costos y Gtos.</t>
  </si>
  <si>
    <t>GASTOS DE VENTA</t>
  </si>
  <si>
    <t>GASTOS ADMINISTRATIVOS</t>
  </si>
  <si>
    <t>GASTOS DE PRODUCCION</t>
  </si>
  <si>
    <t>91621402</t>
  </si>
  <si>
    <t>91621401</t>
  </si>
  <si>
    <t>94621401</t>
  </si>
  <si>
    <t>95621401</t>
  </si>
  <si>
    <t>Gratificaciones por Pagar</t>
  </si>
  <si>
    <t>94621402</t>
  </si>
  <si>
    <t>95621402</t>
  </si>
  <si>
    <t>Gratificaciones Bonificación Extraordinaria</t>
  </si>
  <si>
    <t>10410500</t>
  </si>
  <si>
    <t>BCP M/N 193-1654569-0-16</t>
  </si>
  <si>
    <t>10</t>
  </si>
  <si>
    <t>EFECTIVO Y EQUIVALENTES DE EFECTIVO</t>
  </si>
  <si>
    <t>DAVIS</t>
  </si>
  <si>
    <t>REGISTRO</t>
  </si>
  <si>
    <t>TOTALES</t>
  </si>
  <si>
    <t>91629101</t>
  </si>
  <si>
    <t>94629101</t>
  </si>
  <si>
    <t>95629101</t>
  </si>
  <si>
    <t>Compensacion por Tiempo de Servicios</t>
  </si>
  <si>
    <t>91621501</t>
  </si>
  <si>
    <t>94621501</t>
  </si>
  <si>
    <t>95621501</t>
  </si>
  <si>
    <t>Vacaciones por Pagar</t>
  </si>
  <si>
    <t>ESSALUD PROVISION VACACIONES</t>
  </si>
  <si>
    <t>SANDRA VERF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</si>
</sst>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_ * #,##0.00_ ;_ * \-#,##0.00_ ;_ * &quot;-&quot;??_ ;_ @_ "/>
    <numFmt numFmtId="165" formatCode="dd/mm/yyyy\ \ \ hh:mm:ss\ AM/PM;@"/>
    <numFmt numFmtId="166" formatCode="dd\-mm\-yy;@"/>
    <numFmt numFmtId="167" formatCode="0\ &quot;días&quot;"/>
    <numFmt numFmtId="168" formatCode="0\ &quot;horas&quot;"/>
    <numFmt numFmtId="169" formatCode="_ [$S/.-280A]\ * #,##0.00_ ;_ [$S/.-280A]\ * \-#,##0.00_ ;_ [$S/.-280A]\ * &quot;-&quot;??_ ;_ @_ "/>
    <numFmt numFmtId="170" formatCode="_(* #,##0.00_);_(* \(#,##0.00\);_(* &quot;-&quot;??_);_(@_)"/>
    <numFmt numFmtId="171" formatCode="_ * #,##0_ ;_ * \-#,##0_ ;_ * &quot;-&quot;??_ ;_ @_ "/>
    <numFmt numFmtId="172" formatCode="dd/mm/yyyy;@"/>
    <numFmt numFmtId="173" formatCode="00000000"/>
    <numFmt numFmtId="174" formatCode="#,##0.0000"/>
    <numFmt numFmtId="175" formatCode="00\ &quot;Dìas&quot;"/>
    <numFmt numFmtId="176" formatCode="00\ &quot;AÑOS&quot;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 Light"/>
      <family val="1"/>
      <scheme val="major"/>
    </font>
    <font>
      <u/>
      <sz val="11"/>
      <color theme="10"/>
      <name val="Calibri"/>
      <family val="2"/>
      <scheme val="minor"/>
    </font>
    <font>
      <u/>
      <sz val="11"/>
      <color indexed="12"/>
      <name val="Calibri Light"/>
      <family val="1"/>
      <scheme val="major"/>
    </font>
    <font>
      <sz val="11"/>
      <name val="Calibri Light"/>
      <family val="1"/>
      <scheme val="major"/>
    </font>
    <font>
      <b/>
      <sz val="11"/>
      <name val="Calibri Light"/>
      <family val="1"/>
      <scheme val="major"/>
    </font>
    <font>
      <b/>
      <sz val="16"/>
      <name val="Calibri Light"/>
      <family val="1"/>
      <scheme val="major"/>
    </font>
    <font>
      <sz val="8"/>
      <name val="Calibri Light"/>
      <family val="1"/>
      <scheme val="major"/>
    </font>
    <font>
      <b/>
      <u/>
      <sz val="11"/>
      <name val="Calibri Light"/>
      <family val="1"/>
      <scheme val="major"/>
    </font>
    <font>
      <b/>
      <i/>
      <sz val="11"/>
      <name val="Calibri Light"/>
      <family val="1"/>
      <scheme val="major"/>
    </font>
    <font>
      <sz val="11"/>
      <color theme="1"/>
      <name val="Calibri Light"/>
      <family val="1"/>
      <scheme val="major"/>
    </font>
    <font>
      <b/>
      <sz val="11"/>
      <color theme="1"/>
      <name val="Calibri Light"/>
      <family val="1"/>
      <scheme val="major"/>
    </font>
    <font>
      <b/>
      <sz val="9"/>
      <name val="Calibri Light"/>
      <family val="1"/>
      <scheme val="major"/>
    </font>
    <font>
      <b/>
      <sz val="10"/>
      <name val="Calibri Light"/>
      <family val="1"/>
      <scheme val="major"/>
    </font>
    <font>
      <sz val="10"/>
      <name val="Calibri Light"/>
      <family val="1"/>
      <scheme val="major"/>
    </font>
    <font>
      <b/>
      <sz val="8"/>
      <name val="Calibri Light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  <font>
      <b/>
      <u/>
      <sz val="18"/>
      <color theme="3"/>
      <name val="Calibri"/>
      <family val="2"/>
      <scheme val="minor"/>
    </font>
    <font>
      <sz val="18"/>
      <color theme="1"/>
      <name val="Cambria"/>
      <family val="1"/>
    </font>
    <font>
      <sz val="9"/>
      <name val="Cambria"/>
      <family val="1"/>
    </font>
    <font>
      <b/>
      <sz val="9"/>
      <name val="Cambria"/>
      <family val="1"/>
    </font>
    <font>
      <b/>
      <sz val="9"/>
      <color rgb="FFFF0000"/>
      <name val="Cambria"/>
      <family val="1"/>
    </font>
    <font>
      <sz val="9"/>
      <color rgb="FFFF0000"/>
      <name val="Cambria"/>
      <family val="1"/>
    </font>
    <font>
      <sz val="9"/>
      <color theme="1"/>
      <name val="Cambria"/>
      <family val="1"/>
    </font>
    <font>
      <b/>
      <sz val="9"/>
      <color theme="1"/>
      <name val="Cambria"/>
      <family val="1"/>
    </font>
    <font>
      <b/>
      <sz val="8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color rgb="FFFF0000"/>
      <name val="Cambria"/>
      <family val="1"/>
    </font>
    <font>
      <b/>
      <sz val="11"/>
      <color rgb="FF0070C0"/>
      <name val="Cambria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0" fontId="1" fillId="0" borderId="0"/>
    <xf numFmtId="0" fontId="21" fillId="0" borderId="0"/>
  </cellStyleXfs>
  <cellXfs count="461">
    <xf numFmtId="0" fontId="0" fillId="0" borderId="0" xfId="0"/>
    <xf numFmtId="0" fontId="3" fillId="2" borderId="0" xfId="0" applyFont="1" applyFill="1" applyBorder="1"/>
    <xf numFmtId="0" fontId="3" fillId="0" borderId="0" xfId="0" applyFont="1" applyFill="1" applyBorder="1"/>
    <xf numFmtId="0" fontId="3" fillId="0" borderId="0" xfId="0" applyFont="1" applyFill="1"/>
    <xf numFmtId="0" fontId="5" fillId="2" borderId="0" xfId="3" applyFont="1" applyFill="1" applyAlignment="1" applyProtection="1"/>
    <xf numFmtId="0" fontId="6" fillId="2" borderId="0" xfId="0" applyFont="1" applyFill="1"/>
    <xf numFmtId="0" fontId="7" fillId="2" borderId="0" xfId="0" applyFont="1" applyFill="1"/>
    <xf numFmtId="0" fontId="3" fillId="2" borderId="0" xfId="0" applyFont="1" applyFill="1"/>
    <xf numFmtId="14" fontId="6" fillId="2" borderId="0" xfId="0" applyNumberFormat="1" applyFont="1" applyFill="1"/>
    <xf numFmtId="0" fontId="7" fillId="2" borderId="0" xfId="0" applyFont="1" applyFill="1" applyBorder="1" applyAlignment="1">
      <alignment vertical="center" wrapText="1"/>
    </xf>
    <xf numFmtId="0" fontId="6" fillId="2" borderId="0" xfId="0" applyNumberFormat="1" applyFont="1" applyFill="1"/>
    <xf numFmtId="0" fontId="7" fillId="2" borderId="0" xfId="0" applyFont="1" applyFill="1" applyBorder="1" applyAlignment="1"/>
    <xf numFmtId="0" fontId="6" fillId="2" borderId="0" xfId="0" applyFont="1" applyFill="1" applyBorder="1" applyAlignment="1"/>
    <xf numFmtId="0" fontId="3" fillId="3" borderId="0" xfId="0" applyFont="1" applyFill="1"/>
    <xf numFmtId="0" fontId="10" fillId="2" borderId="0" xfId="0" applyFont="1" applyFill="1" applyAlignment="1"/>
    <xf numFmtId="0" fontId="10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/>
    </xf>
    <xf numFmtId="14" fontId="6" fillId="2" borderId="0" xfId="0" applyNumberFormat="1" applyFont="1" applyFill="1" applyAlignment="1">
      <alignment horizontal="center"/>
    </xf>
    <xf numFmtId="17" fontId="10" fillId="2" borderId="0" xfId="0" applyNumberFormat="1" applyFont="1" applyFill="1" applyAlignment="1"/>
    <xf numFmtId="0" fontId="3" fillId="3" borderId="1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13" fillId="5" borderId="5" xfId="0" applyFont="1" applyFill="1" applyBorder="1" applyAlignment="1" applyProtection="1">
      <alignment horizontal="center"/>
      <protection locked="0"/>
    </xf>
    <xf numFmtId="166" fontId="6" fillId="2" borderId="4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5" fillId="4" borderId="5" xfId="0" applyFont="1" applyFill="1" applyBorder="1" applyAlignment="1">
      <alignment horizontal="center"/>
    </xf>
    <xf numFmtId="14" fontId="6" fillId="2" borderId="5" xfId="0" applyNumberFormat="1" applyFont="1" applyFill="1" applyBorder="1" applyAlignment="1">
      <alignment horizontal="center" vertical="center"/>
    </xf>
    <xf numFmtId="166" fontId="7" fillId="2" borderId="5" xfId="0" applyNumberFormat="1" applyFont="1" applyFill="1" applyBorder="1" applyAlignment="1">
      <alignment horizontal="center" vertical="center"/>
    </xf>
    <xf numFmtId="167" fontId="7" fillId="2" borderId="5" xfId="0" applyNumberFormat="1" applyFont="1" applyFill="1" applyBorder="1" applyAlignment="1">
      <alignment horizontal="center" vertical="center"/>
    </xf>
    <xf numFmtId="0" fontId="7" fillId="2" borderId="0" xfId="0" applyFont="1" applyFill="1" applyBorder="1"/>
    <xf numFmtId="0" fontId="6" fillId="2" borderId="0" xfId="0" applyFont="1" applyFill="1" applyBorder="1"/>
    <xf numFmtId="167" fontId="7" fillId="2" borderId="2" xfId="0" applyNumberFormat="1" applyFont="1" applyFill="1" applyBorder="1" applyAlignment="1">
      <alignment horizontal="center"/>
    </xf>
    <xf numFmtId="168" fontId="6" fillId="2" borderId="5" xfId="0" applyNumberFormat="1" applyFont="1" applyFill="1" applyBorder="1" applyAlignment="1">
      <alignment horizontal="center"/>
    </xf>
    <xf numFmtId="167" fontId="6" fillId="2" borderId="5" xfId="0" applyNumberFormat="1" applyFont="1" applyFill="1" applyBorder="1" applyAlignment="1">
      <alignment horizontal="center" vertical="center"/>
    </xf>
    <xf numFmtId="168" fontId="6" fillId="2" borderId="5" xfId="0" applyNumberFormat="1" applyFont="1" applyFill="1" applyBorder="1"/>
    <xf numFmtId="0" fontId="12" fillId="2" borderId="0" xfId="0" applyNumberFormat="1" applyFont="1" applyFill="1" applyAlignment="1" applyProtection="1">
      <alignment horizontal="left"/>
      <protection locked="0"/>
    </xf>
    <xf numFmtId="0" fontId="3" fillId="2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6" fillId="2" borderId="14" xfId="0" applyFont="1" applyFill="1" applyBorder="1"/>
    <xf numFmtId="2" fontId="6" fillId="2" borderId="0" xfId="0" applyNumberFormat="1" applyFont="1" applyFill="1" applyBorder="1"/>
    <xf numFmtId="164" fontId="6" fillId="2" borderId="15" xfId="4" applyFont="1" applyFill="1" applyBorder="1"/>
    <xf numFmtId="164" fontId="6" fillId="2" borderId="0" xfId="4" applyFont="1" applyFill="1" applyBorder="1"/>
    <xf numFmtId="0" fontId="6" fillId="2" borderId="15" xfId="0" applyFont="1" applyFill="1" applyBorder="1"/>
    <xf numFmtId="0" fontId="6" fillId="2" borderId="14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right"/>
    </xf>
    <xf numFmtId="4" fontId="6" fillId="2" borderId="0" xfId="0" applyNumberFormat="1" applyFont="1" applyFill="1"/>
    <xf numFmtId="4" fontId="6" fillId="2" borderId="0" xfId="0" applyNumberFormat="1" applyFont="1" applyFill="1" applyBorder="1" applyAlignment="1"/>
    <xf numFmtId="4" fontId="6" fillId="2" borderId="0" xfId="0" applyNumberFormat="1" applyFont="1" applyFill="1" applyBorder="1" applyAlignment="1">
      <alignment horizontal="left"/>
    </xf>
    <xf numFmtId="4" fontId="6" fillId="2" borderId="0" xfId="0" applyNumberFormat="1" applyFont="1" applyFill="1" applyBorder="1"/>
    <xf numFmtId="164" fontId="6" fillId="2" borderId="0" xfId="4" applyFont="1" applyFill="1" applyBorder="1" applyAlignment="1">
      <alignment horizontal="right"/>
    </xf>
    <xf numFmtId="10" fontId="6" fillId="2" borderId="0" xfId="0" applyNumberFormat="1" applyFont="1" applyFill="1" applyBorder="1" applyAlignment="1">
      <alignment horizontal="right"/>
    </xf>
    <xf numFmtId="4" fontId="6" fillId="2" borderId="0" xfId="0" applyNumberFormat="1" applyFont="1" applyFill="1" applyBorder="1" applyAlignment="1">
      <alignment horizontal="center"/>
    </xf>
    <xf numFmtId="4" fontId="6" fillId="2" borderId="15" xfId="0" applyNumberFormat="1" applyFont="1" applyFill="1" applyBorder="1"/>
    <xf numFmtId="0" fontId="6" fillId="2" borderId="14" xfId="0" applyFont="1" applyFill="1" applyBorder="1" applyAlignment="1"/>
    <xf numFmtId="4" fontId="6" fillId="2" borderId="0" xfId="0" applyNumberFormat="1" applyFont="1" applyFill="1" applyBorder="1" applyAlignment="1">
      <alignment horizontal="right"/>
    </xf>
    <xf numFmtId="10" fontId="6" fillId="2" borderId="0" xfId="2" applyNumberFormat="1" applyFont="1" applyFill="1" applyBorder="1" applyAlignment="1">
      <alignment horizontal="right"/>
    </xf>
    <xf numFmtId="171" fontId="6" fillId="2" borderId="0" xfId="4" applyNumberFormat="1" applyFont="1" applyFill="1" applyBorder="1" applyAlignment="1"/>
    <xf numFmtId="4" fontId="6" fillId="2" borderId="14" xfId="0" applyNumberFormat="1" applyFont="1" applyFill="1" applyBorder="1" applyAlignment="1">
      <alignment horizontal="right"/>
    </xf>
    <xf numFmtId="10" fontId="6" fillId="2" borderId="0" xfId="0" applyNumberFormat="1" applyFont="1" applyFill="1" applyBorder="1" applyAlignment="1"/>
    <xf numFmtId="164" fontId="6" fillId="2" borderId="14" xfId="4" applyFont="1" applyFill="1" applyBorder="1" applyAlignment="1">
      <alignment horizontal="right"/>
    </xf>
    <xf numFmtId="4" fontId="6" fillId="2" borderId="14" xfId="0" applyNumberFormat="1" applyFont="1" applyFill="1" applyBorder="1"/>
    <xf numFmtId="4" fontId="15" fillId="2" borderId="5" xfId="0" applyNumberFormat="1" applyFont="1" applyFill="1" applyBorder="1" applyAlignment="1">
      <alignment vertical="center" wrapText="1"/>
    </xf>
    <xf numFmtId="4" fontId="7" fillId="2" borderId="5" xfId="0" applyNumberFormat="1" applyFont="1" applyFill="1" applyBorder="1" applyAlignment="1">
      <alignment vertical="center" wrapText="1"/>
    </xf>
    <xf numFmtId="0" fontId="14" fillId="2" borderId="0" xfId="0" applyFont="1" applyFill="1" applyAlignment="1">
      <alignment vertical="center" wrapText="1"/>
    </xf>
    <xf numFmtId="0" fontId="14" fillId="0" borderId="0" xfId="0" applyFont="1" applyFill="1" applyAlignment="1">
      <alignment vertical="center" wrapText="1"/>
    </xf>
    <xf numFmtId="164" fontId="6" fillId="2" borderId="0" xfId="0" applyNumberFormat="1" applyFont="1" applyFill="1"/>
    <xf numFmtId="2" fontId="6" fillId="2" borderId="0" xfId="0" applyNumberFormat="1" applyFont="1" applyFill="1"/>
    <xf numFmtId="10" fontId="6" fillId="2" borderId="0" xfId="0" applyNumberFormat="1" applyFont="1" applyFill="1"/>
    <xf numFmtId="4" fontId="3" fillId="2" borderId="0" xfId="0" applyNumberFormat="1" applyFont="1" applyFill="1"/>
    <xf numFmtId="164" fontId="6" fillId="2" borderId="0" xfId="4" applyFont="1" applyFill="1"/>
    <xf numFmtId="164" fontId="16" fillId="2" borderId="0" xfId="4" applyFont="1" applyFill="1"/>
    <xf numFmtId="0" fontId="6" fillId="2" borderId="11" xfId="0" applyFont="1" applyFill="1" applyBorder="1"/>
    <xf numFmtId="0" fontId="14" fillId="2" borderId="0" xfId="0" applyFont="1" applyFill="1"/>
    <xf numFmtId="0" fontId="14" fillId="0" borderId="0" xfId="0" applyFont="1" applyFill="1"/>
    <xf numFmtId="0" fontId="6" fillId="2" borderId="0" xfId="0" applyFont="1" applyFill="1" applyAlignment="1">
      <alignment horizontal="center"/>
    </xf>
    <xf numFmtId="4" fontId="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6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0" fontId="22" fillId="0" borderId="5" xfId="5" applyFont="1" applyFill="1" applyBorder="1"/>
    <xf numFmtId="164" fontId="2" fillId="0" borderId="3" xfId="0" applyNumberFormat="1" applyFont="1" applyBorder="1"/>
    <xf numFmtId="164" fontId="1" fillId="0" borderId="5" xfId="1" applyFont="1" applyBorder="1"/>
    <xf numFmtId="2" fontId="0" fillId="0" borderId="5" xfId="0" applyNumberFormat="1" applyBorder="1"/>
    <xf numFmtId="164" fontId="22" fillId="2" borderId="5" xfId="5" applyNumberFormat="1" applyFont="1" applyFill="1" applyBorder="1"/>
    <xf numFmtId="0" fontId="2" fillId="9" borderId="5" xfId="0" applyFont="1" applyFill="1" applyBorder="1"/>
    <xf numFmtId="175" fontId="0" fillId="0" borderId="5" xfId="0" applyNumberFormat="1" applyBorder="1"/>
    <xf numFmtId="0" fontId="6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2" fillId="9" borderId="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24" fillId="0" borderId="0" xfId="0" applyFont="1" applyAlignment="1">
      <alignment horizontal="center"/>
    </xf>
    <xf numFmtId="14" fontId="22" fillId="0" borderId="5" xfId="5" applyNumberFormat="1" applyFont="1" applyFill="1" applyBorder="1"/>
    <xf numFmtId="0" fontId="2" fillId="9" borderId="5" xfId="0" applyFont="1" applyFill="1" applyBorder="1" applyAlignment="1">
      <alignment horizontal="center"/>
    </xf>
    <xf numFmtId="0" fontId="0" fillId="11" borderId="1" xfId="0" applyFill="1" applyBorder="1"/>
    <xf numFmtId="0" fontId="2" fillId="0" borderId="0" xfId="0" applyFont="1"/>
    <xf numFmtId="0" fontId="25" fillId="0" borderId="0" xfId="0" applyFont="1" applyFill="1"/>
    <xf numFmtId="0" fontId="25" fillId="0" borderId="0" xfId="0" applyFont="1" applyFill="1" applyAlignment="1">
      <alignment horizontal="center"/>
    </xf>
    <xf numFmtId="164" fontId="25" fillId="0" borderId="0" xfId="1" applyFont="1" applyFill="1"/>
    <xf numFmtId="164" fontId="25" fillId="0" borderId="0" xfId="0" applyNumberFormat="1" applyFont="1" applyFill="1"/>
    <xf numFmtId="0" fontId="25" fillId="0" borderId="0" xfId="0" applyFont="1" applyFill="1" applyBorder="1"/>
    <xf numFmtId="164" fontId="25" fillId="0" borderId="0" xfId="1" applyFont="1" applyFill="1" applyBorder="1"/>
    <xf numFmtId="164" fontId="25" fillId="0" borderId="0" xfId="0" applyNumberFormat="1" applyFont="1" applyFill="1" applyBorder="1"/>
    <xf numFmtId="0" fontId="26" fillId="0" borderId="5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5" fillId="0" borderId="5" xfId="0" applyFont="1" applyFill="1" applyBorder="1" applyAlignment="1">
      <alignment horizontal="center"/>
    </xf>
    <xf numFmtId="10" fontId="25" fillId="0" borderId="5" xfId="0" applyNumberFormat="1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164" fontId="25" fillId="0" borderId="0" xfId="1" applyFont="1" applyFill="1" applyBorder="1" applyAlignment="1">
      <alignment horizontal="center"/>
    </xf>
    <xf numFmtId="164" fontId="25" fillId="0" borderId="0" xfId="0" applyNumberFormat="1" applyFont="1" applyFill="1" applyBorder="1" applyAlignment="1">
      <alignment horizontal="center"/>
    </xf>
    <xf numFmtId="164" fontId="25" fillId="0" borderId="0" xfId="0" applyNumberFormat="1" applyFont="1" applyFill="1" applyAlignment="1">
      <alignment horizontal="center"/>
    </xf>
    <xf numFmtId="0" fontId="27" fillId="0" borderId="5" xfId="0" applyFont="1" applyFill="1" applyBorder="1"/>
    <xf numFmtId="10" fontId="28" fillId="0" borderId="5" xfId="0" applyNumberFormat="1" applyFont="1" applyFill="1" applyBorder="1"/>
    <xf numFmtId="4" fontId="28" fillId="0" borderId="5" xfId="0" applyNumberFormat="1" applyFont="1" applyFill="1" applyBorder="1"/>
    <xf numFmtId="4" fontId="25" fillId="0" borderId="0" xfId="0" applyNumberFormat="1" applyFont="1" applyFill="1" applyBorder="1"/>
    <xf numFmtId="164" fontId="25" fillId="0" borderId="0" xfId="0" applyNumberFormat="1" applyFont="1" applyFill="1" applyBorder="1" applyProtection="1"/>
    <xf numFmtId="0" fontId="26" fillId="0" borderId="5" xfId="0" applyFont="1" applyFill="1" applyBorder="1"/>
    <xf numFmtId="10" fontId="25" fillId="0" borderId="5" xfId="0" applyNumberFormat="1" applyFont="1" applyFill="1" applyBorder="1"/>
    <xf numFmtId="4" fontId="25" fillId="0" borderId="5" xfId="0" applyNumberFormat="1" applyFont="1" applyFill="1" applyBorder="1"/>
    <xf numFmtId="14" fontId="25" fillId="0" borderId="0" xfId="0" applyNumberFormat="1" applyFont="1" applyFill="1" applyBorder="1" applyAlignment="1">
      <alignment horizontal="center"/>
    </xf>
    <xf numFmtId="0" fontId="25" fillId="0" borderId="0" xfId="0" quotePrefix="1" applyFont="1" applyFill="1" applyBorder="1" applyAlignment="1">
      <alignment horizontal="center"/>
    </xf>
    <xf numFmtId="10" fontId="25" fillId="0" borderId="0" xfId="0" applyNumberFormat="1" applyFont="1" applyFill="1"/>
    <xf numFmtId="14" fontId="26" fillId="0" borderId="0" xfId="0" applyNumberFormat="1" applyFont="1" applyFill="1" applyBorder="1" applyAlignment="1">
      <alignment horizontal="center"/>
    </xf>
    <xf numFmtId="0" fontId="26" fillId="0" borderId="0" xfId="0" applyFont="1" applyFill="1" applyBorder="1"/>
    <xf numFmtId="10" fontId="25" fillId="0" borderId="0" xfId="0" applyNumberFormat="1" applyFont="1" applyFill="1" applyBorder="1"/>
    <xf numFmtId="9" fontId="26" fillId="7" borderId="9" xfId="1" applyNumberFormat="1" applyFont="1" applyFill="1" applyBorder="1" applyAlignment="1">
      <alignment horizontal="center" vertical="center" wrapText="1"/>
    </xf>
    <xf numFmtId="164" fontId="26" fillId="7" borderId="9" xfId="0" applyNumberFormat="1" applyFont="1" applyFill="1" applyBorder="1" applyAlignment="1">
      <alignment vertical="center"/>
    </xf>
    <xf numFmtId="164" fontId="26" fillId="0" borderId="0" xfId="0" applyNumberFormat="1" applyFont="1" applyFill="1" applyBorder="1" applyAlignment="1">
      <alignment horizontal="center" vertical="top" wrapText="1"/>
    </xf>
    <xf numFmtId="9" fontId="26" fillId="7" borderId="13" xfId="1" applyNumberFormat="1" applyFont="1" applyFill="1" applyBorder="1" applyAlignment="1">
      <alignment horizontal="center" vertical="center" wrapText="1"/>
    </xf>
    <xf numFmtId="164" fontId="26" fillId="7" borderId="9" xfId="0" applyNumberFormat="1" applyFont="1" applyFill="1" applyBorder="1" applyAlignment="1">
      <alignment vertical="center" wrapText="1"/>
    </xf>
    <xf numFmtId="0" fontId="25" fillId="0" borderId="5" xfId="0" applyFont="1" applyFill="1" applyBorder="1" applyAlignment="1">
      <alignment horizontal="center" vertical="center"/>
    </xf>
    <xf numFmtId="4" fontId="25" fillId="0" borderId="0" xfId="0" applyNumberFormat="1" applyFont="1" applyFill="1"/>
    <xf numFmtId="0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13" xfId="0" applyFont="1" applyFill="1" applyBorder="1"/>
    <xf numFmtId="0" fontId="25" fillId="0" borderId="13" xfId="0" applyFont="1" applyFill="1" applyBorder="1" applyAlignment="1">
      <alignment horizontal="center"/>
    </xf>
    <xf numFmtId="164" fontId="25" fillId="0" borderId="13" xfId="1" applyFont="1" applyFill="1" applyBorder="1"/>
    <xf numFmtId="164" fontId="25" fillId="0" borderId="13" xfId="0" applyNumberFormat="1" applyFont="1" applyFill="1" applyBorder="1"/>
    <xf numFmtId="0" fontId="26" fillId="0" borderId="5" xfId="0" applyFont="1" applyFill="1" applyBorder="1" applyAlignment="1">
      <alignment horizontal="center" vertical="center"/>
    </xf>
    <xf numFmtId="4" fontId="25" fillId="0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Alignment="1">
      <alignment horizontal="center" vertical="center"/>
    </xf>
    <xf numFmtId="10" fontId="28" fillId="0" borderId="5" xfId="0" applyNumberFormat="1" applyFont="1" applyFill="1" applyBorder="1" applyAlignment="1">
      <alignment horizontal="center" vertical="center"/>
    </xf>
    <xf numFmtId="10" fontId="25" fillId="0" borderId="5" xfId="0" applyNumberFormat="1" applyFont="1" applyFill="1" applyBorder="1" applyAlignment="1">
      <alignment horizontal="center" vertical="center"/>
    </xf>
    <xf numFmtId="10" fontId="25" fillId="0" borderId="0" xfId="0" applyNumberFormat="1" applyFont="1" applyFill="1" applyBorder="1" applyAlignment="1">
      <alignment horizontal="center" vertical="center"/>
    </xf>
    <xf numFmtId="14" fontId="25" fillId="0" borderId="13" xfId="0" applyNumberFormat="1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4" fontId="26" fillId="0" borderId="0" xfId="0" applyNumberFormat="1" applyFont="1" applyFill="1" applyBorder="1" applyAlignment="1">
      <alignment horizontal="center"/>
    </xf>
    <xf numFmtId="173" fontId="29" fillId="0" borderId="0" xfId="5" applyNumberFormat="1" applyFont="1" applyFill="1" applyBorder="1"/>
    <xf numFmtId="0" fontId="29" fillId="0" borderId="9" xfId="0" applyFont="1" applyFill="1" applyBorder="1" applyAlignment="1">
      <alignment horizontal="center"/>
    </xf>
    <xf numFmtId="14" fontId="29" fillId="0" borderId="9" xfId="0" applyNumberFormat="1" applyFont="1" applyFill="1" applyBorder="1" applyAlignment="1">
      <alignment horizontal="center" vertical="center"/>
    </xf>
    <xf numFmtId="172" fontId="29" fillId="0" borderId="0" xfId="5" applyNumberFormat="1" applyFont="1" applyFill="1" applyBorder="1" applyAlignment="1">
      <alignment horizontal="center" vertical="center"/>
    </xf>
    <xf numFmtId="14" fontId="29" fillId="0" borderId="6" xfId="0" applyNumberFormat="1" applyFont="1" applyFill="1" applyBorder="1" applyAlignment="1">
      <alignment horizontal="center"/>
    </xf>
    <xf numFmtId="0" fontId="29" fillId="0" borderId="9" xfId="5" applyFont="1" applyFill="1" applyBorder="1" applyAlignment="1">
      <alignment horizontal="center"/>
    </xf>
    <xf numFmtId="0" fontId="29" fillId="0" borderId="8" xfId="0" applyNumberFormat="1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vertical="center"/>
    </xf>
    <xf numFmtId="2" fontId="29" fillId="0" borderId="9" xfId="0" applyNumberFormat="1" applyFont="1" applyFill="1" applyBorder="1" applyAlignment="1">
      <alignment horizontal="center" vertical="center"/>
    </xf>
    <xf numFmtId="1" fontId="29" fillId="0" borderId="9" xfId="0" applyNumberFormat="1" applyFont="1" applyFill="1" applyBorder="1" applyAlignment="1">
      <alignment horizontal="center" vertical="center"/>
    </xf>
    <xf numFmtId="175" fontId="29" fillId="0" borderId="9" xfId="0" applyNumberFormat="1" applyFont="1" applyFill="1" applyBorder="1" applyAlignment="1">
      <alignment horizontal="center" vertical="center"/>
    </xf>
    <xf numFmtId="4" fontId="29" fillId="0" borderId="9" xfId="0" applyNumberFormat="1" applyFont="1" applyFill="1" applyBorder="1" applyAlignment="1">
      <alignment horizontal="right"/>
    </xf>
    <xf numFmtId="164" fontId="29" fillId="0" borderId="9" xfId="1" applyFont="1" applyFill="1" applyBorder="1" applyAlignment="1" applyProtection="1">
      <alignment vertical="center"/>
      <protection locked="0"/>
    </xf>
    <xf numFmtId="164" fontId="29" fillId="0" borderId="16" xfId="1" applyFont="1" applyFill="1" applyBorder="1" applyAlignment="1" applyProtection="1">
      <alignment vertical="center"/>
      <protection locked="0"/>
    </xf>
    <xf numFmtId="164" fontId="29" fillId="0" borderId="16" xfId="1" applyFont="1" applyFill="1" applyBorder="1" applyAlignment="1">
      <alignment horizontal="center" vertical="center"/>
    </xf>
    <xf numFmtId="164" fontId="29" fillId="0" borderId="5" xfId="1" applyFont="1" applyFill="1" applyBorder="1" applyAlignment="1">
      <alignment horizontal="center" vertical="center"/>
    </xf>
    <xf numFmtId="14" fontId="29" fillId="0" borderId="16" xfId="1" applyNumberFormat="1" applyFont="1" applyFill="1" applyBorder="1" applyAlignment="1">
      <alignment horizontal="center" vertical="center"/>
    </xf>
    <xf numFmtId="2" fontId="29" fillId="0" borderId="9" xfId="1" applyNumberFormat="1" applyFont="1" applyFill="1" applyBorder="1" applyAlignment="1">
      <alignment horizontal="center"/>
    </xf>
    <xf numFmtId="164" fontId="29" fillId="0" borderId="9" xfId="0" applyNumberFormat="1" applyFont="1" applyFill="1" applyBorder="1" applyAlignment="1">
      <alignment horizontal="center" vertical="center"/>
    </xf>
    <xf numFmtId="164" fontId="29" fillId="0" borderId="9" xfId="0" applyNumberFormat="1" applyFont="1" applyFill="1" applyBorder="1" applyAlignment="1">
      <alignment horizontal="center"/>
    </xf>
    <xf numFmtId="0" fontId="29" fillId="0" borderId="0" xfId="0" applyFont="1" applyFill="1"/>
    <xf numFmtId="164" fontId="29" fillId="0" borderId="9" xfId="0" applyNumberFormat="1" applyFont="1" applyFill="1" applyBorder="1" applyAlignment="1" applyProtection="1">
      <alignment horizontal="center" wrapText="1"/>
      <protection locked="0"/>
    </xf>
    <xf numFmtId="164" fontId="29" fillId="0" borderId="9" xfId="0" applyNumberFormat="1" applyFont="1" applyFill="1" applyBorder="1" applyAlignment="1">
      <alignment horizontal="right"/>
    </xf>
    <xf numFmtId="164" fontId="29" fillId="0" borderId="5" xfId="0" applyNumberFormat="1" applyFont="1" applyFill="1" applyBorder="1" applyAlignment="1">
      <alignment horizontal="center"/>
    </xf>
    <xf numFmtId="164" fontId="29" fillId="0" borderId="5" xfId="0" applyNumberFormat="1" applyFont="1" applyFill="1" applyBorder="1" applyAlignment="1">
      <alignment horizontal="right"/>
    </xf>
    <xf numFmtId="164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/>
    <xf numFmtId="0" fontId="29" fillId="0" borderId="5" xfId="5" applyFont="1" applyFill="1" applyBorder="1"/>
    <xf numFmtId="0" fontId="29" fillId="0" borderId="5" xfId="0" applyFont="1" applyFill="1" applyBorder="1" applyAlignment="1">
      <alignment horizontal="center"/>
    </xf>
    <xf numFmtId="14" fontId="29" fillId="0" borderId="5" xfId="0" applyNumberFormat="1" applyFont="1" applyFill="1" applyBorder="1" applyAlignment="1">
      <alignment horizontal="center" vertical="center"/>
    </xf>
    <xf numFmtId="172" fontId="29" fillId="0" borderId="5" xfId="5" applyNumberFormat="1" applyFont="1" applyFill="1" applyBorder="1" applyAlignment="1">
      <alignment horizontal="center" vertical="center"/>
    </xf>
    <xf numFmtId="14" fontId="29" fillId="0" borderId="5" xfId="0" applyNumberFormat="1" applyFont="1" applyFill="1" applyBorder="1" applyAlignment="1">
      <alignment horizontal="center"/>
    </xf>
    <xf numFmtId="4" fontId="29" fillId="0" borderId="5" xfId="5" applyNumberFormat="1" applyFont="1" applyFill="1" applyBorder="1" applyAlignment="1">
      <alignment horizontal="center"/>
    </xf>
    <xf numFmtId="0" fontId="29" fillId="0" borderId="5" xfId="0" applyNumberFormat="1" applyFont="1" applyFill="1" applyBorder="1" applyAlignment="1">
      <alignment horizontal="center" vertical="center"/>
    </xf>
    <xf numFmtId="0" fontId="29" fillId="0" borderId="5" xfId="0" applyFont="1" applyFill="1" applyBorder="1" applyAlignment="1">
      <alignment vertical="center"/>
    </xf>
    <xf numFmtId="4" fontId="29" fillId="0" borderId="5" xfId="0" applyNumberFormat="1" applyFont="1" applyFill="1" applyBorder="1" applyAlignment="1">
      <alignment horizontal="right"/>
    </xf>
    <xf numFmtId="164" fontId="29" fillId="0" borderId="5" xfId="1" applyFont="1" applyFill="1" applyBorder="1" applyAlignment="1" applyProtection="1">
      <alignment vertical="center"/>
      <protection locked="0"/>
    </xf>
    <xf numFmtId="14" fontId="29" fillId="0" borderId="5" xfId="1" applyNumberFormat="1" applyFont="1" applyFill="1" applyBorder="1" applyAlignment="1">
      <alignment horizontal="center" vertical="center"/>
    </xf>
    <xf numFmtId="2" fontId="29" fillId="0" borderId="5" xfId="1" applyNumberFormat="1" applyFont="1" applyFill="1" applyBorder="1" applyAlignment="1">
      <alignment horizontal="center"/>
    </xf>
    <xf numFmtId="164" fontId="29" fillId="0" borderId="5" xfId="0" applyNumberFormat="1" applyFont="1" applyFill="1" applyBorder="1" applyAlignment="1" applyProtection="1">
      <alignment horizontal="center" wrapText="1"/>
      <protection locked="0"/>
    </xf>
    <xf numFmtId="173" fontId="29" fillId="0" borderId="5" xfId="5" applyNumberFormat="1" applyFont="1" applyFill="1" applyBorder="1"/>
    <xf numFmtId="0" fontId="29" fillId="0" borderId="5" xfId="0" applyFont="1" applyFill="1" applyBorder="1" applyAlignment="1">
      <alignment horizontal="center" vertical="center"/>
    </xf>
    <xf numFmtId="0" fontId="29" fillId="0" borderId="5" xfId="5" applyFont="1" applyFill="1" applyBorder="1" applyAlignment="1">
      <alignment horizontal="center"/>
    </xf>
    <xf numFmtId="2" fontId="29" fillId="0" borderId="5" xfId="1" applyNumberFormat="1" applyFont="1" applyFill="1" applyBorder="1" applyAlignment="1">
      <alignment horizontal="center" vertical="center"/>
    </xf>
    <xf numFmtId="0" fontId="29" fillId="0" borderId="5" xfId="0" applyFont="1" applyFill="1" applyBorder="1"/>
    <xf numFmtId="173" fontId="29" fillId="0" borderId="5" xfId="5" applyNumberFormat="1" applyFont="1" applyFill="1" applyBorder="1" applyAlignment="1">
      <alignment horizontal="left"/>
    </xf>
    <xf numFmtId="0" fontId="29" fillId="0" borderId="9" xfId="0" applyFont="1" applyFill="1" applyBorder="1"/>
    <xf numFmtId="16" fontId="29" fillId="0" borderId="5" xfId="0" applyNumberFormat="1" applyFont="1" applyFill="1" applyBorder="1" applyAlignment="1">
      <alignment horizontal="center" vertical="center"/>
    </xf>
    <xf numFmtId="173" fontId="29" fillId="0" borderId="5" xfId="5" applyNumberFormat="1" applyFont="1" applyFill="1" applyBorder="1" applyAlignment="1">
      <alignment horizontal="right"/>
    </xf>
    <xf numFmtId="0" fontId="29" fillId="0" borderId="5" xfId="5" applyFont="1" applyFill="1" applyBorder="1" applyAlignment="1">
      <alignment horizontal="left"/>
    </xf>
    <xf numFmtId="14" fontId="29" fillId="0" borderId="5" xfId="0" applyNumberFormat="1" applyFont="1" applyFill="1" applyBorder="1" applyAlignment="1">
      <alignment horizontal="center" vertical="center" wrapText="1"/>
    </xf>
    <xf numFmtId="0" fontId="29" fillId="0" borderId="5" xfId="5" applyFont="1" applyFill="1" applyBorder="1" applyAlignment="1">
      <alignment horizontal="right"/>
    </xf>
    <xf numFmtId="0" fontId="29" fillId="0" borderId="5" xfId="0" applyFont="1" applyFill="1" applyBorder="1" applyAlignment="1"/>
    <xf numFmtId="164" fontId="29" fillId="0" borderId="5" xfId="0" applyNumberFormat="1" applyFont="1" applyFill="1" applyBorder="1"/>
    <xf numFmtId="164" fontId="29" fillId="0" borderId="0" xfId="0" applyNumberFormat="1" applyFont="1" applyFill="1" applyBorder="1"/>
    <xf numFmtId="0" fontId="29" fillId="0" borderId="10" xfId="0" applyFont="1" applyFill="1" applyBorder="1" applyAlignment="1">
      <alignment horizontal="center"/>
    </xf>
    <xf numFmtId="14" fontId="29" fillId="0" borderId="5" xfId="0" applyNumberFormat="1" applyFont="1" applyFill="1" applyBorder="1"/>
    <xf numFmtId="1" fontId="29" fillId="0" borderId="5" xfId="0" applyNumberFormat="1" applyFont="1" applyFill="1" applyBorder="1" applyAlignment="1">
      <alignment horizontal="center" vertical="center"/>
    </xf>
    <xf numFmtId="49" fontId="29" fillId="0" borderId="5" xfId="6" quotePrefix="1" applyNumberFormat="1" applyFont="1" applyFill="1" applyBorder="1" applyAlignment="1" applyProtection="1">
      <alignment horizontal="center"/>
      <protection locked="0"/>
    </xf>
    <xf numFmtId="0" fontId="29" fillId="0" borderId="9" xfId="5" applyFont="1" applyFill="1" applyBorder="1"/>
    <xf numFmtId="0" fontId="29" fillId="0" borderId="9" xfId="5" applyFont="1" applyFill="1" applyBorder="1" applyAlignment="1">
      <alignment horizontal="left"/>
    </xf>
    <xf numFmtId="14" fontId="29" fillId="0" borderId="9" xfId="0" applyNumberFormat="1" applyFont="1" applyFill="1" applyBorder="1" applyAlignment="1">
      <alignment horizontal="center"/>
    </xf>
    <xf numFmtId="172" fontId="29" fillId="0" borderId="9" xfId="5" applyNumberFormat="1" applyFont="1" applyFill="1" applyBorder="1" applyAlignment="1">
      <alignment horizontal="center" vertical="center"/>
    </xf>
    <xf numFmtId="164" fontId="29" fillId="0" borderId="9" xfId="1" applyFont="1" applyFill="1" applyBorder="1"/>
    <xf numFmtId="164" fontId="30" fillId="0" borderId="9" xfId="0" applyNumberFormat="1" applyFont="1" applyFill="1" applyBorder="1" applyAlignment="1">
      <alignment horizontal="center"/>
    </xf>
    <xf numFmtId="164" fontId="29" fillId="0" borderId="5" xfId="1" applyFont="1" applyFill="1" applyBorder="1"/>
    <xf numFmtId="2" fontId="29" fillId="0" borderId="5" xfId="0" applyNumberFormat="1" applyFont="1" applyFill="1" applyBorder="1"/>
    <xf numFmtId="2" fontId="29" fillId="0" borderId="9" xfId="0" applyNumberFormat="1" applyFont="1" applyFill="1" applyBorder="1"/>
    <xf numFmtId="164" fontId="29" fillId="0" borderId="9" xfId="1" applyFont="1" applyFill="1" applyBorder="1" applyAlignment="1">
      <alignment horizontal="center" vertical="center"/>
    </xf>
    <xf numFmtId="164" fontId="29" fillId="0" borderId="9" xfId="0" applyNumberFormat="1" applyFont="1" applyFill="1" applyBorder="1"/>
    <xf numFmtId="0" fontId="29" fillId="0" borderId="5" xfId="5" quotePrefix="1" applyFont="1" applyFill="1" applyBorder="1"/>
    <xf numFmtId="2" fontId="29" fillId="0" borderId="5" xfId="0" applyNumberFormat="1" applyFont="1" applyFill="1" applyBorder="1" applyAlignment="1">
      <alignment horizontal="center" vertical="center"/>
    </xf>
    <xf numFmtId="164" fontId="30" fillId="0" borderId="5" xfId="0" applyNumberFormat="1" applyFont="1" applyFill="1" applyBorder="1" applyAlignment="1">
      <alignment horizontal="center"/>
    </xf>
    <xf numFmtId="0" fontId="29" fillId="0" borderId="13" xfId="0" applyFont="1" applyFill="1" applyBorder="1" applyAlignment="1">
      <alignment horizontal="center"/>
    </xf>
    <xf numFmtId="0" fontId="29" fillId="0" borderId="0" xfId="5" applyFont="1" applyFill="1" applyBorder="1"/>
    <xf numFmtId="4" fontId="29" fillId="0" borderId="9" xfId="0" applyNumberFormat="1" applyFont="1" applyFill="1" applyBorder="1" applyAlignment="1" applyProtection="1">
      <alignment horizontal="center" vertical="center"/>
      <protection locked="0"/>
    </xf>
    <xf numFmtId="49" fontId="29" fillId="0" borderId="7" xfId="6" quotePrefix="1" applyNumberFormat="1" applyFont="1" applyFill="1" applyBorder="1" applyAlignment="1" applyProtection="1">
      <alignment horizontal="center" vertical="center"/>
      <protection locked="0"/>
    </xf>
    <xf numFmtId="4" fontId="29" fillId="0" borderId="5" xfId="0" applyNumberFormat="1" applyFont="1" applyFill="1" applyBorder="1" applyAlignment="1" applyProtection="1">
      <alignment horizontal="center" vertical="center"/>
      <protection locked="0"/>
    </xf>
    <xf numFmtId="49" fontId="29" fillId="0" borderId="5" xfId="0" applyNumberFormat="1" applyFont="1" applyFill="1" applyBorder="1" applyAlignment="1" applyProtection="1">
      <alignment horizontal="center" vertical="center"/>
      <protection locked="0"/>
    </xf>
    <xf numFmtId="49" fontId="29" fillId="0" borderId="5" xfId="7" applyNumberFormat="1" applyFont="1" applyFill="1" applyBorder="1" applyAlignment="1" applyProtection="1">
      <alignment horizontal="center" vertical="center"/>
      <protection locked="0"/>
    </xf>
    <xf numFmtId="4" fontId="29" fillId="0" borderId="5" xfId="0" applyNumberFormat="1" applyFont="1" applyFill="1" applyBorder="1" applyAlignment="1">
      <alignment horizontal="right" vertical="center"/>
    </xf>
    <xf numFmtId="49" fontId="29" fillId="0" borderId="5" xfId="6" quotePrefix="1" applyNumberFormat="1" applyFont="1" applyFill="1" applyBorder="1" applyAlignment="1" applyProtection="1">
      <alignment horizontal="center" vertical="center"/>
      <protection locked="0"/>
    </xf>
    <xf numFmtId="0" fontId="29" fillId="0" borderId="5" xfId="0" quotePrefix="1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29" fillId="0" borderId="9" xfId="5" quotePrefix="1" applyFont="1" applyFill="1" applyBorder="1"/>
    <xf numFmtId="164" fontId="29" fillId="0" borderId="16" xfId="0" applyNumberFormat="1" applyFont="1" applyFill="1" applyBorder="1" applyAlignment="1">
      <alignment horizontal="center"/>
    </xf>
    <xf numFmtId="14" fontId="25" fillId="0" borderId="0" xfId="0" applyNumberFormat="1" applyFont="1" applyFill="1" applyBorder="1" applyAlignment="1">
      <alignment horizontal="center" vertical="center"/>
    </xf>
    <xf numFmtId="164" fontId="29" fillId="0" borderId="0" xfId="0" applyNumberFormat="1" applyFont="1" applyFill="1" applyBorder="1" applyAlignment="1">
      <alignment horizontal="center"/>
    </xf>
    <xf numFmtId="0" fontId="26" fillId="6" borderId="13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6" fillId="6" borderId="16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 wrapText="1"/>
    </xf>
    <xf numFmtId="0" fontId="26" fillId="6" borderId="16" xfId="0" applyFont="1" applyFill="1" applyBorder="1" applyAlignment="1">
      <alignment horizontal="center" vertical="center" wrapText="1"/>
    </xf>
    <xf numFmtId="0" fontId="26" fillId="6" borderId="14" xfId="0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 wrapText="1"/>
    </xf>
    <xf numFmtId="14" fontId="26" fillId="6" borderId="13" xfId="0" applyNumberFormat="1" applyFont="1" applyFill="1" applyBorder="1" applyAlignment="1">
      <alignment horizontal="center" vertical="center"/>
    </xf>
    <xf numFmtId="14" fontId="26" fillId="6" borderId="0" xfId="0" applyNumberFormat="1" applyFont="1" applyFill="1" applyBorder="1" applyAlignment="1">
      <alignment horizontal="center" vertical="center"/>
    </xf>
    <xf numFmtId="164" fontId="26" fillId="6" borderId="16" xfId="1" applyFont="1" applyFill="1" applyBorder="1" applyAlignment="1">
      <alignment horizontal="center" vertical="center" wrapText="1"/>
    </xf>
    <xf numFmtId="14" fontId="26" fillId="6" borderId="16" xfId="0" applyNumberFormat="1" applyFont="1" applyFill="1" applyBorder="1" applyAlignment="1">
      <alignment horizontal="center" vertical="center" wrapText="1"/>
    </xf>
    <xf numFmtId="4" fontId="26" fillId="6" borderId="16" xfId="0" applyNumberFormat="1" applyFont="1" applyFill="1" applyBorder="1" applyAlignment="1">
      <alignment horizontal="center" vertical="center" wrapText="1"/>
    </xf>
    <xf numFmtId="4" fontId="26" fillId="6" borderId="14" xfId="0" applyNumberFormat="1" applyFont="1" applyFill="1" applyBorder="1" applyAlignment="1">
      <alignment horizontal="center" vertical="center" wrapText="1"/>
    </xf>
    <xf numFmtId="9" fontId="26" fillId="6" borderId="16" xfId="1" applyNumberFormat="1" applyFont="1" applyFill="1" applyBorder="1" applyAlignment="1">
      <alignment horizontal="center" vertical="center" wrapText="1"/>
    </xf>
    <xf numFmtId="164" fontId="26" fillId="6" borderId="13" xfId="1" applyFont="1" applyFill="1" applyBorder="1" applyAlignment="1">
      <alignment horizontal="center" vertical="center" wrapText="1"/>
    </xf>
    <xf numFmtId="164" fontId="26" fillId="6" borderId="16" xfId="0" applyNumberFormat="1" applyFont="1" applyFill="1" applyBorder="1" applyAlignment="1">
      <alignment horizontal="center" vertical="center" wrapText="1"/>
    </xf>
    <xf numFmtId="164" fontId="26" fillId="6" borderId="16" xfId="0" applyNumberFormat="1" applyFont="1" applyFill="1" applyBorder="1" applyAlignment="1">
      <alignment horizontal="center" vertical="center"/>
    </xf>
    <xf numFmtId="164" fontId="26" fillId="6" borderId="0" xfId="0" applyNumberFormat="1" applyFont="1" applyFill="1" applyBorder="1" applyAlignment="1">
      <alignment horizontal="center" vertical="center" wrapText="1"/>
    </xf>
    <xf numFmtId="164" fontId="26" fillId="6" borderId="9" xfId="0" applyNumberFormat="1" applyFont="1" applyFill="1" applyBorder="1" applyAlignment="1">
      <alignment vertical="center"/>
    </xf>
    <xf numFmtId="164" fontId="26" fillId="6" borderId="9" xfId="0" applyNumberFormat="1" applyFont="1" applyFill="1" applyBorder="1" applyAlignment="1">
      <alignment vertical="center" wrapText="1"/>
    </xf>
    <xf numFmtId="164" fontId="26" fillId="6" borderId="13" xfId="0" applyNumberFormat="1" applyFont="1" applyFill="1" applyBorder="1" applyAlignment="1">
      <alignment horizontal="center" vertical="center" wrapText="1"/>
    </xf>
    <xf numFmtId="14" fontId="29" fillId="0" borderId="0" xfId="0" applyNumberFormat="1" applyFont="1" applyFill="1" applyBorder="1"/>
    <xf numFmtId="164" fontId="29" fillId="0" borderId="0" xfId="1" applyFont="1" applyFill="1" applyBorder="1"/>
    <xf numFmtId="176" fontId="29" fillId="0" borderId="9" xfId="1" applyNumberFormat="1" applyFont="1" applyFill="1" applyBorder="1" applyAlignment="1">
      <alignment horizontal="center"/>
    </xf>
    <xf numFmtId="164" fontId="25" fillId="0" borderId="1" xfId="1" applyFont="1" applyFill="1" applyBorder="1"/>
    <xf numFmtId="4" fontId="25" fillId="0" borderId="0" xfId="0" applyNumberFormat="1" applyFont="1" applyFill="1" applyBorder="1" applyAlignment="1">
      <alignment horizontal="right"/>
    </xf>
    <xf numFmtId="164" fontId="25" fillId="0" borderId="0" xfId="1" applyFont="1" applyFill="1" applyBorder="1" applyAlignment="1">
      <alignment horizontal="right"/>
    </xf>
    <xf numFmtId="174" fontId="25" fillId="0" borderId="0" xfId="0" applyNumberFormat="1" applyFont="1" applyFill="1" applyBorder="1" applyAlignment="1">
      <alignment horizontal="right"/>
    </xf>
    <xf numFmtId="10" fontId="25" fillId="0" borderId="1" xfId="2" applyNumberFormat="1" applyFont="1" applyFill="1" applyBorder="1"/>
    <xf numFmtId="176" fontId="29" fillId="0" borderId="5" xfId="1" applyNumberFormat="1" applyFont="1" applyFill="1" applyBorder="1" applyAlignment="1">
      <alignment horizontal="center"/>
    </xf>
    <xf numFmtId="14" fontId="0" fillId="0" borderId="0" xfId="0" applyNumberFormat="1"/>
    <xf numFmtId="173" fontId="25" fillId="0" borderId="5" xfId="5" applyNumberFormat="1" applyFont="1" applyFill="1" applyBorder="1"/>
    <xf numFmtId="0" fontId="25" fillId="0" borderId="5" xfId="5" applyFont="1" applyFill="1" applyBorder="1"/>
    <xf numFmtId="14" fontId="25" fillId="0" borderId="5" xfId="5" applyNumberFormat="1" applyFont="1" applyFill="1" applyBorder="1"/>
    <xf numFmtId="164" fontId="25" fillId="2" borderId="5" xfId="5" applyNumberFormat="1" applyFont="1" applyFill="1" applyBorder="1"/>
    <xf numFmtId="164" fontId="25" fillId="2" borderId="5" xfId="0" applyNumberFormat="1" applyFont="1" applyFill="1" applyBorder="1" applyAlignment="1">
      <alignment vertical="center" wrapText="1"/>
    </xf>
    <xf numFmtId="164" fontId="29" fillId="0" borderId="5" xfId="0" applyNumberFormat="1" applyFont="1" applyBorder="1"/>
    <xf numFmtId="4" fontId="29" fillId="0" borderId="5" xfId="0" applyNumberFormat="1" applyFont="1" applyBorder="1"/>
    <xf numFmtId="2" fontId="29" fillId="0" borderId="5" xfId="0" applyNumberFormat="1" applyFont="1" applyBorder="1"/>
    <xf numFmtId="164" fontId="29" fillId="0" borderId="5" xfId="1" applyFont="1" applyBorder="1"/>
    <xf numFmtId="0" fontId="29" fillId="0" borderId="0" xfId="0" applyFont="1"/>
    <xf numFmtId="0" fontId="29" fillId="0" borderId="21" xfId="0" applyFont="1" applyBorder="1"/>
    <xf numFmtId="169" fontId="29" fillId="0" borderId="0" xfId="0" applyNumberFormat="1" applyFont="1" applyBorder="1" applyAlignment="1">
      <alignment vertical="center"/>
    </xf>
    <xf numFmtId="0" fontId="29" fillId="0" borderId="20" xfId="0" applyFont="1" applyBorder="1"/>
    <xf numFmtId="0" fontId="25" fillId="0" borderId="5" xfId="5" applyFont="1" applyBorder="1"/>
    <xf numFmtId="0" fontId="30" fillId="0" borderId="2" xfId="0" applyFont="1" applyBorder="1"/>
    <xf numFmtId="0" fontId="29" fillId="0" borderId="0" xfId="0" applyFont="1" applyBorder="1"/>
    <xf numFmtId="0" fontId="30" fillId="0" borderId="5" xfId="0" applyFont="1" applyBorder="1" applyAlignment="1">
      <alignment horizontal="center" vertical="center"/>
    </xf>
    <xf numFmtId="0" fontId="29" fillId="0" borderId="5" xfId="0" applyFont="1" applyBorder="1"/>
    <xf numFmtId="0" fontId="29" fillId="7" borderId="5" xfId="0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69" fontId="29" fillId="0" borderId="5" xfId="0" applyNumberFormat="1" applyFont="1" applyBorder="1"/>
    <xf numFmtId="9" fontId="29" fillId="7" borderId="5" xfId="0" applyNumberFormat="1" applyFont="1" applyFill="1" applyBorder="1" applyAlignment="1">
      <alignment horizontal="center" vertical="center"/>
    </xf>
    <xf numFmtId="173" fontId="25" fillId="0" borderId="5" xfId="5" applyNumberFormat="1" applyFont="1" applyFill="1" applyBorder="1" applyAlignment="1">
      <alignment horizontal="right"/>
    </xf>
    <xf numFmtId="169" fontId="29" fillId="0" borderId="20" xfId="0" applyNumberFormat="1" applyFont="1" applyBorder="1"/>
    <xf numFmtId="0" fontId="25" fillId="0" borderId="5" xfId="5" applyFont="1" applyFill="1" applyBorder="1" applyAlignment="1">
      <alignment horizontal="right"/>
    </xf>
    <xf numFmtId="0" fontId="29" fillId="0" borderId="19" xfId="0" applyFont="1" applyBorder="1"/>
    <xf numFmtId="0" fontId="29" fillId="0" borderId="18" xfId="0" applyFont="1" applyBorder="1"/>
    <xf numFmtId="0" fontId="29" fillId="0" borderId="17" xfId="0" applyFont="1" applyBorder="1"/>
    <xf numFmtId="0" fontId="25" fillId="0" borderId="9" xfId="5" quotePrefix="1" applyNumberFormat="1" applyFont="1" applyFill="1" applyBorder="1"/>
    <xf numFmtId="175" fontId="29" fillId="0" borderId="5" xfId="0" applyNumberFormat="1" applyFont="1" applyBorder="1"/>
    <xf numFmtId="175" fontId="29" fillId="13" borderId="5" xfId="0" applyNumberFormat="1" applyFont="1" applyFill="1" applyBorder="1"/>
    <xf numFmtId="4" fontId="29" fillId="13" borderId="5" xfId="0" applyNumberFormat="1" applyFont="1" applyFill="1" applyBorder="1"/>
    <xf numFmtId="164" fontId="29" fillId="13" borderId="5" xfId="0" applyNumberFormat="1" applyFont="1" applyFill="1" applyBorder="1"/>
    <xf numFmtId="0" fontId="0" fillId="11" borderId="1" xfId="0" applyFill="1" applyBorder="1" applyAlignment="1">
      <alignment vertical="center"/>
    </xf>
    <xf numFmtId="4" fontId="29" fillId="3" borderId="5" xfId="0" applyNumberFormat="1" applyFont="1" applyFill="1" applyBorder="1"/>
    <xf numFmtId="175" fontId="29" fillId="0" borderId="5" xfId="0" applyNumberFormat="1" applyFont="1" applyFill="1" applyBorder="1" applyAlignment="1">
      <alignment horizontal="center" vertical="center"/>
    </xf>
    <xf numFmtId="164" fontId="29" fillId="0" borderId="5" xfId="0" applyNumberFormat="1" applyFont="1" applyFill="1" applyBorder="1" applyAlignment="1">
      <alignment horizontal="center" vertical="center"/>
    </xf>
    <xf numFmtId="4" fontId="26" fillId="0" borderId="3" xfId="0" applyNumberFormat="1" applyFont="1" applyFill="1" applyBorder="1"/>
    <xf numFmtId="16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64" fontId="32" fillId="0" borderId="0" xfId="1" applyFont="1"/>
    <xf numFmtId="164" fontId="32" fillId="0" borderId="0" xfId="0" applyNumberFormat="1" applyFont="1"/>
    <xf numFmtId="0" fontId="33" fillId="0" borderId="0" xfId="0" applyFont="1" applyAlignment="1">
      <alignment horizontal="right"/>
    </xf>
    <xf numFmtId="0" fontId="33" fillId="0" borderId="0" xfId="0" applyFont="1" applyAlignment="1">
      <alignment horizontal="center" vertical="center"/>
    </xf>
    <xf numFmtId="164" fontId="33" fillId="0" borderId="0" xfId="1" applyFont="1"/>
    <xf numFmtId="0" fontId="33" fillId="0" borderId="0" xfId="0" applyFont="1"/>
    <xf numFmtId="0" fontId="34" fillId="0" borderId="0" xfId="0" applyFont="1" applyAlignment="1">
      <alignment horizontal="center" vertical="center"/>
    </xf>
    <xf numFmtId="0" fontId="32" fillId="0" borderId="11" xfId="0" applyFont="1" applyBorder="1" applyAlignment="1">
      <alignment horizontal="right"/>
    </xf>
    <xf numFmtId="0" fontId="32" fillId="0" borderId="11" xfId="0" applyFont="1" applyBorder="1"/>
    <xf numFmtId="164" fontId="32" fillId="0" borderId="11" xfId="1" applyFont="1" applyBorder="1"/>
    <xf numFmtId="164" fontId="35" fillId="0" borderId="0" xfId="1" applyFont="1"/>
    <xf numFmtId="164" fontId="26" fillId="7" borderId="9" xfId="1" applyFont="1" applyFill="1" applyBorder="1" applyAlignment="1">
      <alignment horizontal="center"/>
    </xf>
    <xf numFmtId="164" fontId="26" fillId="7" borderId="5" xfId="1" applyFont="1" applyFill="1" applyBorder="1" applyAlignment="1">
      <alignment horizontal="center"/>
    </xf>
    <xf numFmtId="164" fontId="26" fillId="7" borderId="5" xfId="0" applyNumberFormat="1" applyFont="1" applyFill="1" applyBorder="1" applyAlignment="1">
      <alignment horizontal="center"/>
    </xf>
    <xf numFmtId="164" fontId="26" fillId="7" borderId="9" xfId="0" applyNumberFormat="1" applyFont="1" applyFill="1" applyBorder="1" applyAlignment="1">
      <alignment horizontal="center" vertical="center" wrapText="1"/>
    </xf>
    <xf numFmtId="164" fontId="26" fillId="7" borderId="13" xfId="0" applyNumberFormat="1" applyFont="1" applyFill="1" applyBorder="1" applyAlignment="1">
      <alignment horizontal="center" vertical="center" wrapText="1"/>
    </xf>
    <xf numFmtId="164" fontId="26" fillId="7" borderId="16" xfId="0" applyNumberFormat="1" applyFont="1" applyFill="1" applyBorder="1" applyAlignment="1">
      <alignment horizontal="center" vertical="center" wrapText="1"/>
    </xf>
    <xf numFmtId="164" fontId="26" fillId="7" borderId="9" xfId="1" applyFont="1" applyFill="1" applyBorder="1" applyAlignment="1">
      <alignment horizontal="center" vertical="center" wrapText="1"/>
    </xf>
    <xf numFmtId="164" fontId="26" fillId="7" borderId="13" xfId="1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26" fillId="7" borderId="13" xfId="0" applyFont="1" applyFill="1" applyBorder="1" applyAlignment="1">
      <alignment horizontal="center" vertical="center" wrapText="1"/>
    </xf>
    <xf numFmtId="164" fontId="26" fillId="3" borderId="9" xfId="0" applyNumberFormat="1" applyFont="1" applyFill="1" applyBorder="1" applyAlignment="1">
      <alignment horizontal="center" vertical="center" wrapText="1"/>
    </xf>
    <xf numFmtId="164" fontId="26" fillId="3" borderId="13" xfId="0" applyNumberFormat="1" applyFont="1" applyFill="1" applyBorder="1" applyAlignment="1">
      <alignment horizontal="center" vertical="center" wrapText="1"/>
    </xf>
    <xf numFmtId="164" fontId="26" fillId="7" borderId="9" xfId="0" applyNumberFormat="1" applyFont="1" applyFill="1" applyBorder="1" applyAlignment="1">
      <alignment horizontal="center" vertical="center"/>
    </xf>
    <xf numFmtId="164" fontId="26" fillId="7" borderId="13" xfId="0" applyNumberFormat="1" applyFont="1" applyFill="1" applyBorder="1" applyAlignment="1">
      <alignment horizontal="center" vertical="center"/>
    </xf>
    <xf numFmtId="14" fontId="26" fillId="7" borderId="9" xfId="0" applyNumberFormat="1" applyFont="1" applyFill="1" applyBorder="1" applyAlignment="1">
      <alignment horizontal="center" vertical="center" wrapText="1"/>
    </xf>
    <xf numFmtId="14" fontId="26" fillId="7" borderId="13" xfId="0" applyNumberFormat="1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 wrapText="1"/>
    </xf>
    <xf numFmtId="0" fontId="26" fillId="3" borderId="13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/>
    </xf>
    <xf numFmtId="0" fontId="26" fillId="7" borderId="13" xfId="0" applyFont="1" applyFill="1" applyBorder="1" applyAlignment="1">
      <alignment horizontal="center" vertical="center"/>
    </xf>
    <xf numFmtId="0" fontId="26" fillId="3" borderId="9" xfId="0" applyFont="1" applyFill="1" applyBorder="1" applyAlignment="1">
      <alignment horizontal="center" vertical="center"/>
    </xf>
    <xf numFmtId="0" fontId="26" fillId="3" borderId="13" xfId="0" applyFont="1" applyFill="1" applyBorder="1" applyAlignment="1">
      <alignment horizontal="center" vertical="center"/>
    </xf>
    <xf numFmtId="14" fontId="26" fillId="3" borderId="9" xfId="0" applyNumberFormat="1" applyFont="1" applyFill="1" applyBorder="1" applyAlignment="1">
      <alignment horizontal="center" vertical="center"/>
    </xf>
    <xf numFmtId="14" fontId="26" fillId="3" borderId="13" xfId="0" applyNumberFormat="1" applyFont="1" applyFill="1" applyBorder="1" applyAlignment="1">
      <alignment horizontal="center" vertical="center"/>
    </xf>
    <xf numFmtId="4" fontId="26" fillId="7" borderId="9" xfId="0" applyNumberFormat="1" applyFont="1" applyFill="1" applyBorder="1" applyAlignment="1">
      <alignment horizontal="center" vertical="center" wrapText="1"/>
    </xf>
    <xf numFmtId="4" fontId="26" fillId="7" borderId="13" xfId="0" applyNumberFormat="1" applyFont="1" applyFill="1" applyBorder="1" applyAlignment="1">
      <alignment horizontal="center" vertical="center" wrapText="1"/>
    </xf>
    <xf numFmtId="4" fontId="26" fillId="7" borderId="6" xfId="0" applyNumberFormat="1" applyFont="1" applyFill="1" applyBorder="1" applyAlignment="1">
      <alignment horizontal="center" vertical="center" wrapText="1"/>
    </xf>
    <xf numFmtId="4" fontId="26" fillId="7" borderId="10" xfId="0" applyNumberFormat="1" applyFont="1" applyFill="1" applyBorder="1" applyAlignment="1">
      <alignment horizontal="center" vertical="center" wrapText="1"/>
    </xf>
    <xf numFmtId="164" fontId="26" fillId="3" borderId="16" xfId="0" applyNumberFormat="1" applyFont="1" applyFill="1" applyBorder="1" applyAlignment="1">
      <alignment horizontal="center" vertical="center" wrapText="1"/>
    </xf>
    <xf numFmtId="164" fontId="31" fillId="12" borderId="9" xfId="0" applyNumberFormat="1" applyFont="1" applyFill="1" applyBorder="1" applyAlignment="1">
      <alignment horizontal="center" vertical="center" wrapText="1"/>
    </xf>
    <xf numFmtId="164" fontId="31" fillId="12" borderId="16" xfId="0" applyNumberFormat="1" applyFont="1" applyFill="1" applyBorder="1" applyAlignment="1">
      <alignment horizontal="center" vertical="center" wrapText="1"/>
    </xf>
    <xf numFmtId="164" fontId="31" fillId="12" borderId="13" xfId="0" applyNumberFormat="1" applyFont="1" applyFill="1" applyBorder="1" applyAlignment="1">
      <alignment horizontal="center" vertical="center" wrapText="1"/>
    </xf>
    <xf numFmtId="164" fontId="6" fillId="2" borderId="0" xfId="4" applyFont="1" applyFill="1" applyAlignment="1">
      <alignment horizontal="center"/>
    </xf>
    <xf numFmtId="0" fontId="7" fillId="2" borderId="11" xfId="0" applyFont="1" applyFill="1" applyBorder="1" applyAlignment="1">
      <alignment horizontal="center"/>
    </xf>
    <xf numFmtId="2" fontId="6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6" fillId="2" borderId="2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66" fontId="7" fillId="2" borderId="2" xfId="0" applyNumberFormat="1" applyFont="1" applyFill="1" applyBorder="1" applyAlignment="1">
      <alignment horizontal="center" vertical="center"/>
    </xf>
    <xf numFmtId="166" fontId="7" fillId="2" borderId="4" xfId="0" applyNumberFormat="1" applyFont="1" applyFill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4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left" vertical="center" wrapText="1"/>
    </xf>
    <xf numFmtId="0" fontId="7" fillId="4" borderId="3" xfId="0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4" borderId="10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 wrapText="1"/>
    </xf>
    <xf numFmtId="165" fontId="9" fillId="2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 applyProtection="1">
      <alignment horizontal="center"/>
      <protection locked="0"/>
    </xf>
    <xf numFmtId="14" fontId="12" fillId="2" borderId="0" xfId="0" applyNumberFormat="1" applyFont="1" applyFill="1" applyAlignment="1" applyProtection="1">
      <alignment horizontal="right"/>
      <protection locked="0"/>
    </xf>
    <xf numFmtId="14" fontId="6" fillId="2" borderId="0" xfId="0" applyNumberFormat="1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left"/>
      <protection locked="0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5" fillId="4" borderId="6" xfId="0" applyFont="1" applyFill="1" applyBorder="1" applyAlignment="1">
      <alignment horizontal="center" vertical="center" wrapText="1" shrinkToFit="1"/>
    </xf>
    <xf numFmtId="0" fontId="15" fillId="4" borderId="7" xfId="0" applyFont="1" applyFill="1" applyBorder="1" applyAlignment="1">
      <alignment horizontal="center" vertical="center" wrapText="1" shrinkToFit="1"/>
    </xf>
    <xf numFmtId="0" fontId="15" fillId="4" borderId="8" xfId="0" applyFont="1" applyFill="1" applyBorder="1" applyAlignment="1">
      <alignment horizontal="center" vertical="center" wrapText="1" shrinkToFit="1"/>
    </xf>
    <xf numFmtId="0" fontId="15" fillId="4" borderId="10" xfId="0" applyFont="1" applyFill="1" applyBorder="1" applyAlignment="1">
      <alignment horizontal="center" vertical="center" wrapText="1" shrinkToFit="1"/>
    </xf>
    <xf numFmtId="0" fontId="15" fillId="4" borderId="11" xfId="0" applyFont="1" applyFill="1" applyBorder="1" applyAlignment="1">
      <alignment horizontal="center" vertical="center" wrapText="1" shrinkToFit="1"/>
    </xf>
    <xf numFmtId="0" fontId="15" fillId="4" borderId="12" xfId="0" applyFont="1" applyFill="1" applyBorder="1" applyAlignment="1">
      <alignment horizontal="center" vertical="center" wrapText="1" shrinkToFit="1"/>
    </xf>
    <xf numFmtId="168" fontId="6" fillId="2" borderId="5" xfId="0" applyNumberFormat="1" applyFont="1" applyFill="1" applyBorder="1" applyAlignment="1">
      <alignment horizontal="center"/>
    </xf>
    <xf numFmtId="167" fontId="6" fillId="2" borderId="3" xfId="0" applyNumberFormat="1" applyFont="1" applyFill="1" applyBorder="1" applyAlignment="1">
      <alignment horizontal="center"/>
    </xf>
    <xf numFmtId="167" fontId="6" fillId="2" borderId="4" xfId="0" applyNumberFormat="1" applyFont="1" applyFill="1" applyBorder="1" applyAlignment="1">
      <alignment horizontal="center"/>
    </xf>
    <xf numFmtId="169" fontId="16" fillId="2" borderId="5" xfId="0" applyNumberFormat="1" applyFont="1" applyFill="1" applyBorder="1" applyAlignment="1">
      <alignment horizontal="center"/>
    </xf>
    <xf numFmtId="167" fontId="7" fillId="2" borderId="2" xfId="0" applyNumberFormat="1" applyFont="1" applyFill="1" applyBorder="1" applyAlignment="1">
      <alignment horizontal="center" vertical="center" wrapText="1"/>
    </xf>
    <xf numFmtId="167" fontId="7" fillId="2" borderId="4" xfId="0" applyNumberFormat="1" applyFont="1" applyFill="1" applyBorder="1" applyAlignment="1">
      <alignment horizontal="center" vertical="center" wrapText="1"/>
    </xf>
    <xf numFmtId="170" fontId="6" fillId="2" borderId="2" xfId="0" applyNumberFormat="1" applyFont="1" applyFill="1" applyBorder="1" applyAlignment="1">
      <alignment horizontal="center" vertical="center"/>
    </xf>
    <xf numFmtId="170" fontId="6" fillId="2" borderId="3" xfId="0" applyNumberFormat="1" applyFont="1" applyFill="1" applyBorder="1" applyAlignment="1">
      <alignment horizontal="center" vertical="center"/>
    </xf>
    <xf numFmtId="170" fontId="6" fillId="2" borderId="4" xfId="0" applyNumberFormat="1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 wrapText="1"/>
    </xf>
    <xf numFmtId="0" fontId="15" fillId="4" borderId="7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4" fontId="6" fillId="2" borderId="14" xfId="0" applyNumberFormat="1" applyFont="1" applyFill="1" applyBorder="1" applyAlignment="1">
      <alignment horizontal="center"/>
    </xf>
    <xf numFmtId="4" fontId="6" fillId="2" borderId="0" xfId="0" applyNumberFormat="1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/>
    <xf numFmtId="165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14" fontId="12" fillId="2" borderId="0" xfId="0" applyNumberFormat="1" applyFont="1" applyFill="1" applyAlignment="1">
      <alignment horizontal="center"/>
    </xf>
    <xf numFmtId="14" fontId="12" fillId="2" borderId="0" xfId="0" applyNumberFormat="1" applyFont="1" applyFill="1" applyAlignment="1">
      <alignment horizontal="left"/>
    </xf>
    <xf numFmtId="0" fontId="6" fillId="2" borderId="0" xfId="0" applyFont="1" applyFill="1" applyAlignment="1"/>
    <xf numFmtId="164" fontId="20" fillId="3" borderId="9" xfId="0" applyNumberFormat="1" applyFont="1" applyFill="1" applyBorder="1" applyAlignment="1">
      <alignment horizontal="center" vertical="center" wrapText="1"/>
    </xf>
    <xf numFmtId="164" fontId="20" fillId="3" borderId="13" xfId="0" applyNumberFormat="1" applyFont="1" applyFill="1" applyBorder="1" applyAlignment="1">
      <alignment horizontal="center" vertical="center" wrapText="1"/>
    </xf>
    <xf numFmtId="164" fontId="20" fillId="3" borderId="5" xfId="0" applyNumberFormat="1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9" fontId="29" fillId="7" borderId="5" xfId="0" applyNumberFormat="1" applyFont="1" applyFill="1" applyBorder="1" applyAlignment="1">
      <alignment horizontal="center" vertical="center"/>
    </xf>
    <xf numFmtId="164" fontId="20" fillId="8" borderId="9" xfId="0" applyNumberFormat="1" applyFont="1" applyFill="1" applyBorder="1" applyAlignment="1">
      <alignment horizontal="center" vertical="center" wrapText="1"/>
    </xf>
    <xf numFmtId="164" fontId="20" fillId="8" borderId="13" xfId="0" applyNumberFormat="1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/>
    </xf>
    <xf numFmtId="169" fontId="29" fillId="7" borderId="3" xfId="0" applyNumberFormat="1" applyFont="1" applyFill="1" applyBorder="1" applyAlignment="1">
      <alignment horizontal="center" vertical="center"/>
    </xf>
    <xf numFmtId="169" fontId="29" fillId="7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2" fillId="10" borderId="4" xfId="0" applyFont="1" applyFill="1" applyBorder="1" applyAlignment="1">
      <alignment horizontal="center"/>
    </xf>
    <xf numFmtId="0" fontId="24" fillId="0" borderId="0" xfId="0" applyFont="1" applyAlignment="1">
      <alignment horizontal="center"/>
    </xf>
  </cellXfs>
  <cellStyles count="9">
    <cellStyle name="Comma" xfId="1" builtinId="3"/>
    <cellStyle name="Excel Built-in Normal" xfId="5"/>
    <cellStyle name="Hyperlink" xfId="3" builtinId="8"/>
    <cellStyle name="Millares 3" xfId="4"/>
    <cellStyle name="Normal" xfId="0" builtinId="0"/>
    <cellStyle name="Normal 19" xfId="6"/>
    <cellStyle name="Normal 2" xfId="8"/>
    <cellStyle name="Normal 2 36" xfId="7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78443</xdr:colOff>
      <xdr:row>0</xdr:row>
      <xdr:rowOff>100852</xdr:rowOff>
    </xdr:from>
    <xdr:to>
      <xdr:col>17</xdr:col>
      <xdr:colOff>1086971</xdr:colOff>
      <xdr:row>3</xdr:row>
      <xdr:rowOff>22412</xdr:rowOff>
    </xdr:to>
    <xdr:sp macro="[0]!crearrPDF" textlink="">
      <xdr:nvSpPr>
        <xdr:cNvPr id="3" name="Proceso alternativo 2"/>
        <xdr:cNvSpPr/>
      </xdr:nvSpPr>
      <xdr:spPr>
        <a:xfrm>
          <a:off x="10320619" y="100852"/>
          <a:ext cx="1008528" cy="593913"/>
        </a:xfrm>
        <a:prstGeom prst="flowChartAlternateProces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GUARDAR</a:t>
          </a:r>
          <a:r>
            <a:rPr lang="es-PE" sz="1400" b="1" baseline="0"/>
            <a:t> EN PDF</a:t>
          </a:r>
          <a:endParaRPr lang="es-PE" sz="1400" b="1"/>
        </a:p>
      </xdr:txBody>
    </xdr:sp>
    <xdr:clientData/>
  </xdr:twoCellAnchor>
  <xdr:twoCellAnchor editAs="oneCell">
    <xdr:from>
      <xdr:col>0</xdr:col>
      <xdr:colOff>56029</xdr:colOff>
      <xdr:row>2</xdr:row>
      <xdr:rowOff>11208</xdr:rowOff>
    </xdr:from>
    <xdr:to>
      <xdr:col>4</xdr:col>
      <xdr:colOff>22412</xdr:colOff>
      <xdr:row>4</xdr:row>
      <xdr:rowOff>179295</xdr:rowOff>
    </xdr:to>
    <xdr:pic>
      <xdr:nvPicPr>
        <xdr:cNvPr id="4" name="0 Imagen" descr="home-idc.jpg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029" y="358590"/>
          <a:ext cx="2532530" cy="739587"/>
        </a:xfrm>
        <a:prstGeom prst="rect">
          <a:avLst/>
        </a:prstGeom>
      </xdr:spPr>
    </xdr:pic>
    <xdr:clientData/>
  </xdr:twoCellAnchor>
  <xdr:twoCellAnchor editAs="oneCell">
    <xdr:from>
      <xdr:col>0</xdr:col>
      <xdr:colOff>44824</xdr:colOff>
      <xdr:row>49</xdr:row>
      <xdr:rowOff>212914</xdr:rowOff>
    </xdr:from>
    <xdr:to>
      <xdr:col>4</xdr:col>
      <xdr:colOff>11207</xdr:colOff>
      <xdr:row>52</xdr:row>
      <xdr:rowOff>168089</xdr:rowOff>
    </xdr:to>
    <xdr:pic>
      <xdr:nvPicPr>
        <xdr:cNvPr id="5" name="0 Imagen" descr="home-idc.jpg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824" y="8931090"/>
          <a:ext cx="2532530" cy="7395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0</xdr:row>
      <xdr:rowOff>28575</xdr:rowOff>
    </xdr:from>
    <xdr:to>
      <xdr:col>2</xdr:col>
      <xdr:colOff>542925</xdr:colOff>
      <xdr:row>1</xdr:row>
      <xdr:rowOff>28575</xdr:rowOff>
    </xdr:to>
    <xdr:sp macro="" textlink="">
      <xdr:nvSpPr>
        <xdr:cNvPr id="2" name="Flecha derecha 1"/>
        <xdr:cNvSpPr/>
      </xdr:nvSpPr>
      <xdr:spPr>
        <a:xfrm>
          <a:off x="2181225" y="28575"/>
          <a:ext cx="1543050" cy="3238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SELECCIONE PERIODO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uxiliar\Desktop\vidal\PLAN-ADM%20-REMYPE%2020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celo\Downloads\Comisiones-Y-Primas-De-Seguro-Por-Afp-Desde-Excel-ACTUALIZAD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PL"/>
      <sheetName val="AFP.ONP.SALUD"/>
      <sheetName val="OTROS PAGOS"/>
      <sheetName val="DSCT"/>
      <sheetName val="BOLETA"/>
      <sheetName val="PLANILLA-DATOS"/>
      <sheetName val="CARGOS CITT"/>
      <sheetName val="CTS CAL"/>
      <sheetName val="Hoja1"/>
      <sheetName val="GRAT CAL"/>
      <sheetName val="LIQ.BEN.SOC"/>
      <sheetName val="LIQ.BEN.SOC RG"/>
      <sheetName val="telecredito"/>
      <sheetName val="Asiento"/>
      <sheetName val="SCTR"/>
      <sheetName val="VIDA LEY"/>
      <sheetName val="SCTR D. A.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4">
          <cell r="A14">
            <v>58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ción"/>
      <sheetName val="SPP"/>
      <sheetName val="Hoja2"/>
      <sheetName val="Comisiones-Y-Primas-De-Seguro-P"/>
    </sheetNames>
    <sheetDataSet>
      <sheetData sheetId="0"/>
      <sheetData sheetId="1">
        <row r="39">
          <cell r="D39">
            <v>1</v>
          </cell>
        </row>
        <row r="40">
          <cell r="D40">
            <v>2</v>
          </cell>
        </row>
        <row r="41">
          <cell r="D41">
            <v>3</v>
          </cell>
        </row>
        <row r="42">
          <cell r="D42">
            <v>4</v>
          </cell>
        </row>
        <row r="43">
          <cell r="D43">
            <v>5</v>
          </cell>
        </row>
        <row r="44">
          <cell r="D44">
            <v>6</v>
          </cell>
        </row>
        <row r="45">
          <cell r="D45">
            <v>7</v>
          </cell>
        </row>
        <row r="46">
          <cell r="D46">
            <v>8</v>
          </cell>
        </row>
        <row r="47">
          <cell r="D47">
            <v>9</v>
          </cell>
        </row>
        <row r="48">
          <cell r="D48">
            <v>10</v>
          </cell>
        </row>
        <row r="49">
          <cell r="D49">
            <v>11</v>
          </cell>
        </row>
        <row r="50">
          <cell r="D50">
            <v>12</v>
          </cell>
        </row>
      </sheetData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8"/>
  <sheetViews>
    <sheetView workbookViewId="0">
      <pane ySplit="2" topLeftCell="A52" activePane="bottomLeft" state="frozen"/>
      <selection pane="bottomLeft" activeCell="E72" sqref="E72"/>
    </sheetView>
  </sheetViews>
  <sheetFormatPr defaultColWidth="11.42578125" defaultRowHeight="15" x14ac:dyDescent="0.25"/>
  <cols>
    <col min="1" max="1" width="10.28515625" style="313" customWidth="1"/>
    <col min="2" max="2" width="70.42578125" style="314" customWidth="1"/>
    <col min="3" max="3" width="3.28515625" style="315" customWidth="1"/>
    <col min="4" max="4" width="10.7109375" style="315" bestFit="1" customWidth="1"/>
    <col min="5" max="6" width="16.42578125" style="315" customWidth="1"/>
    <col min="7" max="7" width="18.140625" style="314" customWidth="1"/>
    <col min="8" max="8" width="11.42578125" style="314"/>
  </cols>
  <sheetData>
    <row r="1" spans="1:12" x14ac:dyDescent="0.25">
      <c r="D1" s="325" t="s">
        <v>299</v>
      </c>
      <c r="E1" s="325">
        <f>SUM(E4:E149)</f>
        <v>131868.50466666667</v>
      </c>
      <c r="F1" s="325">
        <f>SUM(F4:F149)</f>
        <v>131868.50466666665</v>
      </c>
      <c r="G1" s="316"/>
      <c r="L1" s="312"/>
    </row>
    <row r="2" spans="1:12" s="103" customFormat="1" x14ac:dyDescent="0.25">
      <c r="A2" s="317" t="s">
        <v>239</v>
      </c>
      <c r="B2" s="318" t="s">
        <v>240</v>
      </c>
      <c r="C2" s="319"/>
      <c r="D2" s="319" t="s">
        <v>277</v>
      </c>
      <c r="E2" s="319" t="s">
        <v>236</v>
      </c>
      <c r="F2" s="319" t="s">
        <v>237</v>
      </c>
      <c r="G2" s="320" t="s">
        <v>298</v>
      </c>
      <c r="H2" s="320"/>
    </row>
    <row r="3" spans="1:12" x14ac:dyDescent="0.25">
      <c r="B3" s="321" t="s">
        <v>226</v>
      </c>
    </row>
    <row r="4" spans="1:12" x14ac:dyDescent="0.25">
      <c r="A4" s="313">
        <v>95</v>
      </c>
      <c r="B4" s="314" t="s">
        <v>282</v>
      </c>
      <c r="E4" s="319">
        <f>SUM(D5:D9)</f>
        <v>15295.150000000001</v>
      </c>
    </row>
    <row r="5" spans="1:12" x14ac:dyDescent="0.25">
      <c r="A5" s="313" t="s">
        <v>265</v>
      </c>
      <c r="B5" s="314" t="s">
        <v>233</v>
      </c>
      <c r="D5" s="315">
        <f>SUMIF('PLLA PARA EL SISTEMA'!$E$15:$E$55,"VENTAS",'PLLA PARA EL SISTEMA'!$AX$15:$AX$55)</f>
        <v>11830</v>
      </c>
    </row>
    <row r="6" spans="1:12" x14ac:dyDescent="0.25">
      <c r="A6" s="313" t="s">
        <v>268</v>
      </c>
      <c r="B6" s="314" t="s">
        <v>234</v>
      </c>
      <c r="D6" s="315">
        <f>SUMIF('PLLA PARA EL SISTEMA'!$E$15:$E$55,"VENTAS",'PLLA PARA EL SISTEMA'!$BL$15:$BL$55)</f>
        <v>1064.7</v>
      </c>
    </row>
    <row r="7" spans="1:12" x14ac:dyDescent="0.25">
      <c r="A7" s="313" t="s">
        <v>271</v>
      </c>
      <c r="B7" s="314" t="s">
        <v>235</v>
      </c>
      <c r="D7" s="315">
        <f>SUMIF('PLLA PARA EL SISTEMA'!$E$15:$E$55,"VENTAS",'PLLA PARA EL SISTEMA'!$BM$15:$BM$55)</f>
        <v>591.5</v>
      </c>
    </row>
    <row r="8" spans="1:12" x14ac:dyDescent="0.25">
      <c r="A8" s="313">
        <v>95625102</v>
      </c>
      <c r="B8" s="314" t="s">
        <v>279</v>
      </c>
      <c r="D8" s="315">
        <f>SUMIF('PLLA PARA EL SISTEMA'!$E$15:$E$55,"VENTAS",'PLLA PARA EL SISTEMA'!$AJ$15:$AJ$55)+SUMIF('PLLA PARA EL SISTEMA'!$E$15:$E$55,"VENTAS",'PLLA PARA EL SISTEMA'!$X$15:$X$55)</f>
        <v>1308.9499999999989</v>
      </c>
    </row>
    <row r="9" spans="1:12" x14ac:dyDescent="0.25">
      <c r="A9" s="313">
        <v>95625103</v>
      </c>
      <c r="B9" s="314" t="s">
        <v>280</v>
      </c>
      <c r="D9" s="315">
        <f>SUMIF('PLLA PARA EL SISTEMA'!$E$15:$E$55,"VENTAS",'PLLA PARA EL SISTEMA'!$AK$15:$AK$55)</f>
        <v>500.00000000000102</v>
      </c>
    </row>
    <row r="10" spans="1:12" ht="5.25" customHeight="1" x14ac:dyDescent="0.25"/>
    <row r="11" spans="1:12" ht="15" customHeight="1" x14ac:dyDescent="0.25">
      <c r="A11" s="313">
        <v>94</v>
      </c>
      <c r="B11" s="314" t="s">
        <v>283</v>
      </c>
      <c r="E11" s="319">
        <f>SUM(D12:D16)</f>
        <v>7026.9999999999991</v>
      </c>
    </row>
    <row r="12" spans="1:12" x14ac:dyDescent="0.25">
      <c r="A12" s="313" t="s">
        <v>264</v>
      </c>
      <c r="B12" s="314" t="s">
        <v>233</v>
      </c>
      <c r="D12" s="315">
        <f>SUMIF('PLLA PARA EL SISTEMA'!$E$15:$E$55,"ADM",'PLLA PARA EL SISTEMA'!$AX$15:$AX$55)</f>
        <v>5550</v>
      </c>
    </row>
    <row r="13" spans="1:12" x14ac:dyDescent="0.25">
      <c r="A13" s="313" t="s">
        <v>267</v>
      </c>
      <c r="B13" s="314" t="s">
        <v>234</v>
      </c>
      <c r="D13" s="315">
        <f>SUMIF('PLLA PARA EL SISTEMA'!$E$15:$E$55,"ADM",'PLLA PARA EL SISTEMA'!$BL$15:$BL$55)</f>
        <v>499.5</v>
      </c>
    </row>
    <row r="14" spans="1:12" x14ac:dyDescent="0.25">
      <c r="A14" s="313" t="s">
        <v>270</v>
      </c>
      <c r="B14" s="314" t="s">
        <v>235</v>
      </c>
      <c r="D14" s="315">
        <f>SUMIF('PLLA PARA EL SISTEMA'!$E$15:$E$55,"ADM",'PLLA PARA EL SISTEMA'!$BM$15:$BM$55)</f>
        <v>277.5</v>
      </c>
    </row>
    <row r="15" spans="1:12" x14ac:dyDescent="0.25">
      <c r="A15" s="313">
        <v>94625102</v>
      </c>
      <c r="B15" s="314" t="s">
        <v>279</v>
      </c>
      <c r="D15" s="315">
        <f>SUMIF('PLLA PARA EL SISTEMA'!$E$15:$E$55,"ADM",'PLLA PARA EL SISTEMA'!$AJ$15:$AJ$55)+SUMIF('PLLA PARA EL SISTEMA'!$E$15:$E$55,"ADM",'PLLA PARA EL SISTEMA'!$X$15:$X$55)</f>
        <v>699.99999999999898</v>
      </c>
    </row>
    <row r="16" spans="1:12" x14ac:dyDescent="0.25">
      <c r="A16" s="313">
        <v>94625103</v>
      </c>
      <c r="B16" s="314" t="s">
        <v>280</v>
      </c>
      <c r="D16" s="315">
        <f>SUMIF('PLLA PARA EL SISTEMA'!$E$15:$E$55,"ADM",'PLLA PARA EL SISTEMA'!$AK$15:$AK$55)</f>
        <v>0</v>
      </c>
    </row>
    <row r="17" spans="1:6" ht="4.5" customHeight="1" x14ac:dyDescent="0.25"/>
    <row r="18" spans="1:6" ht="15" customHeight="1" x14ac:dyDescent="0.25">
      <c r="A18" s="313">
        <v>91</v>
      </c>
      <c r="B18" s="314" t="s">
        <v>284</v>
      </c>
      <c r="E18" s="319">
        <f>SUM(D19:D23)</f>
        <v>25271.85</v>
      </c>
    </row>
    <row r="19" spans="1:6" x14ac:dyDescent="0.25">
      <c r="A19" s="313" t="s">
        <v>263</v>
      </c>
      <c r="B19" s="314" t="s">
        <v>233</v>
      </c>
      <c r="D19" s="315">
        <f>SUMIF('PLLA PARA EL SISTEMA'!$E$15:$E$55,"PROD",'PLLA PARA EL SISTEMA'!$AX$15:$AX$55)</f>
        <v>19250</v>
      </c>
    </row>
    <row r="20" spans="1:6" x14ac:dyDescent="0.25">
      <c r="A20" s="313" t="s">
        <v>266</v>
      </c>
      <c r="B20" s="314" t="s">
        <v>234</v>
      </c>
      <c r="D20" s="315">
        <f>SUMIF('PLLA PARA EL SISTEMA'!$E$15:$E$55,"PROD",'PLLA PARA EL SISTEMA'!$BL$15:$BL$55)</f>
        <v>1732.5000000000002</v>
      </c>
    </row>
    <row r="21" spans="1:6" x14ac:dyDescent="0.25">
      <c r="A21" s="313" t="s">
        <v>269</v>
      </c>
      <c r="B21" s="314" t="s">
        <v>235</v>
      </c>
      <c r="D21" s="315">
        <f>SUMIF('PLLA PARA EL SISTEMA'!$E$15:$E$55,"PROD",'PLLA PARA EL SISTEMA'!$BM$15:$BM$55)</f>
        <v>962.5</v>
      </c>
    </row>
    <row r="22" spans="1:6" x14ac:dyDescent="0.25">
      <c r="A22" s="313">
        <v>91625102</v>
      </c>
      <c r="B22" s="314" t="s">
        <v>279</v>
      </c>
      <c r="D22" s="315">
        <f>SUMIF('PLLA PARA EL SISTEMA'!$E$15:$E$55,"PROD",'PLLA PARA EL SISTEMA'!$AJ$15:$AJ55)+SUMIF('PLLA PARA EL SISTEMA'!$E$15:$E$55,"PROD",'PLLA PARA EL SISTEMA'!$X$15:$X$55)</f>
        <v>3326.8500000000004</v>
      </c>
    </row>
    <row r="23" spans="1:6" x14ac:dyDescent="0.25">
      <c r="A23" s="313">
        <v>91625103</v>
      </c>
      <c r="B23" s="314" t="s">
        <v>280</v>
      </c>
      <c r="D23" s="315">
        <f>SUMIF('PLLA PARA EL SISTEMA'!$E$15:$E$55,"PROD",'PLLA PARA EL SISTEMA'!$AK$15:$AK$55)</f>
        <v>0</v>
      </c>
    </row>
    <row r="24" spans="1:6" ht="6" customHeight="1" x14ac:dyDescent="0.25"/>
    <row r="25" spans="1:6" x14ac:dyDescent="0.25">
      <c r="A25" s="313">
        <v>40</v>
      </c>
      <c r="B25" s="314" t="s">
        <v>228</v>
      </c>
      <c r="F25" s="319">
        <f>+'PLLA PARA EL SISTEMA'!AY38+'PLLA PARA EL SISTEMA'!AZ38+'PLLA PARA EL SISTEMA'!BA38+'PLLA PARA EL SISTEMA'!BB38+'PLLA PARA EL SISTEMA'!BG38+'PLLA PARA EL SISTEMA'!BL38+'PLLA PARA EL SISTEMA'!BM38</f>
        <v>10913.495333333334</v>
      </c>
    </row>
    <row r="26" spans="1:6" x14ac:dyDescent="0.25">
      <c r="A26" s="313">
        <v>40173100</v>
      </c>
      <c r="B26" s="314" t="s">
        <v>278</v>
      </c>
      <c r="D26" s="315">
        <f>+'PLLA PARA EL SISTEMA'!BG38</f>
        <v>1123.6263333333336</v>
      </c>
      <c r="F26" s="319"/>
    </row>
    <row r="27" spans="1:6" x14ac:dyDescent="0.25">
      <c r="A27" s="313">
        <v>40310100</v>
      </c>
      <c r="B27" s="314" t="s">
        <v>229</v>
      </c>
      <c r="D27" s="315">
        <f>+'PLLA PARA EL SISTEMA'!BL38</f>
        <v>3296.7000000000003</v>
      </c>
    </row>
    <row r="28" spans="1:6" x14ac:dyDescent="0.25">
      <c r="A28" s="313">
        <v>40320100</v>
      </c>
      <c r="B28" s="314" t="s">
        <v>23</v>
      </c>
      <c r="D28" s="315">
        <f>+'PLLA PARA EL SISTEMA'!AY38</f>
        <v>3717.3500000000004</v>
      </c>
    </row>
    <row r="29" spans="1:6" x14ac:dyDescent="0.25">
      <c r="A29" s="313">
        <v>40390100</v>
      </c>
      <c r="B29" s="314" t="s">
        <v>230</v>
      </c>
      <c r="D29" s="315">
        <f>+'PLLA PARA EL SISTEMA'!BM38</f>
        <v>1831.5</v>
      </c>
    </row>
    <row r="30" spans="1:6" x14ac:dyDescent="0.25">
      <c r="A30" s="313">
        <v>40700100</v>
      </c>
      <c r="B30" s="314" t="s">
        <v>273</v>
      </c>
      <c r="D30" s="315">
        <f>SUMIF('PLLA PARA EL SISTEMA'!$J$15:$J$55,"HABITAT",'PLLA PARA EL SISTEMA'!$AZ$15:$AZ$55)+SUMIF('PLLA PARA EL SISTEMA'!$J$15:$J$55,"HABITAT",'PLLA PARA EL SISTEMA'!$BA$15:$BA$55)+SUMIF('PLLA PARA EL SISTEMA'!$J$15:$J$55,"HABITAT",'PLLA PARA EL SISTEMA'!$BB$15:$BB$55)</f>
        <v>375.68</v>
      </c>
    </row>
    <row r="31" spans="1:6" x14ac:dyDescent="0.25">
      <c r="A31" s="313">
        <v>40700101</v>
      </c>
      <c r="B31" s="314" t="s">
        <v>274</v>
      </c>
      <c r="D31" s="315">
        <f>SUMIF('PLLA PARA EL SISTEMA'!$J$15:$J$55,"INTEGRA",'PLLA PARA EL SISTEMA'!$AZ$15:$AZ$55)+SUMIF('PLLA PARA EL SISTEMA'!$J$15:$J$55,"INTEGRA",'PLLA PARA EL SISTEMA'!$BA$15:$BA$55)+SUMIF('PLLA PARA EL SISTEMA'!$J$15:$J$55,"INTEGRA",'PLLA PARA EL SISTEMA'!$BB$15:$BB$55)</f>
        <v>0</v>
      </c>
    </row>
    <row r="32" spans="1:6" x14ac:dyDescent="0.25">
      <c r="A32" s="313">
        <v>40700102</v>
      </c>
      <c r="B32" s="314" t="s">
        <v>275</v>
      </c>
      <c r="D32" s="315">
        <f>SUMIF('PLLA PARA EL SISTEMA'!$J$15:$J$55,"PRIMA",'PLLA PARA EL SISTEMA'!$AZ$15:$AZ$55)+SUMIF('PLLA PARA EL SISTEMA'!$J$15:$J$55,"PRIMA",'PLLA PARA EL SISTEMA'!$BA$15:$BA$55)+SUMIF('PLLA PARA EL SISTEMA'!$J$15:$J$55,"PRIMA",'PLLA PARA EL SISTEMA'!$BB$15:$BB$55)</f>
        <v>419.47899999999998</v>
      </c>
    </row>
    <row r="33" spans="1:6" x14ac:dyDescent="0.25">
      <c r="A33" s="313">
        <v>40700103</v>
      </c>
      <c r="B33" s="314" t="s">
        <v>276</v>
      </c>
      <c r="D33" s="315">
        <f>SUMIF('PLLA PARA EL SISTEMA'!$J$15:$J$55,"PROFUTURO",'PLLA PARA EL SISTEMA'!$AZ$15:$AZ$55)+SUMIF('PLLA PARA EL SISTEMA'!$J$15:$J$55,"PROFUTURO",'PLLA PARA EL SISTEMA'!$BA$15:$BA$55)+SUMIF('PLLA PARA EL SISTEMA'!$J$15:$J$55,"PROFUTURO",'PLLA PARA EL SISTEMA'!$BB$15:$BB$55)</f>
        <v>149.16</v>
      </c>
    </row>
    <row r="34" spans="1:6" ht="6" customHeight="1" x14ac:dyDescent="0.25"/>
    <row r="35" spans="1:6" x14ac:dyDescent="0.25">
      <c r="A35" s="313">
        <v>41</v>
      </c>
      <c r="B35" s="314" t="s">
        <v>231</v>
      </c>
      <c r="F35" s="319">
        <f>+D36</f>
        <v>36680.50466666666</v>
      </c>
    </row>
    <row r="36" spans="1:6" x14ac:dyDescent="0.25">
      <c r="A36" s="313">
        <v>41110100</v>
      </c>
      <c r="B36" s="314" t="s">
        <v>232</v>
      </c>
      <c r="D36" s="315">
        <f>+'PLLA PARA EL SISTEMA'!BK38</f>
        <v>36680.50466666666</v>
      </c>
    </row>
    <row r="38" spans="1:6" x14ac:dyDescent="0.25">
      <c r="B38" s="321" t="s">
        <v>226</v>
      </c>
    </row>
    <row r="39" spans="1:6" x14ac:dyDescent="0.25">
      <c r="A39" s="313">
        <v>62</v>
      </c>
      <c r="B39" s="314" t="s">
        <v>227</v>
      </c>
      <c r="E39" s="319">
        <f>SUM(D40:D44)</f>
        <v>47593.999999999993</v>
      </c>
    </row>
    <row r="40" spans="1:6" x14ac:dyDescent="0.25">
      <c r="A40" s="313">
        <v>62110100</v>
      </c>
      <c r="B40" s="314" t="s">
        <v>233</v>
      </c>
      <c r="D40" s="315">
        <f>+D5+D12+D19</f>
        <v>36630</v>
      </c>
    </row>
    <row r="41" spans="1:6" x14ac:dyDescent="0.25">
      <c r="A41" s="313">
        <v>62710100</v>
      </c>
      <c r="B41" s="314" t="s">
        <v>234</v>
      </c>
      <c r="D41" s="315">
        <f>+D6+D13+D20</f>
        <v>3296.7000000000003</v>
      </c>
    </row>
    <row r="42" spans="1:6" x14ac:dyDescent="0.25">
      <c r="A42" s="313">
        <v>62730100</v>
      </c>
      <c r="B42" s="314" t="s">
        <v>235</v>
      </c>
      <c r="D42" s="315">
        <f>+D7+D14+D21</f>
        <v>1831.5</v>
      </c>
    </row>
    <row r="43" spans="1:6" x14ac:dyDescent="0.25">
      <c r="A43" s="313">
        <v>62500200</v>
      </c>
      <c r="B43" s="314" t="s">
        <v>279</v>
      </c>
      <c r="D43" s="315">
        <f>+D8+D15+D22</f>
        <v>5335.7999999999984</v>
      </c>
    </row>
    <row r="44" spans="1:6" x14ac:dyDescent="0.25">
      <c r="A44" s="313">
        <v>62500300</v>
      </c>
      <c r="B44" s="314" t="s">
        <v>280</v>
      </c>
      <c r="D44" s="315">
        <f>+D9+D16+D23</f>
        <v>500.00000000000102</v>
      </c>
    </row>
    <row r="45" spans="1:6" ht="5.25" customHeight="1" x14ac:dyDescent="0.25"/>
    <row r="46" spans="1:6" x14ac:dyDescent="0.25">
      <c r="A46" s="313">
        <v>79</v>
      </c>
      <c r="B46" s="314" t="s">
        <v>238</v>
      </c>
      <c r="F46" s="319">
        <f>+D47</f>
        <v>47593.999999999993</v>
      </c>
    </row>
    <row r="47" spans="1:6" x14ac:dyDescent="0.25">
      <c r="A47" s="313">
        <v>79100100</v>
      </c>
      <c r="B47" s="314" t="s">
        <v>281</v>
      </c>
      <c r="D47" s="315">
        <f>+F35+F25</f>
        <v>47593.999999999993</v>
      </c>
    </row>
    <row r="49" spans="1:7" x14ac:dyDescent="0.25">
      <c r="A49" s="317"/>
      <c r="B49" s="321" t="s">
        <v>226</v>
      </c>
    </row>
    <row r="50" spans="1:7" x14ac:dyDescent="0.25">
      <c r="A50" s="313">
        <v>41</v>
      </c>
      <c r="B50" s="314" t="s">
        <v>231</v>
      </c>
      <c r="E50" s="319">
        <f>+D51</f>
        <v>36680.50466666666</v>
      </c>
      <c r="F50" s="319"/>
      <c r="G50" s="320" t="s">
        <v>297</v>
      </c>
    </row>
    <row r="51" spans="1:7" x14ac:dyDescent="0.25">
      <c r="A51" s="313">
        <v>41110100</v>
      </c>
      <c r="B51" s="314" t="s">
        <v>232</v>
      </c>
      <c r="D51" s="315">
        <f>+D36</f>
        <v>36680.50466666666</v>
      </c>
      <c r="G51" s="320" t="s">
        <v>297</v>
      </c>
    </row>
    <row r="52" spans="1:7" ht="6" customHeight="1" x14ac:dyDescent="0.25"/>
    <row r="53" spans="1:7" x14ac:dyDescent="0.25">
      <c r="A53" s="313" t="s">
        <v>295</v>
      </c>
      <c r="B53" s="314" t="s">
        <v>296</v>
      </c>
      <c r="F53" s="319">
        <f>+D54</f>
        <v>36680.50466666666</v>
      </c>
      <c r="G53" s="320" t="s">
        <v>297</v>
      </c>
    </row>
    <row r="54" spans="1:7" x14ac:dyDescent="0.25">
      <c r="A54" s="313" t="s">
        <v>293</v>
      </c>
      <c r="B54" s="314" t="s">
        <v>294</v>
      </c>
      <c r="D54" s="315">
        <f>+D51</f>
        <v>36680.50466666666</v>
      </c>
      <c r="G54" s="320" t="s">
        <v>297</v>
      </c>
    </row>
    <row r="55" spans="1:7" x14ac:dyDescent="0.25">
      <c r="A55" s="322"/>
      <c r="B55" s="323"/>
      <c r="C55" s="324"/>
      <c r="D55" s="324"/>
      <c r="E55" s="324"/>
      <c r="F55" s="324"/>
    </row>
    <row r="57" spans="1:7" x14ac:dyDescent="0.25">
      <c r="A57" s="313" t="s">
        <v>300</v>
      </c>
      <c r="B57" s="314" t="s">
        <v>303</v>
      </c>
    </row>
    <row r="58" spans="1:7" x14ac:dyDescent="0.25">
      <c r="A58" s="313" t="s">
        <v>301</v>
      </c>
      <c r="B58" s="314" t="s">
        <v>303</v>
      </c>
    </row>
    <row r="59" spans="1:7" x14ac:dyDescent="0.25">
      <c r="A59" s="313" t="s">
        <v>302</v>
      </c>
      <c r="B59" s="314" t="s">
        <v>303</v>
      </c>
    </row>
    <row r="60" spans="1:7" ht="4.5" customHeight="1" x14ac:dyDescent="0.25"/>
    <row r="61" spans="1:7" x14ac:dyDescent="0.25">
      <c r="A61" s="313">
        <v>41510100</v>
      </c>
      <c r="B61" s="314" t="s">
        <v>303</v>
      </c>
    </row>
    <row r="63" spans="1:7" x14ac:dyDescent="0.25">
      <c r="B63" s="321" t="s">
        <v>226</v>
      </c>
    </row>
    <row r="64" spans="1:7" x14ac:dyDescent="0.25">
      <c r="A64" s="313">
        <v>62910100</v>
      </c>
      <c r="B64" s="314" t="s">
        <v>303</v>
      </c>
    </row>
    <row r="65" spans="1:2" ht="4.5" customHeight="1" x14ac:dyDescent="0.25"/>
    <row r="66" spans="1:2" x14ac:dyDescent="0.25">
      <c r="A66" s="313">
        <v>79100100</v>
      </c>
      <c r="B66" s="314" t="s">
        <v>281</v>
      </c>
    </row>
    <row r="68" spans="1:2" x14ac:dyDescent="0.25">
      <c r="B68" s="321" t="s">
        <v>226</v>
      </c>
    </row>
    <row r="69" spans="1:2" x14ac:dyDescent="0.25">
      <c r="A69" s="313" t="s">
        <v>286</v>
      </c>
      <c r="B69" s="314" t="s">
        <v>289</v>
      </c>
    </row>
    <row r="70" spans="1:2" x14ac:dyDescent="0.25">
      <c r="A70" s="313" t="s">
        <v>285</v>
      </c>
      <c r="B70" s="314" t="s">
        <v>292</v>
      </c>
    </row>
    <row r="71" spans="1:2" x14ac:dyDescent="0.25">
      <c r="A71" s="313" t="s">
        <v>287</v>
      </c>
      <c r="B71" s="314" t="s">
        <v>289</v>
      </c>
    </row>
    <row r="72" spans="1:2" x14ac:dyDescent="0.25">
      <c r="A72" s="313" t="s">
        <v>290</v>
      </c>
      <c r="B72" s="314" t="s">
        <v>292</v>
      </c>
    </row>
    <row r="73" spans="1:2" x14ac:dyDescent="0.25">
      <c r="A73" s="313" t="s">
        <v>288</v>
      </c>
      <c r="B73" s="314" t="s">
        <v>289</v>
      </c>
    </row>
    <row r="74" spans="1:2" x14ac:dyDescent="0.25">
      <c r="A74" s="313" t="s">
        <v>291</v>
      </c>
      <c r="B74" s="314" t="s">
        <v>292</v>
      </c>
    </row>
    <row r="75" spans="1:2" ht="4.5" customHeight="1" x14ac:dyDescent="0.25"/>
    <row r="76" spans="1:2" x14ac:dyDescent="0.25">
      <c r="A76" s="313">
        <v>41140100</v>
      </c>
      <c r="B76" s="314" t="s">
        <v>289</v>
      </c>
    </row>
    <row r="78" spans="1:2" x14ac:dyDescent="0.25">
      <c r="B78" s="321" t="s">
        <v>226</v>
      </c>
    </row>
    <row r="79" spans="1:2" x14ac:dyDescent="0.25">
      <c r="A79" s="313">
        <v>62140100</v>
      </c>
      <c r="B79" s="314" t="s">
        <v>289</v>
      </c>
    </row>
    <row r="80" spans="1:2" x14ac:dyDescent="0.25">
      <c r="A80" s="313">
        <v>62140200</v>
      </c>
      <c r="B80" s="314" t="s">
        <v>292</v>
      </c>
    </row>
    <row r="81" spans="1:7" ht="4.5" customHeight="1" x14ac:dyDescent="0.25"/>
    <row r="82" spans="1:7" x14ac:dyDescent="0.25">
      <c r="A82" s="313">
        <v>79100100</v>
      </c>
      <c r="B82" s="314" t="s">
        <v>281</v>
      </c>
    </row>
    <row r="84" spans="1:7" x14ac:dyDescent="0.25">
      <c r="B84" s="321" t="s">
        <v>226</v>
      </c>
    </row>
    <row r="85" spans="1:7" x14ac:dyDescent="0.25">
      <c r="A85" s="313" t="s">
        <v>304</v>
      </c>
      <c r="B85" s="314" t="s">
        <v>307</v>
      </c>
    </row>
    <row r="86" spans="1:7" x14ac:dyDescent="0.25">
      <c r="A86" s="313" t="s">
        <v>266</v>
      </c>
      <c r="B86" s="314" t="s">
        <v>234</v>
      </c>
    </row>
    <row r="87" spans="1:7" x14ac:dyDescent="0.25">
      <c r="A87" s="313" t="s">
        <v>305</v>
      </c>
      <c r="B87" s="314" t="s">
        <v>307</v>
      </c>
    </row>
    <row r="88" spans="1:7" x14ac:dyDescent="0.25">
      <c r="A88" s="313" t="s">
        <v>267</v>
      </c>
      <c r="B88" s="314" t="s">
        <v>234</v>
      </c>
    </row>
    <row r="89" spans="1:7" x14ac:dyDescent="0.25">
      <c r="A89" s="313" t="s">
        <v>306</v>
      </c>
      <c r="B89" s="314" t="s">
        <v>307</v>
      </c>
    </row>
    <row r="90" spans="1:7" x14ac:dyDescent="0.25">
      <c r="A90" s="313" t="s">
        <v>268</v>
      </c>
      <c r="B90" s="314" t="s">
        <v>234</v>
      </c>
    </row>
    <row r="91" spans="1:7" ht="6" customHeight="1" x14ac:dyDescent="0.25"/>
    <row r="92" spans="1:7" x14ac:dyDescent="0.25">
      <c r="A92" s="313">
        <v>40310200</v>
      </c>
      <c r="B92" s="314" t="s">
        <v>308</v>
      </c>
      <c r="G92" s="320" t="s">
        <v>309</v>
      </c>
    </row>
    <row r="93" spans="1:7" x14ac:dyDescent="0.25">
      <c r="A93" s="313">
        <v>41150100</v>
      </c>
      <c r="B93" s="314" t="s">
        <v>307</v>
      </c>
    </row>
    <row r="95" spans="1:7" x14ac:dyDescent="0.25">
      <c r="B95" s="321" t="s">
        <v>226</v>
      </c>
    </row>
    <row r="96" spans="1:7" x14ac:dyDescent="0.25">
      <c r="A96" s="313">
        <v>62150100</v>
      </c>
      <c r="B96" s="314" t="s">
        <v>307</v>
      </c>
    </row>
    <row r="97" spans="1:2" ht="6" customHeight="1" x14ac:dyDescent="0.25"/>
    <row r="98" spans="1:2" x14ac:dyDescent="0.25">
      <c r="A98" s="313">
        <v>79100100</v>
      </c>
      <c r="B98" s="314" t="s">
        <v>281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IN61"/>
  <sheetViews>
    <sheetView tabSelected="1" zoomScaleNormal="100" workbookViewId="0">
      <selection activeCell="F7" sqref="F7"/>
    </sheetView>
  </sheetViews>
  <sheetFormatPr defaultColWidth="11.42578125" defaultRowHeight="12" x14ac:dyDescent="0.2"/>
  <cols>
    <col min="1" max="1" width="3.140625" style="104" bestFit="1" customWidth="1"/>
    <col min="2" max="2" width="11.140625" style="104" customWidth="1"/>
    <col min="3" max="3" width="38.42578125" style="104" customWidth="1"/>
    <col min="4" max="4" width="27.7109375" style="104" customWidth="1"/>
    <col min="5" max="5" width="12.140625" style="104" customWidth="1"/>
    <col min="6" max="6" width="14.28515625" style="104" customWidth="1"/>
    <col min="7" max="8" width="10.42578125" style="147" customWidth="1"/>
    <col min="9" max="9" width="10.85546875" style="104" customWidth="1"/>
    <col min="10" max="10" width="12.7109375" style="104" customWidth="1"/>
    <col min="11" max="11" width="15.140625" style="104" customWidth="1"/>
    <col min="12" max="12" width="12.7109375" style="104" customWidth="1"/>
    <col min="13" max="13" width="7.85546875" style="104" customWidth="1"/>
    <col min="14" max="14" width="22.7109375" style="104" customWidth="1"/>
    <col min="15" max="15" width="9.42578125" style="104" customWidth="1"/>
    <col min="16" max="16" width="6" style="104" customWidth="1"/>
    <col min="17" max="18" width="7.5703125" style="105" customWidth="1"/>
    <col min="19" max="19" width="9.42578125" style="105" customWidth="1"/>
    <col min="20" max="20" width="6.5703125" style="104" customWidth="1"/>
    <col min="21" max="21" width="9" style="104" customWidth="1"/>
    <col min="22" max="22" width="9.5703125" style="104" customWidth="1"/>
    <col min="23" max="24" width="10.85546875" style="104" customWidth="1"/>
    <col min="25" max="25" width="6.42578125" style="106" customWidth="1"/>
    <col min="26" max="26" width="11" style="106" customWidth="1"/>
    <col min="27" max="27" width="6.42578125" style="106" customWidth="1"/>
    <col min="28" max="28" width="7.7109375" style="106" customWidth="1"/>
    <col min="29" max="30" width="10.85546875" style="106" customWidth="1"/>
    <col min="31" max="31" width="9.7109375" style="106" customWidth="1"/>
    <col min="32" max="32" width="9.28515625" style="107" customWidth="1"/>
    <col min="33" max="33" width="10.28515625" style="107" customWidth="1"/>
    <col min="34" max="34" width="10.7109375" style="107" customWidth="1"/>
    <col min="35" max="35" width="13.28515625" style="107" customWidth="1"/>
    <col min="36" max="36" width="8.42578125" style="107" customWidth="1"/>
    <col min="37" max="37" width="9" style="107" customWidth="1"/>
    <col min="38" max="38" width="8.140625" style="107" customWidth="1"/>
    <col min="39" max="41" width="8.85546875" style="107" customWidth="1"/>
    <col min="42" max="43" width="9.85546875" style="107" customWidth="1"/>
    <col min="44" max="44" width="11.28515625" style="107" customWidth="1"/>
    <col min="45" max="45" width="9" style="107" customWidth="1"/>
    <col min="46" max="46" width="9.85546875" style="107" customWidth="1"/>
    <col min="47" max="47" width="11" style="107" customWidth="1"/>
    <col min="48" max="48" width="13.28515625" style="107" customWidth="1"/>
    <col min="49" max="49" width="11.42578125" style="107" customWidth="1"/>
    <col min="50" max="50" width="10.85546875" style="107" customWidth="1"/>
    <col min="51" max="51" width="9" style="107" customWidth="1"/>
    <col min="52" max="52" width="8" style="107" customWidth="1"/>
    <col min="53" max="53" width="8.7109375" style="107" customWidth="1"/>
    <col min="54" max="54" width="9.7109375" style="107" customWidth="1"/>
    <col min="55" max="55" width="10.5703125" style="107" customWidth="1"/>
    <col min="56" max="56" width="15.5703125" style="107" customWidth="1"/>
    <col min="57" max="57" width="10.85546875" style="107" customWidth="1"/>
    <col min="58" max="58" width="14.28515625" style="107" customWidth="1"/>
    <col min="59" max="59" width="12.5703125" style="107" customWidth="1"/>
    <col min="60" max="60" width="2.85546875" style="107" customWidth="1"/>
    <col min="61" max="61" width="13.28515625" style="107" customWidth="1"/>
    <col min="62" max="62" width="12.5703125" style="107" customWidth="1"/>
    <col min="63" max="63" width="12.140625" style="107" customWidth="1"/>
    <col min="64" max="65" width="12.7109375" style="107" customWidth="1"/>
    <col min="66" max="66" width="11.7109375" style="108" customWidth="1"/>
    <col min="67" max="67" width="11" style="108" customWidth="1"/>
    <col min="68" max="68" width="2.85546875" style="107" customWidth="1"/>
    <col min="69" max="69" width="11.5703125" style="108" customWidth="1"/>
    <col min="70" max="16384" width="11.42578125" style="108"/>
  </cols>
  <sheetData>
    <row r="1" spans="1:248" ht="12" customHeight="1" x14ac:dyDescent="0.2"/>
    <row r="2" spans="1:248" ht="12" customHeight="1" x14ac:dyDescent="0.2">
      <c r="Y2" s="109"/>
      <c r="Z2" s="109"/>
      <c r="AA2" s="109"/>
      <c r="AB2" s="109"/>
      <c r="AC2" s="109"/>
      <c r="AD2" s="109"/>
      <c r="AE2" s="109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</row>
    <row r="3" spans="1:248" ht="12" customHeight="1" x14ac:dyDescent="0.2">
      <c r="E3" s="111" t="s">
        <v>164</v>
      </c>
      <c r="F3" s="111" t="s">
        <v>163</v>
      </c>
      <c r="G3" s="145" t="s">
        <v>162</v>
      </c>
      <c r="H3" s="145" t="s">
        <v>161</v>
      </c>
      <c r="I3" s="111" t="s">
        <v>160</v>
      </c>
      <c r="J3" s="111" t="s">
        <v>159</v>
      </c>
      <c r="K3" s="112"/>
      <c r="L3" s="147"/>
      <c r="Y3" s="109"/>
      <c r="Z3" s="109"/>
      <c r="AA3" s="109"/>
      <c r="AB3" s="109"/>
      <c r="AC3" s="109"/>
      <c r="AD3" s="109"/>
      <c r="AE3" s="109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</row>
    <row r="4" spans="1:248" s="105" customFormat="1" ht="12" customHeight="1" thickBot="1" x14ac:dyDescent="0.25">
      <c r="C4" s="104"/>
      <c r="D4" s="111" t="s">
        <v>23</v>
      </c>
      <c r="E4" s="113"/>
      <c r="F4" s="113"/>
      <c r="G4" s="138"/>
      <c r="H4" s="138"/>
      <c r="I4" s="114">
        <v>0.13</v>
      </c>
      <c r="J4" s="113"/>
      <c r="K4" s="115"/>
      <c r="Y4" s="116"/>
      <c r="Z4" s="116"/>
      <c r="AA4" s="116"/>
      <c r="AB4" s="116"/>
      <c r="AC4" s="116"/>
      <c r="AD4" s="116"/>
      <c r="AE4" s="116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5"/>
      <c r="BO4" s="115"/>
      <c r="BP4" s="118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  <c r="FZ4" s="115"/>
      <c r="GA4" s="115"/>
      <c r="GB4" s="115"/>
      <c r="GC4" s="115"/>
      <c r="GD4" s="115"/>
      <c r="GE4" s="115"/>
      <c r="GF4" s="115"/>
      <c r="GG4" s="115"/>
      <c r="GH4" s="115"/>
      <c r="GI4" s="115"/>
      <c r="GJ4" s="115"/>
      <c r="GK4" s="115"/>
      <c r="GL4" s="115"/>
      <c r="GM4" s="115"/>
      <c r="GN4" s="115"/>
      <c r="GO4" s="115"/>
      <c r="GP4" s="115"/>
      <c r="GQ4" s="115"/>
      <c r="GR4" s="115"/>
      <c r="GS4" s="115"/>
      <c r="GT4" s="115"/>
      <c r="GU4" s="115"/>
      <c r="GV4" s="115"/>
      <c r="GW4" s="115"/>
      <c r="GX4" s="115"/>
      <c r="GY4" s="115"/>
      <c r="GZ4" s="115"/>
      <c r="HA4" s="115"/>
      <c r="HB4" s="115"/>
      <c r="HC4" s="115"/>
      <c r="HD4" s="115"/>
      <c r="HE4" s="115"/>
      <c r="HF4" s="115"/>
      <c r="HG4" s="115"/>
      <c r="HH4" s="115"/>
      <c r="HI4" s="115"/>
      <c r="HJ4" s="115"/>
      <c r="HK4" s="115"/>
      <c r="HL4" s="115"/>
      <c r="HM4" s="115"/>
      <c r="HN4" s="115"/>
      <c r="HO4" s="115"/>
      <c r="HP4" s="115"/>
      <c r="HQ4" s="115"/>
      <c r="HR4" s="115"/>
      <c r="HS4" s="115"/>
      <c r="HT4" s="115"/>
      <c r="HU4" s="115"/>
      <c r="HV4" s="115"/>
      <c r="HW4" s="115"/>
      <c r="HX4" s="115"/>
      <c r="HY4" s="115"/>
      <c r="HZ4" s="115"/>
      <c r="IA4" s="115"/>
      <c r="IB4" s="115"/>
      <c r="IC4" s="115"/>
      <c r="ID4" s="115"/>
      <c r="IE4" s="115"/>
      <c r="IF4" s="115"/>
      <c r="IG4" s="115"/>
      <c r="IH4" s="115"/>
      <c r="II4" s="115"/>
      <c r="IJ4" s="115"/>
      <c r="IK4" s="115"/>
      <c r="IL4" s="115"/>
      <c r="IM4" s="115"/>
      <c r="IN4" s="115"/>
    </row>
    <row r="5" spans="1:248" ht="12" customHeight="1" thickBot="1" x14ac:dyDescent="0.25">
      <c r="D5" s="119" t="s">
        <v>158</v>
      </c>
      <c r="E5" s="120">
        <v>1.8499999999999999E-2</v>
      </c>
      <c r="F5" s="120">
        <v>1.6500000000000001E-2</v>
      </c>
      <c r="G5" s="148">
        <v>1.3599999999999999E-2</v>
      </c>
      <c r="H5" s="148">
        <v>0.1</v>
      </c>
      <c r="I5" s="120">
        <f>SUM(E5:H5)</f>
        <v>0.14860000000000001</v>
      </c>
      <c r="J5" s="121">
        <v>8750.2199999999993</v>
      </c>
      <c r="K5" s="268" t="s">
        <v>198</v>
      </c>
      <c r="L5" s="267">
        <v>850</v>
      </c>
      <c r="P5" s="108"/>
      <c r="Q5" s="115"/>
      <c r="R5" s="115"/>
      <c r="S5" s="115"/>
      <c r="T5" s="108"/>
      <c r="U5" s="109"/>
      <c r="V5" s="108"/>
      <c r="W5" s="108"/>
      <c r="X5" s="108"/>
      <c r="Y5" s="109"/>
      <c r="Z5" s="109"/>
      <c r="AA5" s="109"/>
      <c r="AB5" s="109"/>
      <c r="AC5" s="109"/>
      <c r="AD5" s="109"/>
      <c r="AE5" s="109"/>
      <c r="AF5" s="110"/>
      <c r="AG5" s="110"/>
      <c r="AH5" s="110"/>
      <c r="AI5" s="110"/>
      <c r="AJ5" s="110"/>
      <c r="AK5" s="110"/>
      <c r="AL5" s="123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</row>
    <row r="6" spans="1:248" ht="12" customHeight="1" thickBot="1" x14ac:dyDescent="0.25">
      <c r="D6" s="124" t="s">
        <v>157</v>
      </c>
      <c r="E6" s="125">
        <v>1.47E-2</v>
      </c>
      <c r="F6" s="125">
        <v>3.8E-3</v>
      </c>
      <c r="G6" s="149">
        <v>1.3599999999999999E-2</v>
      </c>
      <c r="H6" s="149">
        <v>0.1</v>
      </c>
      <c r="I6" s="125">
        <f>SUM(F6:H6)</f>
        <v>0.1174</v>
      </c>
      <c r="J6" s="126">
        <v>9321.52</v>
      </c>
      <c r="K6" s="269" t="s">
        <v>260</v>
      </c>
      <c r="L6" s="271">
        <v>7.4999999999999997E-3</v>
      </c>
      <c r="P6" s="108"/>
      <c r="Q6" s="115"/>
      <c r="R6" s="115"/>
      <c r="S6" s="115"/>
      <c r="T6" s="108"/>
      <c r="U6" s="108"/>
      <c r="V6" s="108"/>
      <c r="W6" s="108"/>
      <c r="X6" s="108"/>
      <c r="Y6" s="109"/>
      <c r="Z6" s="109"/>
      <c r="AA6" s="109"/>
      <c r="AB6" s="109"/>
      <c r="AC6" s="109"/>
      <c r="AD6" s="109"/>
      <c r="AE6" s="109"/>
      <c r="AF6" s="110"/>
      <c r="AG6" s="110"/>
      <c r="AH6" s="110"/>
      <c r="AI6" s="110"/>
      <c r="AJ6" s="110"/>
      <c r="AK6" s="110"/>
      <c r="AL6" s="123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</row>
    <row r="7" spans="1:248" ht="12" customHeight="1" thickBot="1" x14ac:dyDescent="0.25">
      <c r="D7" s="124" t="s">
        <v>156</v>
      </c>
      <c r="E7" s="125">
        <v>1.55E-2</v>
      </c>
      <c r="F7" s="125">
        <v>8.9999999999999993E-3</v>
      </c>
      <c r="G7" s="149">
        <v>1.3599999999999999E-2</v>
      </c>
      <c r="H7" s="149">
        <v>0.1</v>
      </c>
      <c r="I7" s="125">
        <f t="shared" ref="I7:I9" si="0">SUM(F7:H7)</f>
        <v>0.1226</v>
      </c>
      <c r="J7" s="126">
        <v>9321.52</v>
      </c>
      <c r="K7" s="270" t="s">
        <v>230</v>
      </c>
      <c r="L7" s="271"/>
      <c r="P7" s="127"/>
      <c r="Q7" s="127"/>
      <c r="R7" s="127"/>
      <c r="S7" s="127"/>
      <c r="T7" s="127"/>
      <c r="U7" s="128"/>
      <c r="V7" s="128"/>
      <c r="W7" s="128"/>
      <c r="X7" s="128"/>
      <c r="Y7" s="116"/>
      <c r="Z7" s="116"/>
      <c r="AA7" s="116"/>
      <c r="AB7" s="116"/>
      <c r="AC7" s="116"/>
      <c r="AD7" s="116"/>
      <c r="AE7" s="116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</row>
    <row r="8" spans="1:248" ht="12" customHeight="1" x14ac:dyDescent="0.2">
      <c r="D8" s="124" t="s">
        <v>155</v>
      </c>
      <c r="E8" s="125">
        <v>1.6E-2</v>
      </c>
      <c r="F8" s="125">
        <v>1.8E-3</v>
      </c>
      <c r="G8" s="149">
        <v>1.3599999999999999E-2</v>
      </c>
      <c r="H8" s="149">
        <v>0.1</v>
      </c>
      <c r="I8" s="125">
        <f t="shared" si="0"/>
        <v>0.1154</v>
      </c>
      <c r="J8" s="126">
        <v>9321.52</v>
      </c>
      <c r="K8" s="122"/>
      <c r="L8" s="106"/>
      <c r="M8" s="129"/>
      <c r="N8" s="129"/>
      <c r="P8" s="127"/>
      <c r="Q8" s="127"/>
      <c r="R8" s="127"/>
      <c r="S8" s="127"/>
      <c r="T8" s="127"/>
      <c r="U8" s="154"/>
      <c r="V8" s="112"/>
      <c r="W8" s="112"/>
      <c r="X8" s="112"/>
      <c r="Y8" s="116"/>
      <c r="Z8" s="116"/>
      <c r="AA8" s="116"/>
      <c r="AB8" s="116"/>
      <c r="AC8" s="116"/>
      <c r="AD8" s="116"/>
      <c r="AE8" s="116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</row>
    <row r="9" spans="1:248" ht="12" customHeight="1" x14ac:dyDescent="0.2">
      <c r="D9" s="124" t="s">
        <v>154</v>
      </c>
      <c r="E9" s="125">
        <v>1.6899999999999998E-2</v>
      </c>
      <c r="F9" s="125">
        <v>1.0699999999999999E-2</v>
      </c>
      <c r="G9" s="149">
        <v>1.3599999999999999E-2</v>
      </c>
      <c r="H9" s="149">
        <v>0.1</v>
      </c>
      <c r="I9" s="125">
        <f t="shared" si="0"/>
        <v>0.12430000000000001</v>
      </c>
      <c r="J9" s="126">
        <v>9321.52</v>
      </c>
      <c r="K9" s="122"/>
      <c r="L9" s="129"/>
      <c r="M9" s="129"/>
      <c r="N9" s="129"/>
      <c r="P9" s="127"/>
      <c r="Q9" s="127"/>
      <c r="R9" s="127"/>
      <c r="S9" s="127"/>
      <c r="T9" s="127"/>
      <c r="U9" s="130"/>
      <c r="V9" s="130"/>
      <c r="W9" s="130"/>
      <c r="X9" s="130"/>
      <c r="Y9" s="116"/>
      <c r="Z9" s="116"/>
      <c r="AA9" s="116"/>
      <c r="AB9" s="116"/>
      <c r="AC9" s="116"/>
      <c r="AD9" s="116"/>
      <c r="AE9" s="116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</row>
    <row r="10" spans="1:248" s="104" customFormat="1" x14ac:dyDescent="0.2">
      <c r="A10" s="104">
        <v>1</v>
      </c>
      <c r="B10" s="104">
        <f t="shared" ref="B10:AG10" si="1">+A10+1</f>
        <v>2</v>
      </c>
      <c r="C10" s="104">
        <f t="shared" si="1"/>
        <v>3</v>
      </c>
      <c r="D10" s="104">
        <f t="shared" si="1"/>
        <v>4</v>
      </c>
      <c r="E10" s="104">
        <f t="shared" si="1"/>
        <v>5</v>
      </c>
      <c r="F10" s="104">
        <f t="shared" si="1"/>
        <v>6</v>
      </c>
      <c r="G10" s="147">
        <f t="shared" si="1"/>
        <v>7</v>
      </c>
      <c r="H10" s="147">
        <f t="shared" si="1"/>
        <v>8</v>
      </c>
      <c r="I10" s="104">
        <f t="shared" si="1"/>
        <v>9</v>
      </c>
      <c r="J10" s="104">
        <f t="shared" si="1"/>
        <v>10</v>
      </c>
      <c r="K10" s="104">
        <f t="shared" si="1"/>
        <v>11</v>
      </c>
      <c r="L10" s="104">
        <f t="shared" si="1"/>
        <v>12</v>
      </c>
      <c r="M10" s="104">
        <f t="shared" si="1"/>
        <v>13</v>
      </c>
      <c r="N10" s="104">
        <f t="shared" si="1"/>
        <v>14</v>
      </c>
      <c r="O10" s="104">
        <f>+N10+1</f>
        <v>15</v>
      </c>
      <c r="P10" s="104">
        <f t="shared" si="1"/>
        <v>16</v>
      </c>
      <c r="Q10" s="104">
        <f t="shared" si="1"/>
        <v>17</v>
      </c>
      <c r="R10" s="104">
        <f t="shared" si="1"/>
        <v>18</v>
      </c>
      <c r="S10" s="104">
        <f t="shared" si="1"/>
        <v>19</v>
      </c>
      <c r="T10" s="104">
        <f t="shared" si="1"/>
        <v>20</v>
      </c>
      <c r="U10" s="104">
        <f t="shared" si="1"/>
        <v>21</v>
      </c>
      <c r="V10" s="104">
        <f t="shared" si="1"/>
        <v>22</v>
      </c>
      <c r="W10" s="104">
        <f t="shared" si="1"/>
        <v>23</v>
      </c>
      <c r="X10" s="104">
        <f t="shared" ref="X10" si="2">+W10+1</f>
        <v>24</v>
      </c>
      <c r="Y10" s="104">
        <f t="shared" ref="Y10" si="3">+X10+1</f>
        <v>25</v>
      </c>
      <c r="Z10" s="104">
        <f t="shared" si="1"/>
        <v>26</v>
      </c>
      <c r="AA10" s="104">
        <f t="shared" si="1"/>
        <v>27</v>
      </c>
      <c r="AB10" s="104">
        <f t="shared" si="1"/>
        <v>28</v>
      </c>
      <c r="AC10" s="104">
        <f t="shared" si="1"/>
        <v>29</v>
      </c>
      <c r="AD10" s="104">
        <f t="shared" si="1"/>
        <v>30</v>
      </c>
      <c r="AE10" s="104">
        <f t="shared" si="1"/>
        <v>31</v>
      </c>
      <c r="AF10" s="104">
        <f t="shared" si="1"/>
        <v>32</v>
      </c>
      <c r="AG10" s="104">
        <f t="shared" si="1"/>
        <v>33</v>
      </c>
      <c r="AH10" s="104">
        <f t="shared" ref="AH10:BM10" si="4">+AG10+1</f>
        <v>34</v>
      </c>
      <c r="AI10" s="104">
        <f t="shared" si="4"/>
        <v>35</v>
      </c>
      <c r="AJ10" s="104">
        <f t="shared" si="4"/>
        <v>36</v>
      </c>
      <c r="AK10" s="104">
        <f t="shared" si="4"/>
        <v>37</v>
      </c>
      <c r="AL10" s="104">
        <f t="shared" si="4"/>
        <v>38</v>
      </c>
      <c r="AM10" s="104">
        <f t="shared" si="4"/>
        <v>39</v>
      </c>
      <c r="AN10" s="104">
        <f t="shared" si="4"/>
        <v>40</v>
      </c>
      <c r="AO10" s="104">
        <f t="shared" si="4"/>
        <v>41</v>
      </c>
      <c r="AP10" s="104">
        <f t="shared" si="4"/>
        <v>42</v>
      </c>
      <c r="AQ10" s="104">
        <f t="shared" si="4"/>
        <v>43</v>
      </c>
      <c r="AR10" s="104">
        <f t="shared" si="4"/>
        <v>44</v>
      </c>
      <c r="AS10" s="104">
        <f t="shared" si="4"/>
        <v>45</v>
      </c>
      <c r="AT10" s="104">
        <f t="shared" si="4"/>
        <v>46</v>
      </c>
      <c r="AU10" s="104">
        <f t="shared" si="4"/>
        <v>47</v>
      </c>
      <c r="AV10" s="104">
        <f t="shared" si="4"/>
        <v>48</v>
      </c>
      <c r="AW10" s="104">
        <f t="shared" si="4"/>
        <v>49</v>
      </c>
      <c r="AX10" s="104">
        <f t="shared" si="4"/>
        <v>50</v>
      </c>
      <c r="AY10" s="104">
        <f t="shared" si="4"/>
        <v>51</v>
      </c>
      <c r="AZ10" s="104">
        <f t="shared" si="4"/>
        <v>52</v>
      </c>
      <c r="BA10" s="104">
        <f t="shared" si="4"/>
        <v>53</v>
      </c>
      <c r="BB10" s="104">
        <f t="shared" si="4"/>
        <v>54</v>
      </c>
      <c r="BC10" s="104">
        <f t="shared" si="4"/>
        <v>55</v>
      </c>
      <c r="BD10" s="104">
        <f t="shared" si="4"/>
        <v>56</v>
      </c>
      <c r="BE10" s="104">
        <f t="shared" si="4"/>
        <v>57</v>
      </c>
      <c r="BF10" s="104">
        <f t="shared" si="4"/>
        <v>58</v>
      </c>
      <c r="BG10" s="104">
        <f t="shared" si="4"/>
        <v>59</v>
      </c>
      <c r="BH10" s="104">
        <f t="shared" si="4"/>
        <v>60</v>
      </c>
      <c r="BI10" s="104">
        <f t="shared" si="4"/>
        <v>61</v>
      </c>
      <c r="BJ10" s="104">
        <f t="shared" si="4"/>
        <v>62</v>
      </c>
      <c r="BK10" s="104">
        <f t="shared" si="4"/>
        <v>63</v>
      </c>
      <c r="BL10" s="104">
        <f t="shared" si="4"/>
        <v>64</v>
      </c>
      <c r="BM10" s="104">
        <f t="shared" si="4"/>
        <v>65</v>
      </c>
      <c r="BN10" s="104">
        <f t="shared" ref="BN10" si="5">+BM10+1</f>
        <v>66</v>
      </c>
      <c r="BO10" s="104">
        <f t="shared" ref="BO10" si="6">+BN10+1</f>
        <v>67</v>
      </c>
      <c r="BP10" s="104">
        <f t="shared" ref="BP10" si="7">+BO10+1</f>
        <v>68</v>
      </c>
      <c r="BQ10" s="104">
        <f t="shared" ref="BQ10" si="8">+BP10+1</f>
        <v>69</v>
      </c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</row>
    <row r="11" spans="1:248" s="104" customFormat="1" x14ac:dyDescent="0.2">
      <c r="D11" s="131"/>
      <c r="E11" s="132"/>
      <c r="F11" s="132"/>
      <c r="G11" s="150"/>
      <c r="H11" s="150"/>
      <c r="I11" s="132"/>
      <c r="J11" s="122"/>
      <c r="K11" s="122"/>
      <c r="L11" s="108"/>
      <c r="M11" s="108"/>
      <c r="N11" s="108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326" t="s">
        <v>34</v>
      </c>
      <c r="Z11" s="326"/>
      <c r="AA11" s="326"/>
      <c r="AB11" s="327"/>
      <c r="AC11" s="327" t="s">
        <v>125</v>
      </c>
      <c r="AD11" s="327"/>
      <c r="AE11" s="327"/>
      <c r="AF11" s="328" t="s">
        <v>153</v>
      </c>
      <c r="AG11" s="328"/>
      <c r="AH11" s="328"/>
      <c r="AI11" s="328"/>
      <c r="AJ11" s="328"/>
      <c r="AK11" s="328"/>
      <c r="AL11" s="328"/>
      <c r="AM11" s="328"/>
      <c r="AN11" s="328"/>
      <c r="AO11" s="328"/>
      <c r="AP11" s="328"/>
      <c r="AQ11" s="328"/>
      <c r="AR11" s="328"/>
      <c r="AS11" s="328"/>
      <c r="AT11" s="328"/>
      <c r="AU11" s="328"/>
      <c r="AV11" s="328"/>
      <c r="AW11" s="328"/>
      <c r="AX11" s="329" t="s">
        <v>152</v>
      </c>
      <c r="AY11" s="328" t="s">
        <v>151</v>
      </c>
      <c r="AZ11" s="328"/>
      <c r="BA11" s="328"/>
      <c r="BB11" s="328"/>
      <c r="BC11" s="328"/>
      <c r="BD11" s="328"/>
      <c r="BE11" s="328"/>
      <c r="BF11" s="328"/>
      <c r="BG11" s="328"/>
      <c r="BH11" s="107"/>
      <c r="BI11" s="329" t="s">
        <v>150</v>
      </c>
      <c r="BJ11" s="329" t="s">
        <v>149</v>
      </c>
      <c r="BK11" s="329" t="s">
        <v>58</v>
      </c>
      <c r="BL11" s="336" t="s">
        <v>255</v>
      </c>
      <c r="BM11" s="336" t="s">
        <v>256</v>
      </c>
      <c r="BN11" s="336" t="s">
        <v>261</v>
      </c>
      <c r="BO11" s="336" t="s">
        <v>257</v>
      </c>
      <c r="BP11" s="107"/>
      <c r="BQ11" s="355" t="s">
        <v>258</v>
      </c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</row>
    <row r="12" spans="1:248" s="104" customFormat="1" x14ac:dyDescent="0.2">
      <c r="A12" s="344" t="s">
        <v>148</v>
      </c>
      <c r="B12" s="344" t="s">
        <v>200</v>
      </c>
      <c r="C12" s="344" t="s">
        <v>147</v>
      </c>
      <c r="D12" s="346" t="s">
        <v>146</v>
      </c>
      <c r="E12" s="334" t="s">
        <v>248</v>
      </c>
      <c r="F12" s="344" t="s">
        <v>145</v>
      </c>
      <c r="G12" s="334" t="s">
        <v>144</v>
      </c>
      <c r="H12" s="334" t="s">
        <v>143</v>
      </c>
      <c r="I12" s="334" t="s">
        <v>142</v>
      </c>
      <c r="J12" s="334" t="s">
        <v>141</v>
      </c>
      <c r="K12" s="342" t="s">
        <v>249</v>
      </c>
      <c r="L12" s="334" t="s">
        <v>140</v>
      </c>
      <c r="M12" s="348" t="s">
        <v>139</v>
      </c>
      <c r="N12" s="348" t="s">
        <v>138</v>
      </c>
      <c r="O12" s="332" t="s">
        <v>137</v>
      </c>
      <c r="P12" s="340" t="s">
        <v>136</v>
      </c>
      <c r="Q12" s="340" t="s">
        <v>135</v>
      </c>
      <c r="R12" s="340" t="s">
        <v>134</v>
      </c>
      <c r="S12" s="340" t="s">
        <v>212</v>
      </c>
      <c r="T12" s="340" t="s">
        <v>133</v>
      </c>
      <c r="U12" s="350" t="s">
        <v>127</v>
      </c>
      <c r="V12" s="350" t="s">
        <v>132</v>
      </c>
      <c r="W12" s="352" t="s">
        <v>251</v>
      </c>
      <c r="X12" s="352" t="s">
        <v>252</v>
      </c>
      <c r="Y12" s="133" t="s">
        <v>121</v>
      </c>
      <c r="Z12" s="133" t="s">
        <v>121</v>
      </c>
      <c r="AA12" s="133" t="s">
        <v>121</v>
      </c>
      <c r="AB12" s="332" t="s">
        <v>131</v>
      </c>
      <c r="AC12" s="332" t="s">
        <v>130</v>
      </c>
      <c r="AD12" s="332" t="s">
        <v>129</v>
      </c>
      <c r="AE12" s="332" t="s">
        <v>128</v>
      </c>
      <c r="AF12" s="329" t="s">
        <v>127</v>
      </c>
      <c r="AG12" s="336" t="s">
        <v>126</v>
      </c>
      <c r="AH12" s="338" t="s">
        <v>125</v>
      </c>
      <c r="AI12" s="329" t="s">
        <v>124</v>
      </c>
      <c r="AJ12" s="329" t="s">
        <v>123</v>
      </c>
      <c r="AK12" s="329" t="s">
        <v>122</v>
      </c>
      <c r="AL12" s="134" t="s">
        <v>121</v>
      </c>
      <c r="AM12" s="134" t="s">
        <v>121</v>
      </c>
      <c r="AN12" s="134" t="s">
        <v>121</v>
      </c>
      <c r="AO12" s="338" t="s">
        <v>120</v>
      </c>
      <c r="AP12" s="329" t="s">
        <v>119</v>
      </c>
      <c r="AQ12" s="329" t="s">
        <v>118</v>
      </c>
      <c r="AR12" s="329" t="s">
        <v>117</v>
      </c>
      <c r="AS12" s="329" t="s">
        <v>116</v>
      </c>
      <c r="AT12" s="329" t="s">
        <v>115</v>
      </c>
      <c r="AU12" s="329" t="s">
        <v>114</v>
      </c>
      <c r="AV12" s="329" t="s">
        <v>113</v>
      </c>
      <c r="AW12" s="329" t="s">
        <v>112</v>
      </c>
      <c r="AX12" s="331"/>
      <c r="AY12" s="329" t="s">
        <v>111</v>
      </c>
      <c r="AZ12" s="329" t="s">
        <v>110</v>
      </c>
      <c r="BA12" s="329" t="s">
        <v>109</v>
      </c>
      <c r="BB12" s="329" t="s">
        <v>108</v>
      </c>
      <c r="BC12" s="329" t="s">
        <v>107</v>
      </c>
      <c r="BD12" s="329" t="s">
        <v>106</v>
      </c>
      <c r="BE12" s="329" t="s">
        <v>105</v>
      </c>
      <c r="BF12" s="329" t="s">
        <v>104</v>
      </c>
      <c r="BG12" s="329" t="s">
        <v>103</v>
      </c>
      <c r="BH12" s="135"/>
      <c r="BI12" s="331"/>
      <c r="BJ12" s="331"/>
      <c r="BK12" s="331"/>
      <c r="BL12" s="354"/>
      <c r="BM12" s="354"/>
      <c r="BN12" s="354"/>
      <c r="BO12" s="354"/>
      <c r="BP12" s="135"/>
      <c r="BQ12" s="356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</row>
    <row r="13" spans="1:248" s="104" customFormat="1" x14ac:dyDescent="0.2">
      <c r="A13" s="345"/>
      <c r="B13" s="345"/>
      <c r="C13" s="345"/>
      <c r="D13" s="347"/>
      <c r="E13" s="335"/>
      <c r="F13" s="345"/>
      <c r="G13" s="335"/>
      <c r="H13" s="335"/>
      <c r="I13" s="335"/>
      <c r="J13" s="335"/>
      <c r="K13" s="343"/>
      <c r="L13" s="335"/>
      <c r="M13" s="349"/>
      <c r="N13" s="349"/>
      <c r="O13" s="333"/>
      <c r="P13" s="341"/>
      <c r="Q13" s="341"/>
      <c r="R13" s="341"/>
      <c r="S13" s="341"/>
      <c r="T13" s="341"/>
      <c r="U13" s="351"/>
      <c r="V13" s="351"/>
      <c r="W13" s="353"/>
      <c r="X13" s="353"/>
      <c r="Y13" s="136">
        <v>1.25</v>
      </c>
      <c r="Z13" s="136">
        <v>1.35</v>
      </c>
      <c r="AA13" s="136">
        <v>2</v>
      </c>
      <c r="AB13" s="333"/>
      <c r="AC13" s="333"/>
      <c r="AD13" s="333"/>
      <c r="AE13" s="333"/>
      <c r="AF13" s="330"/>
      <c r="AG13" s="337"/>
      <c r="AH13" s="339"/>
      <c r="AI13" s="330"/>
      <c r="AJ13" s="330"/>
      <c r="AK13" s="330"/>
      <c r="AL13" s="134">
        <v>1.25</v>
      </c>
      <c r="AM13" s="137">
        <v>1.35</v>
      </c>
      <c r="AN13" s="137">
        <v>2</v>
      </c>
      <c r="AO13" s="339"/>
      <c r="AP13" s="330"/>
      <c r="AQ13" s="330"/>
      <c r="AR13" s="330"/>
      <c r="AS13" s="330"/>
      <c r="AT13" s="330"/>
      <c r="AU13" s="330"/>
      <c r="AV13" s="330"/>
      <c r="AW13" s="330"/>
      <c r="AX13" s="330"/>
      <c r="AY13" s="330"/>
      <c r="AZ13" s="330"/>
      <c r="BA13" s="330"/>
      <c r="BB13" s="330"/>
      <c r="BC13" s="330"/>
      <c r="BD13" s="330"/>
      <c r="BE13" s="330"/>
      <c r="BF13" s="330"/>
      <c r="BG13" s="330"/>
      <c r="BH13" s="135"/>
      <c r="BI13" s="330"/>
      <c r="BJ13" s="330"/>
      <c r="BK13" s="330"/>
      <c r="BL13" s="337"/>
      <c r="BM13" s="337"/>
      <c r="BN13" s="337"/>
      <c r="BO13" s="337"/>
      <c r="BP13" s="135"/>
      <c r="BQ13" s="357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</row>
    <row r="14" spans="1:248" s="104" customFormat="1" x14ac:dyDescent="0.2">
      <c r="A14" s="243"/>
      <c r="B14" s="243"/>
      <c r="C14" s="244"/>
      <c r="D14" s="245"/>
      <c r="E14" s="246"/>
      <c r="F14" s="245"/>
      <c r="G14" s="247"/>
      <c r="H14" s="246"/>
      <c r="I14" s="248"/>
      <c r="J14" s="247"/>
      <c r="K14" s="249"/>
      <c r="L14" s="247"/>
      <c r="M14" s="250"/>
      <c r="N14" s="251"/>
      <c r="O14" s="252"/>
      <c r="P14" s="253"/>
      <c r="Q14" s="253"/>
      <c r="R14" s="253"/>
      <c r="S14" s="253"/>
      <c r="T14" s="253"/>
      <c r="U14" s="254"/>
      <c r="V14" s="254"/>
      <c r="W14" s="255"/>
      <c r="X14" s="255"/>
      <c r="Y14" s="256"/>
      <c r="Z14" s="256"/>
      <c r="AA14" s="256"/>
      <c r="AB14" s="257"/>
      <c r="AC14" s="252"/>
      <c r="AD14" s="252"/>
      <c r="AE14" s="252"/>
      <c r="AF14" s="258"/>
      <c r="AG14" s="258"/>
      <c r="AH14" s="259"/>
      <c r="AI14" s="258"/>
      <c r="AJ14" s="258"/>
      <c r="AK14" s="260"/>
      <c r="AL14" s="261"/>
      <c r="AM14" s="262"/>
      <c r="AN14" s="262"/>
      <c r="AO14" s="259"/>
      <c r="AP14" s="258"/>
      <c r="AQ14" s="258"/>
      <c r="AR14" s="258"/>
      <c r="AS14" s="258"/>
      <c r="AT14" s="258"/>
      <c r="AU14" s="258"/>
      <c r="AV14" s="258"/>
      <c r="AW14" s="258"/>
      <c r="AX14" s="263"/>
      <c r="AY14" s="258"/>
      <c r="AZ14" s="258"/>
      <c r="BA14" s="258"/>
      <c r="BB14" s="258"/>
      <c r="BC14" s="258"/>
      <c r="BD14" s="258"/>
      <c r="BE14" s="258"/>
      <c r="BF14" s="258"/>
      <c r="BG14" s="263"/>
      <c r="BH14" s="135"/>
      <c r="BI14" s="263"/>
      <c r="BJ14" s="258"/>
      <c r="BK14" s="258"/>
      <c r="BL14" s="258"/>
      <c r="BM14" s="258"/>
      <c r="BN14" s="258"/>
      <c r="BO14" s="258"/>
      <c r="BP14" s="135"/>
      <c r="BQ14" s="260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</row>
    <row r="15" spans="1:248" s="175" customFormat="1" x14ac:dyDescent="0.2">
      <c r="A15" s="228">
        <v>1</v>
      </c>
      <c r="B15" s="195">
        <v>9117942</v>
      </c>
      <c r="C15" s="229" t="s">
        <v>102</v>
      </c>
      <c r="D15" s="230" t="s">
        <v>63</v>
      </c>
      <c r="E15" s="155" t="s">
        <v>63</v>
      </c>
      <c r="F15" s="156"/>
      <c r="G15" s="157">
        <v>24240</v>
      </c>
      <c r="H15" s="158">
        <v>39818</v>
      </c>
      <c r="I15" s="159"/>
      <c r="J15" s="160" t="s">
        <v>23</v>
      </c>
      <c r="K15" s="161"/>
      <c r="L15" s="162"/>
      <c r="M15" s="212" t="s">
        <v>247</v>
      </c>
      <c r="N15" s="231"/>
      <c r="O15" s="163">
        <f>30-AE15-Q15-T15</f>
        <v>30</v>
      </c>
      <c r="P15" s="164">
        <f>(O15-R15)*8</f>
        <v>240</v>
      </c>
      <c r="Q15" s="165"/>
      <c r="R15" s="165"/>
      <c r="S15" s="165"/>
      <c r="T15" s="165"/>
      <c r="U15" s="166">
        <v>2310</v>
      </c>
      <c r="V15" s="167"/>
      <c r="W15" s="167">
        <v>85</v>
      </c>
      <c r="X15" s="168"/>
      <c r="Y15" s="169"/>
      <c r="Z15" s="169"/>
      <c r="AA15" s="169"/>
      <c r="AB15" s="170">
        <f t="shared" ref="AB15:AB18" si="9">+SUM(Y15:AA15)</f>
        <v>0</v>
      </c>
      <c r="AC15" s="171"/>
      <c r="AD15" s="171"/>
      <c r="AE15" s="172"/>
      <c r="AF15" s="173">
        <f>(U15/30*O15)-(ROUND(U15/30/30,2)*(Q15+T15))</f>
        <v>2310</v>
      </c>
      <c r="AG15" s="174">
        <f>+W15</f>
        <v>85</v>
      </c>
      <c r="AH15" s="174"/>
      <c r="AI15" s="174"/>
      <c r="AJ15" s="174">
        <f>13.5*O15</f>
        <v>405</v>
      </c>
      <c r="AL15" s="174">
        <f t="shared" ref="AL15:AL28" si="10">(((U15+V15+W15)/30)/8)*($AL$13*Y15)</f>
        <v>0</v>
      </c>
      <c r="AM15" s="174">
        <f t="shared" ref="AM15:AM28" si="11">(((U15+V15+W15)/30)/8)*(Z15*$AM$13)</f>
        <v>0</v>
      </c>
      <c r="AN15" s="174">
        <f t="shared" ref="AN15:AN28" si="12">(((U15+V15+W15)/30)/8)*(AA15*$AN$13)</f>
        <v>0</v>
      </c>
      <c r="AO15" s="176"/>
      <c r="AP15" s="174"/>
      <c r="AQ15" s="174"/>
      <c r="AR15" s="174"/>
      <c r="AS15" s="174"/>
      <c r="AT15" s="174"/>
      <c r="AU15" s="177"/>
      <c r="AV15" s="177"/>
      <c r="AW15" s="174"/>
      <c r="AX15" s="178">
        <f>(AF15+AG15+AH15+AI15+AL15+AM15+AN15+AS15)</f>
        <v>2395</v>
      </c>
      <c r="AY15" s="174">
        <f>IF(J15="onp",AX15*$I$4,"")</f>
        <v>311.35000000000002</v>
      </c>
      <c r="AZ15" s="174">
        <f>(IF(F15="COMISION/FLUJO",IF(J15="",0,IF(J15="ONP",0,VLOOKUP(J15,$D$6:$T$9,2,0)*(AX15))),IF(J15="",0,IF(J15="ONP",0,VLOOKUP(J15,$D$6:$T$9,3,0)*(AX15)))))</f>
        <v>0</v>
      </c>
      <c r="BA15" s="174">
        <f>IF(AX15&gt;$J$6,$J$6*$G$6,IF(J15="Habitat",AX15*$G$6,IF(J15="integra",AX15*$G$7,IF(J15="prima",AX15*$G$8,IF(J15="profuturo",AX15*$G$9,AX15*0)))))</f>
        <v>0</v>
      </c>
      <c r="BB15" s="174">
        <f>IF(J15="Habitat",AX15*$H$6,IF(J15="integra",AX15*$H$7,IF(J15="prima",AX15*$H$8,IF(J15="profuturo",AX15*$H$9,AX15*0))))</f>
        <v>0</v>
      </c>
      <c r="BC15" s="174"/>
      <c r="BD15" s="174"/>
      <c r="BE15" s="174"/>
      <c r="BF15" s="177"/>
      <c r="BG15" s="179">
        <f>VLOOKUP(B15,'CALCULO 5TA'!$A$5:$AG$26,33,0)</f>
        <v>65.140666666666704</v>
      </c>
      <c r="BH15" s="180"/>
      <c r="BI15" s="178">
        <f>SUM(AF15:AW15)+X15</f>
        <v>2800</v>
      </c>
      <c r="BJ15" s="174">
        <f>IFERROR(SUM(AY15:BG15),"")</f>
        <v>376.4906666666667</v>
      </c>
      <c r="BK15" s="174">
        <f>+BI15-BJ15</f>
        <v>2423.5093333333334</v>
      </c>
      <c r="BL15" s="174">
        <f>IF(AX15*0.09&gt;$L$5*0.09,AX15*0.09,$L$5*0.09)</f>
        <v>215.54999999999998</v>
      </c>
      <c r="BM15" s="174">
        <f>+AX15*0.05</f>
        <v>119.75</v>
      </c>
      <c r="BN15" s="174">
        <f>AX15*$L$6</f>
        <v>17.962499999999999</v>
      </c>
      <c r="BO15" s="266">
        <f ca="1">(TODAY()-H15)/365</f>
        <v>9.2767123287671236</v>
      </c>
      <c r="BP15" s="180"/>
      <c r="BQ15" s="186"/>
      <c r="BR15" s="181"/>
      <c r="BS15" s="181"/>
      <c r="BT15" s="181"/>
      <c r="BU15" s="181"/>
      <c r="BV15" s="181"/>
      <c r="BW15" s="181"/>
      <c r="BX15" s="181"/>
      <c r="BY15" s="181"/>
      <c r="BZ15" s="181"/>
      <c r="CA15" s="181"/>
      <c r="CB15" s="181"/>
      <c r="CC15" s="181"/>
      <c r="CD15" s="181"/>
      <c r="CE15" s="181"/>
      <c r="CF15" s="181"/>
      <c r="CG15" s="181"/>
      <c r="CH15" s="181"/>
      <c r="CI15" s="181"/>
      <c r="CJ15" s="181"/>
      <c r="CK15" s="181"/>
      <c r="CL15" s="181"/>
      <c r="CM15" s="181"/>
      <c r="CN15" s="181"/>
      <c r="CO15" s="181"/>
      <c r="CP15" s="181"/>
      <c r="CQ15" s="181"/>
      <c r="CR15" s="181"/>
      <c r="CS15" s="181"/>
      <c r="CT15" s="181"/>
      <c r="CU15" s="181"/>
      <c r="CV15" s="181"/>
      <c r="CW15" s="181"/>
      <c r="CX15" s="181"/>
      <c r="CY15" s="181"/>
      <c r="CZ15" s="181"/>
      <c r="DA15" s="181"/>
      <c r="DB15" s="181"/>
      <c r="DC15" s="181"/>
      <c r="DD15" s="181"/>
      <c r="DE15" s="181"/>
      <c r="DF15" s="181"/>
      <c r="DG15" s="181"/>
      <c r="DH15" s="181"/>
      <c r="DI15" s="181"/>
      <c r="DJ15" s="181"/>
      <c r="DK15" s="181"/>
      <c r="DL15" s="181"/>
      <c r="DM15" s="181"/>
      <c r="DN15" s="181"/>
      <c r="DO15" s="181"/>
      <c r="DP15" s="181"/>
      <c r="DQ15" s="181"/>
      <c r="DR15" s="181"/>
      <c r="DS15" s="181"/>
      <c r="DT15" s="181"/>
      <c r="DU15" s="181"/>
      <c r="DV15" s="181"/>
      <c r="DW15" s="181"/>
      <c r="DX15" s="181"/>
      <c r="DY15" s="181"/>
      <c r="DZ15" s="181"/>
      <c r="EA15" s="181"/>
      <c r="EB15" s="181"/>
      <c r="EC15" s="181"/>
      <c r="ED15" s="181"/>
      <c r="EE15" s="181"/>
      <c r="EF15" s="181"/>
      <c r="EG15" s="181"/>
      <c r="EH15" s="181"/>
      <c r="EI15" s="181"/>
      <c r="EJ15" s="181"/>
      <c r="EK15" s="181"/>
      <c r="EL15" s="181"/>
      <c r="EM15" s="181"/>
      <c r="EN15" s="181"/>
      <c r="EO15" s="181"/>
      <c r="EP15" s="181"/>
      <c r="EQ15" s="181"/>
      <c r="ER15" s="181"/>
      <c r="ES15" s="181"/>
      <c r="ET15" s="181"/>
      <c r="EU15" s="181"/>
      <c r="EV15" s="181"/>
      <c r="EW15" s="181"/>
      <c r="EX15" s="181"/>
      <c r="EY15" s="181"/>
      <c r="EZ15" s="181"/>
      <c r="FA15" s="181"/>
      <c r="FB15" s="181"/>
      <c r="FC15" s="181"/>
      <c r="FD15" s="181"/>
      <c r="FE15" s="181"/>
      <c r="FF15" s="181"/>
      <c r="FG15" s="181"/>
      <c r="FH15" s="181"/>
      <c r="FI15" s="181"/>
      <c r="FJ15" s="181"/>
      <c r="FK15" s="181"/>
      <c r="FL15" s="181"/>
      <c r="FM15" s="181"/>
      <c r="FN15" s="181"/>
      <c r="FO15" s="181"/>
      <c r="FP15" s="181"/>
      <c r="FQ15" s="181"/>
      <c r="FR15" s="181"/>
      <c r="FS15" s="181"/>
      <c r="FT15" s="181"/>
      <c r="FU15" s="181"/>
      <c r="FV15" s="181"/>
      <c r="FW15" s="181"/>
      <c r="FX15" s="181"/>
      <c r="FY15" s="181"/>
      <c r="FZ15" s="181"/>
      <c r="GA15" s="181"/>
      <c r="GB15" s="181"/>
      <c r="GC15" s="181"/>
      <c r="GD15" s="181"/>
      <c r="GE15" s="181"/>
      <c r="GF15" s="181"/>
      <c r="GG15" s="181"/>
      <c r="GH15" s="181"/>
      <c r="GI15" s="181"/>
      <c r="GJ15" s="181"/>
      <c r="GK15" s="181"/>
      <c r="GL15" s="181"/>
      <c r="GM15" s="181"/>
      <c r="GN15" s="181"/>
      <c r="GO15" s="181"/>
      <c r="GP15" s="181"/>
      <c r="GQ15" s="181"/>
      <c r="GR15" s="181"/>
      <c r="GS15" s="181"/>
      <c r="GT15" s="181"/>
      <c r="GU15" s="181"/>
      <c r="GV15" s="181"/>
      <c r="GW15" s="181"/>
      <c r="GX15" s="181"/>
      <c r="GY15" s="181"/>
      <c r="GZ15" s="181"/>
      <c r="HA15" s="181"/>
      <c r="HB15" s="181"/>
      <c r="HC15" s="181"/>
      <c r="HD15" s="181"/>
      <c r="HE15" s="181"/>
      <c r="HF15" s="181"/>
      <c r="HG15" s="181"/>
      <c r="HH15" s="181"/>
      <c r="HI15" s="181"/>
      <c r="HJ15" s="181"/>
      <c r="HK15" s="181"/>
      <c r="HL15" s="181"/>
      <c r="HM15" s="181"/>
      <c r="HN15" s="181"/>
      <c r="HO15" s="181"/>
      <c r="HP15" s="181"/>
      <c r="HQ15" s="181"/>
      <c r="HR15" s="181"/>
      <c r="HS15" s="181"/>
      <c r="HT15" s="181"/>
      <c r="HU15" s="181"/>
      <c r="HV15" s="181"/>
      <c r="HW15" s="181"/>
      <c r="HX15" s="181"/>
      <c r="HY15" s="181"/>
      <c r="HZ15" s="181"/>
      <c r="IA15" s="181"/>
      <c r="IB15" s="181"/>
      <c r="IC15" s="181"/>
      <c r="ID15" s="181"/>
      <c r="IE15" s="181"/>
      <c r="IF15" s="181"/>
      <c r="IG15" s="181"/>
      <c r="IH15" s="181"/>
      <c r="II15" s="181"/>
      <c r="IJ15" s="181"/>
      <c r="IK15" s="181"/>
      <c r="IL15" s="181"/>
      <c r="IM15" s="181"/>
      <c r="IN15" s="181"/>
    </row>
    <row r="16" spans="1:248" s="175" customFormat="1" x14ac:dyDescent="0.2">
      <c r="A16" s="210">
        <v>2</v>
      </c>
      <c r="B16" s="182">
        <v>73672954</v>
      </c>
      <c r="C16" s="182" t="s">
        <v>101</v>
      </c>
      <c r="D16" s="232" t="s">
        <v>100</v>
      </c>
      <c r="E16" s="182" t="s">
        <v>241</v>
      </c>
      <c r="F16" s="183"/>
      <c r="G16" s="184">
        <v>35480</v>
      </c>
      <c r="H16" s="185">
        <v>43024</v>
      </c>
      <c r="I16" s="186"/>
      <c r="J16" s="187" t="s">
        <v>23</v>
      </c>
      <c r="K16" s="188"/>
      <c r="L16" s="189"/>
      <c r="M16" s="212" t="s">
        <v>247</v>
      </c>
      <c r="N16" s="233"/>
      <c r="O16" s="163">
        <f t="shared" ref="O16:O35" si="13">30-AE16-Q16-T16</f>
        <v>30</v>
      </c>
      <c r="P16" s="164">
        <f t="shared" ref="P16:P32" si="14">(O16-R16)*8</f>
        <v>240</v>
      </c>
      <c r="Q16" s="165"/>
      <c r="R16" s="165"/>
      <c r="S16" s="165"/>
      <c r="T16" s="165"/>
      <c r="U16" s="190">
        <f>1000+170-85</f>
        <v>1085</v>
      </c>
      <c r="V16" s="167"/>
      <c r="W16" s="191"/>
      <c r="X16" s="191">
        <v>100</v>
      </c>
      <c r="Y16" s="170"/>
      <c r="Z16" s="170"/>
      <c r="AA16" s="170"/>
      <c r="AB16" s="170">
        <f t="shared" si="9"/>
        <v>0</v>
      </c>
      <c r="AC16" s="192"/>
      <c r="AD16" s="192"/>
      <c r="AE16" s="193"/>
      <c r="AF16" s="173">
        <f t="shared" ref="AF16:AF35" si="15">(U16/30*O16)-(ROUND(U16/30/30,2)*(Q16+T16))</f>
        <v>1085</v>
      </c>
      <c r="AG16" s="174">
        <f t="shared" ref="AG16:AG35" si="16">+W16</f>
        <v>0</v>
      </c>
      <c r="AH16" s="178"/>
      <c r="AI16" s="178"/>
      <c r="AJ16" s="178">
        <f>115/30*O16</f>
        <v>115</v>
      </c>
      <c r="AK16" s="178"/>
      <c r="AL16" s="178">
        <f t="shared" si="10"/>
        <v>0</v>
      </c>
      <c r="AM16" s="178">
        <f t="shared" si="11"/>
        <v>0</v>
      </c>
      <c r="AN16" s="178">
        <f t="shared" si="12"/>
        <v>0</v>
      </c>
      <c r="AO16" s="194"/>
      <c r="AP16" s="178"/>
      <c r="AQ16" s="178"/>
      <c r="AR16" s="178"/>
      <c r="AS16" s="178"/>
      <c r="AT16" s="178"/>
      <c r="AU16" s="179"/>
      <c r="AV16" s="179"/>
      <c r="AW16" s="178"/>
      <c r="AX16" s="178">
        <f t="shared" ref="AX16:AX35" si="17">(AF16+AG16+AH16+AI16+AL16+AM16+AN16+AS16)</f>
        <v>1085</v>
      </c>
      <c r="AY16" s="174">
        <f t="shared" ref="AY16:AY35" si="18">IF(J16="onp",AX16*$I$4,"")</f>
        <v>141.05000000000001</v>
      </c>
      <c r="AZ16" s="174">
        <f t="shared" ref="AZ16:AZ35" si="19">(IF(F16="COMISION/FLUJO",IF(J16="",0,IF(J16="ONP",0,VLOOKUP(J16,$D$6:$T$9,2,0)*(AX16))),IF(J16="",0,IF(J16="ONP",0,VLOOKUP(J16,$D$6:$T$9,3,0)*(AX16)))))</f>
        <v>0</v>
      </c>
      <c r="BA16" s="174">
        <f t="shared" ref="BA16:BA35" si="20">IF(AX16&gt;$J$6,$J$6*$G$6,IF(J16="Habitat",AX16*$G$6,IF(J16="integra",AX16*$G$7,IF(J16="prima",AX16*$G$8,IF(J16="profuturo",AX16*$G$9,AX16*0)))))</f>
        <v>0</v>
      </c>
      <c r="BB16" s="174">
        <f t="shared" ref="BB16:BB35" si="21">IF(J16="Habitat",AX16*$H$6,IF(J16="integra",AX16*$H$7,IF(J16="prima",AX16*$H$8,IF(J16="profuturo",AX16*$H$9,AX16*0))))</f>
        <v>0</v>
      </c>
      <c r="BC16" s="178"/>
      <c r="BD16" s="178"/>
      <c r="BE16" s="178"/>
      <c r="BF16" s="179"/>
      <c r="BG16" s="179">
        <f>VLOOKUP(B16,'CALCULO 5TA'!$A$5:$AG$26,33,0)</f>
        <v>0</v>
      </c>
      <c r="BH16" s="180"/>
      <c r="BI16" s="178">
        <f t="shared" ref="BI16:BI35" si="22">SUM(AF16:AW16)+X16</f>
        <v>1300</v>
      </c>
      <c r="BJ16" s="174">
        <f t="shared" ref="BJ16:BJ35" si="23">IFERROR(SUM(AY16:BG16),"")</f>
        <v>141.05000000000001</v>
      </c>
      <c r="BK16" s="174">
        <f t="shared" ref="BK16:BK35" si="24">+BI16-BJ16</f>
        <v>1158.95</v>
      </c>
      <c r="BL16" s="174">
        <f t="shared" ref="BL16:BL35" si="25">IF(AX16*0.09&gt;$L$5*0.09,AX16*0.09,$L$5*0.09)</f>
        <v>97.649999999999991</v>
      </c>
      <c r="BM16" s="174">
        <f t="shared" ref="BM16:BM35" si="26">+AX16*0.05</f>
        <v>54.25</v>
      </c>
      <c r="BN16" s="174">
        <f t="shared" ref="BN16:BN35" si="27">AX16*$L$6</f>
        <v>8.1374999999999993</v>
      </c>
      <c r="BO16" s="266">
        <f t="shared" ref="BO16:BO35" ca="1" si="28">(TODAY()-H16)/365</f>
        <v>0.49315068493150682</v>
      </c>
      <c r="BP16" s="180"/>
      <c r="BQ16" s="186">
        <v>43190</v>
      </c>
      <c r="BR16" s="181"/>
      <c r="BS16" s="264"/>
      <c r="BT16" s="265"/>
      <c r="BU16" s="181"/>
      <c r="BV16" s="181"/>
      <c r="BW16" s="181"/>
      <c r="BX16" s="181"/>
      <c r="BY16" s="181"/>
      <c r="BZ16" s="181"/>
      <c r="CA16" s="181"/>
      <c r="CB16" s="181"/>
      <c r="CC16" s="181"/>
      <c r="CD16" s="181"/>
      <c r="CE16" s="181"/>
      <c r="CF16" s="181"/>
      <c r="CG16" s="181"/>
      <c r="CH16" s="181"/>
      <c r="CI16" s="181"/>
      <c r="CJ16" s="181"/>
      <c r="CK16" s="181"/>
      <c r="CL16" s="181"/>
      <c r="CM16" s="181"/>
      <c r="CN16" s="181"/>
      <c r="CO16" s="181"/>
      <c r="CP16" s="181"/>
      <c r="CQ16" s="181"/>
      <c r="CR16" s="181"/>
      <c r="CS16" s="181"/>
      <c r="CT16" s="181"/>
      <c r="CU16" s="181"/>
      <c r="CV16" s="181"/>
      <c r="CW16" s="181"/>
      <c r="CX16" s="181"/>
      <c r="CY16" s="181"/>
      <c r="CZ16" s="181"/>
      <c r="DA16" s="181"/>
      <c r="DB16" s="181"/>
      <c r="DC16" s="181"/>
      <c r="DD16" s="181"/>
      <c r="DE16" s="181"/>
      <c r="DF16" s="181"/>
      <c r="DG16" s="181"/>
      <c r="DH16" s="181"/>
      <c r="DI16" s="181"/>
      <c r="DJ16" s="181"/>
      <c r="DK16" s="181"/>
      <c r="DL16" s="181"/>
      <c r="DM16" s="181"/>
      <c r="DN16" s="181"/>
      <c r="DO16" s="181"/>
      <c r="DP16" s="181"/>
      <c r="DQ16" s="181"/>
      <c r="DR16" s="181"/>
      <c r="DS16" s="181"/>
      <c r="DT16" s="181"/>
      <c r="DU16" s="181"/>
      <c r="DV16" s="181"/>
      <c r="DW16" s="181"/>
      <c r="DX16" s="181"/>
      <c r="DY16" s="181"/>
      <c r="DZ16" s="181"/>
      <c r="EA16" s="181"/>
      <c r="EB16" s="181"/>
      <c r="EC16" s="181"/>
      <c r="ED16" s="181"/>
      <c r="EE16" s="181"/>
      <c r="EF16" s="181"/>
      <c r="EG16" s="181"/>
      <c r="EH16" s="181"/>
      <c r="EI16" s="181"/>
      <c r="EJ16" s="181"/>
      <c r="EK16" s="181"/>
      <c r="EL16" s="181"/>
      <c r="EM16" s="181"/>
      <c r="EN16" s="181"/>
      <c r="EO16" s="181"/>
      <c r="EP16" s="181"/>
      <c r="EQ16" s="181"/>
      <c r="ER16" s="181"/>
      <c r="ES16" s="181"/>
      <c r="ET16" s="181"/>
      <c r="EU16" s="181"/>
      <c r="EV16" s="181"/>
      <c r="EW16" s="181"/>
      <c r="EX16" s="181"/>
      <c r="EY16" s="181"/>
      <c r="EZ16" s="181"/>
      <c r="FA16" s="181"/>
      <c r="FB16" s="181"/>
      <c r="FC16" s="181"/>
      <c r="FD16" s="181"/>
      <c r="FE16" s="181"/>
      <c r="FF16" s="181"/>
      <c r="FG16" s="181"/>
      <c r="FH16" s="181"/>
      <c r="FI16" s="181"/>
      <c r="FJ16" s="181"/>
      <c r="FK16" s="181"/>
      <c r="FL16" s="181"/>
      <c r="FM16" s="181"/>
      <c r="FN16" s="181"/>
      <c r="FO16" s="181"/>
      <c r="FP16" s="181"/>
      <c r="FQ16" s="181"/>
      <c r="FR16" s="181"/>
      <c r="FS16" s="181"/>
      <c r="FT16" s="181"/>
      <c r="FU16" s="181"/>
      <c r="FV16" s="181"/>
      <c r="FW16" s="181"/>
      <c r="FX16" s="181"/>
      <c r="FY16" s="181"/>
      <c r="FZ16" s="181"/>
      <c r="GA16" s="181"/>
      <c r="GB16" s="181"/>
      <c r="GC16" s="181"/>
      <c r="GD16" s="181"/>
      <c r="GE16" s="181"/>
      <c r="GF16" s="181"/>
      <c r="GG16" s="181"/>
      <c r="GH16" s="181"/>
      <c r="GI16" s="181"/>
      <c r="GJ16" s="181"/>
      <c r="GK16" s="181"/>
      <c r="GL16" s="181"/>
      <c r="GM16" s="181"/>
      <c r="GN16" s="181"/>
      <c r="GO16" s="181"/>
      <c r="GP16" s="181"/>
      <c r="GQ16" s="181"/>
      <c r="GR16" s="181"/>
      <c r="GS16" s="181"/>
      <c r="GT16" s="181"/>
      <c r="GU16" s="181"/>
      <c r="GV16" s="181"/>
      <c r="GW16" s="181"/>
      <c r="GX16" s="181"/>
      <c r="GY16" s="181"/>
      <c r="GZ16" s="181"/>
      <c r="HA16" s="181"/>
      <c r="HB16" s="181"/>
      <c r="HC16" s="181"/>
      <c r="HD16" s="181"/>
      <c r="HE16" s="181"/>
      <c r="HF16" s="181"/>
      <c r="HG16" s="181"/>
      <c r="HH16" s="181"/>
      <c r="HI16" s="181"/>
      <c r="HJ16" s="181"/>
      <c r="HK16" s="181"/>
      <c r="HL16" s="181"/>
      <c r="HM16" s="181"/>
      <c r="HN16" s="181"/>
      <c r="HO16" s="181"/>
      <c r="HP16" s="181"/>
      <c r="HQ16" s="181"/>
      <c r="HR16" s="181"/>
      <c r="HS16" s="181"/>
      <c r="HT16" s="181"/>
      <c r="HU16" s="181"/>
      <c r="HV16" s="181"/>
      <c r="HW16" s="181"/>
      <c r="HX16" s="181"/>
      <c r="HY16" s="181"/>
      <c r="HZ16" s="181"/>
      <c r="IA16" s="181"/>
      <c r="IB16" s="181"/>
      <c r="IC16" s="181"/>
      <c r="ID16" s="181"/>
      <c r="IE16" s="181"/>
      <c r="IF16" s="181"/>
      <c r="IG16" s="181"/>
      <c r="IH16" s="181"/>
      <c r="II16" s="181"/>
      <c r="IJ16" s="181"/>
      <c r="IK16" s="181"/>
      <c r="IL16" s="181"/>
      <c r="IM16" s="181"/>
      <c r="IN16" s="181"/>
    </row>
    <row r="17" spans="1:248" s="199" customFormat="1" x14ac:dyDescent="0.2">
      <c r="A17" s="210">
        <v>3</v>
      </c>
      <c r="B17" s="195">
        <v>6067588</v>
      </c>
      <c r="C17" s="182" t="s">
        <v>99</v>
      </c>
      <c r="D17" s="232" t="s">
        <v>98</v>
      </c>
      <c r="E17" s="195" t="s">
        <v>272</v>
      </c>
      <c r="F17" s="196"/>
      <c r="G17" s="184">
        <v>20834</v>
      </c>
      <c r="H17" s="185">
        <v>38565</v>
      </c>
      <c r="I17" s="184"/>
      <c r="J17" s="197" t="s">
        <v>23</v>
      </c>
      <c r="K17" s="188"/>
      <c r="L17" s="189"/>
      <c r="M17" s="212" t="s">
        <v>247</v>
      </c>
      <c r="N17" s="234"/>
      <c r="O17" s="163">
        <f t="shared" si="13"/>
        <v>30</v>
      </c>
      <c r="P17" s="164">
        <f t="shared" si="14"/>
        <v>240</v>
      </c>
      <c r="Q17" s="165"/>
      <c r="R17" s="165"/>
      <c r="S17" s="165"/>
      <c r="T17" s="165"/>
      <c r="U17" s="235">
        <v>3850</v>
      </c>
      <c r="V17" s="167"/>
      <c r="W17" s="191"/>
      <c r="X17" s="191"/>
      <c r="Y17" s="170"/>
      <c r="Z17" s="170"/>
      <c r="AA17" s="170"/>
      <c r="AB17" s="170">
        <f t="shared" si="9"/>
        <v>0</v>
      </c>
      <c r="AC17" s="192"/>
      <c r="AD17" s="192"/>
      <c r="AE17" s="198"/>
      <c r="AF17" s="173">
        <f t="shared" si="15"/>
        <v>3850.0000000000005</v>
      </c>
      <c r="AG17" s="174">
        <f t="shared" si="16"/>
        <v>0</v>
      </c>
      <c r="AH17" s="178"/>
      <c r="AI17" s="178"/>
      <c r="AJ17" s="178">
        <f>13.3333333333333*O17</f>
        <v>399.99999999999898</v>
      </c>
      <c r="AK17" s="178"/>
      <c r="AL17" s="178">
        <f t="shared" si="10"/>
        <v>0</v>
      </c>
      <c r="AM17" s="178">
        <f t="shared" si="11"/>
        <v>0</v>
      </c>
      <c r="AN17" s="178">
        <f t="shared" si="12"/>
        <v>0</v>
      </c>
      <c r="AO17" s="194"/>
      <c r="AP17" s="178"/>
      <c r="AQ17" s="178"/>
      <c r="AR17" s="178"/>
      <c r="AS17" s="178"/>
      <c r="AT17" s="178"/>
      <c r="AU17" s="179"/>
      <c r="AV17" s="179"/>
      <c r="AW17" s="178"/>
      <c r="AX17" s="178">
        <f t="shared" si="17"/>
        <v>3850.0000000000005</v>
      </c>
      <c r="AY17" s="174">
        <f t="shared" si="18"/>
        <v>500.50000000000006</v>
      </c>
      <c r="AZ17" s="174">
        <f t="shared" si="19"/>
        <v>0</v>
      </c>
      <c r="BA17" s="174">
        <f t="shared" si="20"/>
        <v>0</v>
      </c>
      <c r="BB17" s="174">
        <f t="shared" si="21"/>
        <v>0</v>
      </c>
      <c r="BC17" s="178"/>
      <c r="BD17" s="178"/>
      <c r="BE17" s="178"/>
      <c r="BF17" s="179"/>
      <c r="BG17" s="179">
        <f>VLOOKUP(B17,'CALCULO 5TA'!$A$5:$AG$26,33,0)</f>
        <v>250.25166666666669</v>
      </c>
      <c r="BH17" s="180"/>
      <c r="BI17" s="178">
        <f t="shared" si="22"/>
        <v>4249.9999999999991</v>
      </c>
      <c r="BJ17" s="174">
        <f t="shared" si="23"/>
        <v>750.75166666666678</v>
      </c>
      <c r="BK17" s="174">
        <f t="shared" si="24"/>
        <v>3499.2483333333321</v>
      </c>
      <c r="BL17" s="174">
        <f t="shared" si="25"/>
        <v>346.5</v>
      </c>
      <c r="BM17" s="174">
        <f t="shared" si="26"/>
        <v>192.50000000000003</v>
      </c>
      <c r="BN17" s="174">
        <f t="shared" si="27"/>
        <v>28.875000000000004</v>
      </c>
      <c r="BO17" s="266">
        <f t="shared" ca="1" si="28"/>
        <v>12.70958904109589</v>
      </c>
      <c r="BP17" s="180"/>
      <c r="BQ17" s="186"/>
      <c r="BR17" s="181"/>
      <c r="BS17" s="181"/>
      <c r="BT17" s="181"/>
      <c r="BU17" s="181"/>
      <c r="BV17" s="181"/>
      <c r="BW17" s="181"/>
      <c r="BX17" s="181"/>
      <c r="BY17" s="181"/>
      <c r="BZ17" s="181"/>
      <c r="CA17" s="181"/>
      <c r="CB17" s="181"/>
      <c r="CC17" s="181"/>
      <c r="CD17" s="181"/>
      <c r="CE17" s="181"/>
      <c r="CF17" s="181"/>
      <c r="CG17" s="181"/>
      <c r="CH17" s="181"/>
      <c r="CI17" s="181"/>
      <c r="CJ17" s="181"/>
      <c r="CK17" s="181"/>
      <c r="CL17" s="181"/>
      <c r="CM17" s="181"/>
      <c r="CN17" s="181"/>
      <c r="CO17" s="181"/>
      <c r="CP17" s="181"/>
      <c r="CQ17" s="181"/>
      <c r="CR17" s="181"/>
      <c r="CS17" s="181"/>
      <c r="CT17" s="181"/>
      <c r="CU17" s="181"/>
      <c r="CV17" s="181"/>
      <c r="CW17" s="181"/>
      <c r="CX17" s="181"/>
      <c r="CY17" s="181"/>
      <c r="CZ17" s="181"/>
      <c r="DA17" s="181"/>
      <c r="DB17" s="181"/>
      <c r="DC17" s="181"/>
      <c r="DD17" s="181"/>
      <c r="DE17" s="181"/>
      <c r="DF17" s="181"/>
      <c r="DG17" s="181"/>
      <c r="DH17" s="181"/>
      <c r="DI17" s="181"/>
      <c r="DJ17" s="181"/>
      <c r="DK17" s="181"/>
      <c r="DL17" s="181"/>
      <c r="DM17" s="181"/>
      <c r="DN17" s="181"/>
      <c r="DO17" s="181"/>
      <c r="DP17" s="181"/>
      <c r="DQ17" s="181"/>
      <c r="DR17" s="181"/>
      <c r="DS17" s="181"/>
      <c r="DT17" s="181"/>
      <c r="DU17" s="181"/>
      <c r="DV17" s="181"/>
      <c r="DW17" s="181"/>
      <c r="DX17" s="181"/>
      <c r="DY17" s="181"/>
      <c r="DZ17" s="181"/>
      <c r="EA17" s="181"/>
      <c r="EB17" s="181"/>
      <c r="EC17" s="181"/>
      <c r="ED17" s="181"/>
      <c r="EE17" s="181"/>
      <c r="EF17" s="181"/>
      <c r="EG17" s="181"/>
      <c r="EH17" s="181"/>
      <c r="EI17" s="181"/>
      <c r="EJ17" s="181"/>
      <c r="EK17" s="181"/>
      <c r="EL17" s="181"/>
      <c r="EM17" s="181"/>
      <c r="EN17" s="181"/>
      <c r="EO17" s="181"/>
      <c r="EP17" s="181"/>
      <c r="EQ17" s="181"/>
      <c r="ER17" s="181"/>
      <c r="ES17" s="181"/>
      <c r="ET17" s="181"/>
      <c r="EU17" s="181"/>
      <c r="EV17" s="181"/>
      <c r="EW17" s="181"/>
      <c r="EX17" s="181"/>
      <c r="EY17" s="181"/>
      <c r="EZ17" s="181"/>
      <c r="FA17" s="181"/>
      <c r="FB17" s="181"/>
      <c r="FC17" s="181"/>
      <c r="FD17" s="181"/>
      <c r="FE17" s="181"/>
      <c r="FF17" s="181"/>
      <c r="FG17" s="181"/>
      <c r="FH17" s="181"/>
      <c r="FI17" s="181"/>
      <c r="FJ17" s="181"/>
      <c r="FK17" s="181"/>
      <c r="FL17" s="181"/>
      <c r="FM17" s="181"/>
      <c r="FN17" s="181"/>
      <c r="FO17" s="181"/>
      <c r="FP17" s="181"/>
      <c r="FQ17" s="181"/>
      <c r="FR17" s="181"/>
      <c r="FS17" s="181"/>
      <c r="FT17" s="181"/>
      <c r="FU17" s="181"/>
      <c r="FV17" s="181"/>
      <c r="FW17" s="181"/>
      <c r="FX17" s="181"/>
      <c r="FY17" s="181"/>
      <c r="FZ17" s="181"/>
      <c r="GA17" s="181"/>
      <c r="GB17" s="181"/>
      <c r="GC17" s="181"/>
      <c r="GD17" s="181"/>
      <c r="GE17" s="181"/>
      <c r="GF17" s="181"/>
      <c r="GG17" s="181"/>
      <c r="GH17" s="181"/>
      <c r="GI17" s="181"/>
      <c r="GJ17" s="181"/>
      <c r="GK17" s="181"/>
      <c r="GL17" s="181"/>
      <c r="GM17" s="181"/>
      <c r="GN17" s="181"/>
      <c r="GO17" s="181"/>
      <c r="GP17" s="181"/>
      <c r="GQ17" s="181"/>
      <c r="GR17" s="181"/>
      <c r="GS17" s="181"/>
      <c r="GT17" s="181"/>
      <c r="GU17" s="181"/>
      <c r="GV17" s="181"/>
      <c r="GW17" s="181"/>
      <c r="GX17" s="181"/>
      <c r="GY17" s="181"/>
      <c r="GZ17" s="181"/>
      <c r="HA17" s="181"/>
      <c r="HB17" s="181"/>
      <c r="HC17" s="181"/>
      <c r="HD17" s="181"/>
      <c r="HE17" s="181"/>
      <c r="HF17" s="181"/>
      <c r="HG17" s="181"/>
      <c r="HH17" s="181"/>
      <c r="HI17" s="181"/>
      <c r="HJ17" s="181"/>
      <c r="HK17" s="181"/>
      <c r="HL17" s="181"/>
      <c r="HM17" s="181"/>
      <c r="HN17" s="181"/>
      <c r="HO17" s="181"/>
      <c r="HP17" s="181"/>
      <c r="HQ17" s="181"/>
      <c r="HR17" s="181"/>
      <c r="HS17" s="181"/>
      <c r="HT17" s="181"/>
      <c r="HU17" s="181"/>
      <c r="HV17" s="181"/>
      <c r="HW17" s="181"/>
      <c r="HX17" s="181"/>
      <c r="HY17" s="181"/>
      <c r="HZ17" s="181"/>
      <c r="IA17" s="181"/>
      <c r="IB17" s="181"/>
      <c r="IC17" s="181"/>
      <c r="ID17" s="181"/>
      <c r="IE17" s="181"/>
      <c r="IF17" s="181"/>
      <c r="IG17" s="181"/>
      <c r="IH17" s="181"/>
      <c r="II17" s="181"/>
      <c r="IJ17" s="181"/>
      <c r="IK17" s="181"/>
      <c r="IL17" s="181"/>
      <c r="IM17" s="181"/>
      <c r="IN17" s="181"/>
    </row>
    <row r="18" spans="1:248" s="201" customFormat="1" x14ac:dyDescent="0.2">
      <c r="A18" s="210">
        <v>4</v>
      </c>
      <c r="B18" s="195">
        <v>9929599</v>
      </c>
      <c r="C18" s="182" t="s">
        <v>97</v>
      </c>
      <c r="D18" s="183" t="s">
        <v>63</v>
      </c>
      <c r="E18" s="200" t="s">
        <v>63</v>
      </c>
      <c r="F18" s="183"/>
      <c r="G18" s="184">
        <v>26866</v>
      </c>
      <c r="H18" s="185">
        <v>42644</v>
      </c>
      <c r="I18" s="186"/>
      <c r="J18" s="197" t="s">
        <v>23</v>
      </c>
      <c r="K18" s="188"/>
      <c r="L18" s="189"/>
      <c r="M18" s="212" t="s">
        <v>247</v>
      </c>
      <c r="N18" s="234"/>
      <c r="O18" s="163">
        <f t="shared" si="13"/>
        <v>30</v>
      </c>
      <c r="P18" s="164">
        <f t="shared" si="14"/>
        <v>240</v>
      </c>
      <c r="Q18" s="165"/>
      <c r="R18" s="165"/>
      <c r="S18" s="165"/>
      <c r="T18" s="165"/>
      <c r="U18" s="190">
        <f>915+500</f>
        <v>1415</v>
      </c>
      <c r="V18" s="167"/>
      <c r="W18" s="191">
        <v>85</v>
      </c>
      <c r="X18" s="191"/>
      <c r="Y18" s="170"/>
      <c r="Z18" s="170"/>
      <c r="AA18" s="170"/>
      <c r="AB18" s="170">
        <f t="shared" si="9"/>
        <v>0</v>
      </c>
      <c r="AC18" s="192"/>
      <c r="AD18" s="192"/>
      <c r="AE18" s="193"/>
      <c r="AF18" s="173">
        <f t="shared" si="15"/>
        <v>1415</v>
      </c>
      <c r="AG18" s="174">
        <f t="shared" si="16"/>
        <v>85</v>
      </c>
      <c r="AH18" s="178"/>
      <c r="AI18" s="178"/>
      <c r="AJ18" s="178">
        <f t="shared" ref="AJ18:AJ23" si="29">10*O18</f>
        <v>300</v>
      </c>
      <c r="AK18" s="178"/>
      <c r="AL18" s="178">
        <f t="shared" si="10"/>
        <v>0</v>
      </c>
      <c r="AM18" s="178">
        <f t="shared" si="11"/>
        <v>0</v>
      </c>
      <c r="AN18" s="178">
        <f t="shared" si="12"/>
        <v>0</v>
      </c>
      <c r="AO18" s="194"/>
      <c r="AP18" s="178"/>
      <c r="AQ18" s="178"/>
      <c r="AR18" s="178"/>
      <c r="AS18" s="178"/>
      <c r="AT18" s="178"/>
      <c r="AU18" s="179"/>
      <c r="AV18" s="179"/>
      <c r="AW18" s="178"/>
      <c r="AX18" s="178">
        <f t="shared" si="17"/>
        <v>1500</v>
      </c>
      <c r="AY18" s="174">
        <f t="shared" si="18"/>
        <v>195</v>
      </c>
      <c r="AZ18" s="174">
        <f t="shared" si="19"/>
        <v>0</v>
      </c>
      <c r="BA18" s="174">
        <f t="shared" si="20"/>
        <v>0</v>
      </c>
      <c r="BB18" s="174">
        <f t="shared" si="21"/>
        <v>0</v>
      </c>
      <c r="BC18" s="178"/>
      <c r="BD18" s="178"/>
      <c r="BE18" s="178"/>
      <c r="BF18" s="179"/>
      <c r="BG18" s="179">
        <f>VLOOKUP(B18,'CALCULO 5TA'!$A$5:$AG$26,33,0)</f>
        <v>0</v>
      </c>
      <c r="BH18" s="180"/>
      <c r="BI18" s="178">
        <f t="shared" si="22"/>
        <v>1800</v>
      </c>
      <c r="BJ18" s="174">
        <f t="shared" si="23"/>
        <v>195</v>
      </c>
      <c r="BK18" s="174">
        <f t="shared" si="24"/>
        <v>1605</v>
      </c>
      <c r="BL18" s="174">
        <f t="shared" si="25"/>
        <v>135</v>
      </c>
      <c r="BM18" s="174">
        <f t="shared" si="26"/>
        <v>75</v>
      </c>
      <c r="BN18" s="174">
        <f t="shared" si="27"/>
        <v>11.25</v>
      </c>
      <c r="BO18" s="266">
        <f t="shared" ca="1" si="28"/>
        <v>1.5342465753424657</v>
      </c>
      <c r="BP18" s="180"/>
      <c r="BQ18" s="186">
        <v>43190</v>
      </c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  <c r="DB18" s="181"/>
      <c r="DC18" s="181"/>
      <c r="DD18" s="181"/>
      <c r="DE18" s="181"/>
      <c r="DF18" s="181"/>
      <c r="DG18" s="181"/>
      <c r="DH18" s="181"/>
      <c r="DI18" s="181"/>
      <c r="DJ18" s="181"/>
      <c r="DK18" s="181"/>
      <c r="DL18" s="181"/>
      <c r="DM18" s="181"/>
      <c r="DN18" s="181"/>
      <c r="DO18" s="181"/>
      <c r="DP18" s="181"/>
      <c r="DQ18" s="181"/>
      <c r="DR18" s="181"/>
      <c r="DS18" s="181"/>
      <c r="DT18" s="181"/>
      <c r="DU18" s="181"/>
      <c r="DV18" s="181"/>
      <c r="DW18" s="181"/>
      <c r="DX18" s="181"/>
      <c r="DY18" s="181"/>
      <c r="DZ18" s="181"/>
      <c r="EA18" s="181"/>
      <c r="EB18" s="181"/>
      <c r="EC18" s="181"/>
      <c r="ED18" s="181"/>
      <c r="EE18" s="181"/>
      <c r="EF18" s="181"/>
      <c r="EG18" s="181"/>
      <c r="EH18" s="181"/>
      <c r="EI18" s="181"/>
      <c r="EJ18" s="181"/>
      <c r="EK18" s="181"/>
      <c r="EL18" s="181"/>
      <c r="EM18" s="181"/>
      <c r="EN18" s="181"/>
      <c r="EO18" s="181"/>
      <c r="EP18" s="181"/>
      <c r="EQ18" s="181"/>
      <c r="ER18" s="181"/>
      <c r="ES18" s="181"/>
      <c r="ET18" s="181"/>
      <c r="EU18" s="181"/>
      <c r="EV18" s="181"/>
      <c r="EW18" s="181"/>
      <c r="EX18" s="181"/>
      <c r="EY18" s="181"/>
      <c r="EZ18" s="181"/>
      <c r="FA18" s="181"/>
      <c r="FB18" s="181"/>
      <c r="FC18" s="181"/>
      <c r="FD18" s="181"/>
      <c r="FE18" s="181"/>
      <c r="FF18" s="181"/>
      <c r="FG18" s="181"/>
      <c r="FH18" s="181"/>
      <c r="FI18" s="181"/>
      <c r="FJ18" s="181"/>
      <c r="FK18" s="181"/>
      <c r="FL18" s="181"/>
      <c r="FM18" s="181"/>
      <c r="FN18" s="181"/>
      <c r="FO18" s="181"/>
      <c r="FP18" s="181"/>
      <c r="FQ18" s="181"/>
      <c r="FR18" s="181"/>
      <c r="FS18" s="181"/>
      <c r="FT18" s="181"/>
      <c r="FU18" s="181"/>
      <c r="FV18" s="181"/>
      <c r="FW18" s="181"/>
      <c r="FX18" s="181"/>
      <c r="FY18" s="181"/>
      <c r="FZ18" s="181"/>
      <c r="GA18" s="181"/>
      <c r="GB18" s="181"/>
      <c r="GC18" s="181"/>
      <c r="GD18" s="181"/>
      <c r="GE18" s="181"/>
      <c r="GF18" s="181"/>
      <c r="GG18" s="181"/>
      <c r="GH18" s="181"/>
      <c r="GI18" s="181"/>
      <c r="GJ18" s="181"/>
      <c r="GK18" s="181"/>
      <c r="GL18" s="181"/>
      <c r="GM18" s="181"/>
      <c r="GN18" s="181"/>
      <c r="GO18" s="181"/>
      <c r="GP18" s="181"/>
      <c r="GQ18" s="181"/>
      <c r="GR18" s="181"/>
      <c r="GS18" s="181"/>
      <c r="GT18" s="181"/>
      <c r="GU18" s="181"/>
      <c r="GV18" s="181"/>
      <c r="GW18" s="181"/>
      <c r="GX18" s="181"/>
      <c r="GY18" s="181"/>
      <c r="GZ18" s="181"/>
      <c r="HA18" s="181"/>
      <c r="HB18" s="181"/>
      <c r="HC18" s="181"/>
      <c r="HD18" s="181"/>
      <c r="HE18" s="181"/>
      <c r="HF18" s="181"/>
      <c r="HG18" s="181"/>
      <c r="HH18" s="181"/>
      <c r="HI18" s="181"/>
      <c r="HJ18" s="181"/>
      <c r="HK18" s="181"/>
      <c r="HL18" s="181"/>
      <c r="HM18" s="181"/>
      <c r="HN18" s="181"/>
      <c r="HO18" s="181"/>
      <c r="HP18" s="181"/>
      <c r="HQ18" s="181"/>
      <c r="HR18" s="181"/>
      <c r="HS18" s="181"/>
      <c r="HT18" s="181"/>
      <c r="HU18" s="181"/>
      <c r="HV18" s="181"/>
      <c r="HW18" s="181"/>
      <c r="HX18" s="181"/>
      <c r="HY18" s="181"/>
      <c r="HZ18" s="181"/>
      <c r="IA18" s="181"/>
      <c r="IB18" s="181"/>
      <c r="IC18" s="181"/>
      <c r="ID18" s="181"/>
      <c r="IE18" s="181"/>
      <c r="IF18" s="181"/>
      <c r="IG18" s="181"/>
      <c r="IH18" s="181"/>
      <c r="II18" s="181"/>
      <c r="IJ18" s="181"/>
      <c r="IK18" s="181"/>
      <c r="IL18" s="181"/>
      <c r="IM18" s="181"/>
      <c r="IN18" s="181"/>
    </row>
    <row r="19" spans="1:248" s="199" customFormat="1" x14ac:dyDescent="0.2">
      <c r="A19" s="210">
        <v>5</v>
      </c>
      <c r="B19" s="195">
        <v>8569186</v>
      </c>
      <c r="C19" s="182" t="s">
        <v>96</v>
      </c>
      <c r="D19" s="232" t="s">
        <v>95</v>
      </c>
      <c r="E19" s="200" t="s">
        <v>241</v>
      </c>
      <c r="F19" s="183"/>
      <c r="G19" s="184">
        <v>24200</v>
      </c>
      <c r="H19" s="185">
        <v>37104</v>
      </c>
      <c r="I19" s="186"/>
      <c r="J19" s="197" t="s">
        <v>23</v>
      </c>
      <c r="K19" s="202"/>
      <c r="L19" s="189"/>
      <c r="M19" s="212" t="s">
        <v>247</v>
      </c>
      <c r="N19" s="233"/>
      <c r="O19" s="163">
        <f t="shared" si="13"/>
        <v>30</v>
      </c>
      <c r="P19" s="164">
        <f t="shared" si="14"/>
        <v>240</v>
      </c>
      <c r="Q19" s="165"/>
      <c r="R19" s="165"/>
      <c r="S19" s="165"/>
      <c r="T19" s="165"/>
      <c r="U19" s="190">
        <f>2315</f>
        <v>2315</v>
      </c>
      <c r="V19" s="167"/>
      <c r="W19" s="167">
        <v>85</v>
      </c>
      <c r="X19" s="167"/>
      <c r="Y19" s="170"/>
      <c r="Z19" s="170"/>
      <c r="AA19" s="170"/>
      <c r="AB19" s="170">
        <f>+SUM(Y19:AA19)</f>
        <v>0</v>
      </c>
      <c r="AC19" s="192"/>
      <c r="AD19" s="192"/>
      <c r="AE19" s="193"/>
      <c r="AF19" s="173">
        <f t="shared" si="15"/>
        <v>2315</v>
      </c>
      <c r="AG19" s="174">
        <f t="shared" si="16"/>
        <v>85</v>
      </c>
      <c r="AH19" s="178"/>
      <c r="AI19" s="178"/>
      <c r="AJ19" s="178">
        <f t="shared" si="29"/>
        <v>300</v>
      </c>
      <c r="AK19" s="178"/>
      <c r="AL19" s="178">
        <f t="shared" si="10"/>
        <v>0</v>
      </c>
      <c r="AM19" s="178">
        <f t="shared" si="11"/>
        <v>0</v>
      </c>
      <c r="AN19" s="178">
        <f t="shared" si="12"/>
        <v>0</v>
      </c>
      <c r="AO19" s="194"/>
      <c r="AP19" s="178"/>
      <c r="AQ19" s="178"/>
      <c r="AR19" s="178"/>
      <c r="AS19" s="178"/>
      <c r="AT19" s="178"/>
      <c r="AU19" s="179"/>
      <c r="AV19" s="179"/>
      <c r="AW19" s="178"/>
      <c r="AX19" s="178">
        <f t="shared" si="17"/>
        <v>2400</v>
      </c>
      <c r="AY19" s="174">
        <f t="shared" si="18"/>
        <v>312</v>
      </c>
      <c r="AZ19" s="174">
        <f t="shared" si="19"/>
        <v>0</v>
      </c>
      <c r="BA19" s="174">
        <f t="shared" si="20"/>
        <v>0</v>
      </c>
      <c r="BB19" s="174">
        <f t="shared" si="21"/>
        <v>0</v>
      </c>
      <c r="BC19" s="178"/>
      <c r="BD19" s="178"/>
      <c r="BE19" s="178"/>
      <c r="BF19" s="179"/>
      <c r="BG19" s="179">
        <f>VLOOKUP(B19,'CALCULO 5TA'!$A$5:$AG$26,33,0)</f>
        <v>57.213333333333338</v>
      </c>
      <c r="BH19" s="180"/>
      <c r="BI19" s="178">
        <f t="shared" si="22"/>
        <v>2700</v>
      </c>
      <c r="BJ19" s="174">
        <f t="shared" si="23"/>
        <v>369.21333333333337</v>
      </c>
      <c r="BK19" s="174">
        <f t="shared" si="24"/>
        <v>2330.7866666666669</v>
      </c>
      <c r="BL19" s="174">
        <f t="shared" si="25"/>
        <v>216</v>
      </c>
      <c r="BM19" s="174">
        <f t="shared" si="26"/>
        <v>120</v>
      </c>
      <c r="BN19" s="174">
        <f t="shared" si="27"/>
        <v>18</v>
      </c>
      <c r="BO19" s="266">
        <f t="shared" ca="1" si="28"/>
        <v>16.712328767123289</v>
      </c>
      <c r="BP19" s="180"/>
      <c r="BQ19" s="186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181"/>
      <c r="CD19" s="181"/>
      <c r="CE19" s="181"/>
      <c r="CF19" s="181"/>
      <c r="CG19" s="181"/>
      <c r="CH19" s="181"/>
      <c r="CI19" s="181"/>
      <c r="CJ19" s="181"/>
      <c r="CK19" s="181"/>
      <c r="CL19" s="181"/>
      <c r="CM19" s="181"/>
      <c r="CN19" s="181"/>
      <c r="CO19" s="181"/>
      <c r="CP19" s="181"/>
      <c r="CQ19" s="181"/>
      <c r="CR19" s="181"/>
      <c r="CS19" s="181"/>
      <c r="CT19" s="181"/>
      <c r="CU19" s="181"/>
      <c r="CV19" s="181"/>
      <c r="CW19" s="181"/>
      <c r="CX19" s="181"/>
      <c r="CY19" s="181"/>
      <c r="CZ19" s="181"/>
      <c r="DA19" s="181"/>
      <c r="DB19" s="181"/>
      <c r="DC19" s="181"/>
      <c r="DD19" s="181"/>
      <c r="DE19" s="181"/>
      <c r="DF19" s="181"/>
      <c r="DG19" s="181"/>
      <c r="DH19" s="181"/>
      <c r="DI19" s="181"/>
      <c r="DJ19" s="181"/>
      <c r="DK19" s="181"/>
      <c r="DL19" s="181"/>
      <c r="DM19" s="181"/>
      <c r="DN19" s="181"/>
      <c r="DO19" s="181"/>
      <c r="DP19" s="181"/>
      <c r="DQ19" s="181"/>
      <c r="DR19" s="181"/>
      <c r="DS19" s="181"/>
      <c r="DT19" s="181"/>
      <c r="DU19" s="181"/>
      <c r="DV19" s="181"/>
      <c r="DW19" s="181"/>
      <c r="DX19" s="181"/>
      <c r="DY19" s="181"/>
      <c r="DZ19" s="181"/>
      <c r="EA19" s="181"/>
      <c r="EB19" s="181"/>
      <c r="EC19" s="181"/>
      <c r="ED19" s="181"/>
      <c r="EE19" s="181"/>
      <c r="EF19" s="181"/>
      <c r="EG19" s="181"/>
      <c r="EH19" s="181"/>
      <c r="EI19" s="181"/>
      <c r="EJ19" s="181"/>
      <c r="EK19" s="181"/>
      <c r="EL19" s="181"/>
      <c r="EM19" s="181"/>
      <c r="EN19" s="181"/>
      <c r="EO19" s="181"/>
      <c r="EP19" s="181"/>
      <c r="EQ19" s="181"/>
      <c r="ER19" s="181"/>
      <c r="ES19" s="181"/>
      <c r="ET19" s="181"/>
      <c r="EU19" s="181"/>
      <c r="EV19" s="181"/>
      <c r="EW19" s="181"/>
      <c r="EX19" s="181"/>
      <c r="EY19" s="181"/>
      <c r="EZ19" s="181"/>
      <c r="FA19" s="181"/>
      <c r="FB19" s="181"/>
      <c r="FC19" s="181"/>
      <c r="FD19" s="181"/>
      <c r="FE19" s="181"/>
      <c r="FF19" s="181"/>
      <c r="FG19" s="181"/>
      <c r="FH19" s="181"/>
      <c r="FI19" s="181"/>
      <c r="FJ19" s="181"/>
      <c r="FK19" s="181"/>
      <c r="FL19" s="181"/>
      <c r="FM19" s="181"/>
      <c r="FN19" s="181"/>
      <c r="FO19" s="181"/>
      <c r="FP19" s="181"/>
      <c r="FQ19" s="181"/>
      <c r="FR19" s="181"/>
      <c r="FS19" s="181"/>
      <c r="FT19" s="181"/>
      <c r="FU19" s="181"/>
      <c r="FV19" s="181"/>
      <c r="FW19" s="181"/>
      <c r="FX19" s="181"/>
      <c r="FY19" s="181"/>
      <c r="FZ19" s="181"/>
      <c r="GA19" s="181"/>
      <c r="GB19" s="181"/>
      <c r="GC19" s="181"/>
      <c r="GD19" s="181"/>
      <c r="GE19" s="181"/>
      <c r="GF19" s="181"/>
      <c r="GG19" s="181"/>
      <c r="GH19" s="181"/>
      <c r="GI19" s="181"/>
      <c r="GJ19" s="181"/>
      <c r="GK19" s="181"/>
      <c r="GL19" s="181"/>
      <c r="GM19" s="181"/>
      <c r="GN19" s="181"/>
      <c r="GO19" s="181"/>
      <c r="GP19" s="181"/>
      <c r="GQ19" s="181"/>
      <c r="GR19" s="181"/>
      <c r="GS19" s="181"/>
      <c r="GT19" s="181"/>
      <c r="GU19" s="181"/>
      <c r="GV19" s="181"/>
      <c r="GW19" s="181"/>
      <c r="GX19" s="181"/>
      <c r="GY19" s="181"/>
      <c r="GZ19" s="181"/>
      <c r="HA19" s="181"/>
      <c r="HB19" s="181"/>
      <c r="HC19" s="181"/>
      <c r="HD19" s="181"/>
      <c r="HE19" s="181"/>
      <c r="HF19" s="181"/>
      <c r="HG19" s="181"/>
      <c r="HH19" s="181"/>
      <c r="HI19" s="181"/>
      <c r="HJ19" s="181"/>
      <c r="HK19" s="181"/>
      <c r="HL19" s="181"/>
      <c r="HM19" s="181"/>
      <c r="HN19" s="181"/>
      <c r="HO19" s="181"/>
      <c r="HP19" s="181"/>
      <c r="HQ19" s="181"/>
      <c r="HR19" s="181"/>
      <c r="HS19" s="181"/>
      <c r="HT19" s="181"/>
      <c r="HU19" s="181"/>
      <c r="HV19" s="181"/>
      <c r="HW19" s="181"/>
      <c r="HX19" s="181"/>
      <c r="HY19" s="181"/>
      <c r="HZ19" s="181"/>
      <c r="IA19" s="181"/>
      <c r="IB19" s="181"/>
      <c r="IC19" s="181"/>
      <c r="ID19" s="181"/>
      <c r="IE19" s="181"/>
      <c r="IF19" s="181"/>
      <c r="IG19" s="181"/>
      <c r="IH19" s="181"/>
      <c r="II19" s="181"/>
      <c r="IJ19" s="181"/>
      <c r="IK19" s="181"/>
      <c r="IL19" s="181"/>
      <c r="IM19" s="181"/>
      <c r="IN19" s="181"/>
    </row>
    <row r="20" spans="1:248" s="175" customFormat="1" x14ac:dyDescent="0.2">
      <c r="A20" s="210">
        <v>6</v>
      </c>
      <c r="B20" s="203">
        <v>47974615</v>
      </c>
      <c r="C20" s="182" t="s">
        <v>94</v>
      </c>
      <c r="D20" s="232" t="s">
        <v>93</v>
      </c>
      <c r="E20" s="200" t="s">
        <v>241</v>
      </c>
      <c r="F20" s="183" t="s">
        <v>67</v>
      </c>
      <c r="G20" s="184">
        <v>34217</v>
      </c>
      <c r="H20" s="185">
        <v>42842</v>
      </c>
      <c r="I20" s="186"/>
      <c r="J20" s="197" t="s">
        <v>66</v>
      </c>
      <c r="K20" s="170"/>
      <c r="L20" s="189" t="s">
        <v>92</v>
      </c>
      <c r="M20" s="212" t="s">
        <v>247</v>
      </c>
      <c r="N20" s="236"/>
      <c r="O20" s="163">
        <f t="shared" si="13"/>
        <v>30</v>
      </c>
      <c r="P20" s="164">
        <f t="shared" si="14"/>
        <v>240</v>
      </c>
      <c r="Q20" s="165"/>
      <c r="R20" s="165"/>
      <c r="S20" s="165"/>
      <c r="T20" s="165"/>
      <c r="U20" s="190">
        <v>1115</v>
      </c>
      <c r="V20" s="167"/>
      <c r="W20" s="191">
        <v>85</v>
      </c>
      <c r="X20" s="191"/>
      <c r="Y20" s="170"/>
      <c r="Z20" s="170"/>
      <c r="AA20" s="170"/>
      <c r="AB20" s="170">
        <f>+SUM(Y20:AA20)</f>
        <v>0</v>
      </c>
      <c r="AC20" s="192"/>
      <c r="AD20" s="192"/>
      <c r="AE20" s="193"/>
      <c r="AF20" s="173">
        <f t="shared" si="15"/>
        <v>1115</v>
      </c>
      <c r="AG20" s="174">
        <f t="shared" si="16"/>
        <v>85</v>
      </c>
      <c r="AH20" s="178"/>
      <c r="AI20" s="178"/>
      <c r="AJ20" s="178">
        <f t="shared" si="29"/>
        <v>300</v>
      </c>
      <c r="AK20" s="178"/>
      <c r="AL20" s="178">
        <f t="shared" si="10"/>
        <v>0</v>
      </c>
      <c r="AM20" s="178">
        <f t="shared" si="11"/>
        <v>0</v>
      </c>
      <c r="AN20" s="178">
        <f t="shared" si="12"/>
        <v>0</v>
      </c>
      <c r="AO20" s="194"/>
      <c r="AP20" s="178"/>
      <c r="AQ20" s="178"/>
      <c r="AR20" s="178"/>
      <c r="AS20" s="178"/>
      <c r="AT20" s="178"/>
      <c r="AU20" s="179"/>
      <c r="AV20" s="179"/>
      <c r="AW20" s="178"/>
      <c r="AX20" s="178">
        <f t="shared" si="17"/>
        <v>1200</v>
      </c>
      <c r="AY20" s="174" t="str">
        <f t="shared" si="18"/>
        <v/>
      </c>
      <c r="AZ20" s="174">
        <f t="shared" si="19"/>
        <v>4.5599999999999996</v>
      </c>
      <c r="BA20" s="174">
        <f t="shared" si="20"/>
        <v>16.32</v>
      </c>
      <c r="BB20" s="174">
        <f t="shared" si="21"/>
        <v>120</v>
      </c>
      <c r="BC20" s="178"/>
      <c r="BD20" s="178"/>
      <c r="BE20" s="178"/>
      <c r="BF20" s="179"/>
      <c r="BG20" s="179">
        <f>VLOOKUP(B20,'CALCULO 5TA'!$A$5:$AG$26,33,0)</f>
        <v>0</v>
      </c>
      <c r="BH20" s="180"/>
      <c r="BI20" s="178">
        <f t="shared" si="22"/>
        <v>1500</v>
      </c>
      <c r="BJ20" s="174">
        <f t="shared" si="23"/>
        <v>140.88</v>
      </c>
      <c r="BK20" s="174">
        <f t="shared" si="24"/>
        <v>1359.12</v>
      </c>
      <c r="BL20" s="174">
        <f t="shared" si="25"/>
        <v>108</v>
      </c>
      <c r="BM20" s="174">
        <f t="shared" si="26"/>
        <v>60</v>
      </c>
      <c r="BN20" s="174">
        <f t="shared" si="27"/>
        <v>9</v>
      </c>
      <c r="BO20" s="266">
        <f t="shared" ca="1" si="28"/>
        <v>0.99178082191780825</v>
      </c>
      <c r="BP20" s="180"/>
      <c r="BQ20" s="186">
        <v>43190</v>
      </c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181"/>
      <c r="CD20" s="181"/>
      <c r="CE20" s="181"/>
      <c r="CF20" s="181"/>
      <c r="CG20" s="181"/>
      <c r="CH20" s="181"/>
      <c r="CI20" s="181"/>
      <c r="CJ20" s="181"/>
      <c r="CK20" s="181"/>
      <c r="CL20" s="181"/>
      <c r="CM20" s="181"/>
      <c r="CN20" s="181"/>
      <c r="CO20" s="181"/>
      <c r="CP20" s="181"/>
      <c r="CQ20" s="181"/>
      <c r="CR20" s="181"/>
      <c r="CS20" s="181"/>
      <c r="CT20" s="181"/>
      <c r="CU20" s="181"/>
      <c r="CV20" s="181"/>
      <c r="CW20" s="181"/>
      <c r="CX20" s="181"/>
      <c r="CY20" s="181"/>
      <c r="CZ20" s="181"/>
      <c r="DA20" s="181"/>
      <c r="DB20" s="181"/>
      <c r="DC20" s="181"/>
      <c r="DD20" s="181"/>
      <c r="DE20" s="181"/>
      <c r="DF20" s="181"/>
      <c r="DG20" s="181"/>
      <c r="DH20" s="181"/>
      <c r="DI20" s="181"/>
      <c r="DJ20" s="181"/>
      <c r="DK20" s="181"/>
      <c r="DL20" s="181"/>
      <c r="DM20" s="181"/>
      <c r="DN20" s="181"/>
      <c r="DO20" s="181"/>
      <c r="DP20" s="181"/>
      <c r="DQ20" s="181"/>
      <c r="DR20" s="181"/>
      <c r="DS20" s="181"/>
      <c r="DT20" s="181"/>
      <c r="DU20" s="181"/>
      <c r="DV20" s="181"/>
      <c r="DW20" s="181"/>
      <c r="DX20" s="181"/>
      <c r="DY20" s="181"/>
      <c r="DZ20" s="181"/>
      <c r="EA20" s="181"/>
      <c r="EB20" s="181"/>
      <c r="EC20" s="181"/>
      <c r="ED20" s="181"/>
      <c r="EE20" s="181"/>
      <c r="EF20" s="181"/>
      <c r="EG20" s="181"/>
      <c r="EH20" s="181"/>
      <c r="EI20" s="181"/>
      <c r="EJ20" s="181"/>
      <c r="EK20" s="181"/>
      <c r="EL20" s="181"/>
      <c r="EM20" s="181"/>
      <c r="EN20" s="181"/>
      <c r="EO20" s="181"/>
      <c r="EP20" s="181"/>
      <c r="EQ20" s="181"/>
      <c r="ER20" s="181"/>
      <c r="ES20" s="181"/>
      <c r="ET20" s="181"/>
      <c r="EU20" s="181"/>
      <c r="EV20" s="181"/>
      <c r="EW20" s="181"/>
      <c r="EX20" s="181"/>
      <c r="EY20" s="181"/>
      <c r="EZ20" s="181"/>
      <c r="FA20" s="181"/>
      <c r="FB20" s="181"/>
      <c r="FC20" s="181"/>
      <c r="FD20" s="181"/>
      <c r="FE20" s="181"/>
      <c r="FF20" s="181"/>
      <c r="FG20" s="181"/>
      <c r="FH20" s="181"/>
      <c r="FI20" s="181"/>
      <c r="FJ20" s="181"/>
      <c r="FK20" s="181"/>
      <c r="FL20" s="181"/>
      <c r="FM20" s="181"/>
      <c r="FN20" s="181"/>
      <c r="FO20" s="181"/>
      <c r="FP20" s="181"/>
      <c r="FQ20" s="181"/>
      <c r="FR20" s="181"/>
      <c r="FS20" s="181"/>
      <c r="FT20" s="181"/>
      <c r="FU20" s="181"/>
      <c r="FV20" s="181"/>
      <c r="FW20" s="181"/>
      <c r="FX20" s="181"/>
      <c r="FY20" s="181"/>
      <c r="FZ20" s="181"/>
      <c r="GA20" s="181"/>
      <c r="GB20" s="181"/>
      <c r="GC20" s="181"/>
      <c r="GD20" s="181"/>
      <c r="GE20" s="181"/>
      <c r="GF20" s="181"/>
      <c r="GG20" s="181"/>
      <c r="GH20" s="181"/>
      <c r="GI20" s="181"/>
      <c r="GJ20" s="181"/>
      <c r="GK20" s="181"/>
      <c r="GL20" s="181"/>
      <c r="GM20" s="181"/>
      <c r="GN20" s="181"/>
      <c r="GO20" s="181"/>
      <c r="GP20" s="181"/>
      <c r="GQ20" s="181"/>
      <c r="GR20" s="181"/>
      <c r="GS20" s="181"/>
      <c r="GT20" s="181"/>
      <c r="GU20" s="181"/>
      <c r="GV20" s="181"/>
      <c r="GW20" s="181"/>
      <c r="GX20" s="181"/>
      <c r="GY20" s="181"/>
      <c r="GZ20" s="181"/>
      <c r="HA20" s="181"/>
      <c r="HB20" s="181"/>
      <c r="HC20" s="181"/>
      <c r="HD20" s="181"/>
      <c r="HE20" s="181"/>
      <c r="HF20" s="181"/>
      <c r="HG20" s="181"/>
      <c r="HH20" s="181"/>
      <c r="HI20" s="181"/>
      <c r="HJ20" s="181"/>
      <c r="HK20" s="181"/>
      <c r="HL20" s="181"/>
      <c r="HM20" s="181"/>
      <c r="HN20" s="181"/>
      <c r="HO20" s="181"/>
      <c r="HP20" s="181"/>
      <c r="HQ20" s="181"/>
      <c r="HR20" s="181"/>
      <c r="HS20" s="181"/>
      <c r="HT20" s="181"/>
      <c r="HU20" s="181"/>
      <c r="HV20" s="181"/>
      <c r="HW20" s="181"/>
      <c r="HX20" s="181"/>
      <c r="HY20" s="181"/>
      <c r="HZ20" s="181"/>
      <c r="IA20" s="181"/>
      <c r="IB20" s="181"/>
      <c r="IC20" s="181"/>
      <c r="ID20" s="181"/>
      <c r="IE20" s="181"/>
      <c r="IF20" s="181"/>
      <c r="IG20" s="181"/>
      <c r="IH20" s="181"/>
      <c r="II20" s="181"/>
      <c r="IJ20" s="181"/>
      <c r="IK20" s="181"/>
      <c r="IL20" s="181"/>
      <c r="IM20" s="181"/>
      <c r="IN20" s="181"/>
    </row>
    <row r="21" spans="1:248" s="175" customFormat="1" ht="12" customHeight="1" x14ac:dyDescent="0.2">
      <c r="A21" s="210">
        <v>7</v>
      </c>
      <c r="B21" s="182">
        <v>80677912</v>
      </c>
      <c r="C21" s="182" t="s">
        <v>91</v>
      </c>
      <c r="D21" s="183" t="s">
        <v>83</v>
      </c>
      <c r="E21" s="204" t="s">
        <v>241</v>
      </c>
      <c r="F21" s="183"/>
      <c r="G21" s="205">
        <v>29132</v>
      </c>
      <c r="H21" s="185">
        <v>42614</v>
      </c>
      <c r="I21" s="183"/>
      <c r="J21" s="197" t="s">
        <v>23</v>
      </c>
      <c r="K21" s="188"/>
      <c r="L21" s="189"/>
      <c r="M21" s="212" t="s">
        <v>247</v>
      </c>
      <c r="N21" s="236"/>
      <c r="O21" s="163">
        <f t="shared" si="13"/>
        <v>30</v>
      </c>
      <c r="P21" s="164">
        <f t="shared" si="14"/>
        <v>240</v>
      </c>
      <c r="Q21" s="165"/>
      <c r="R21" s="165"/>
      <c r="S21" s="165"/>
      <c r="T21" s="165"/>
      <c r="U21" s="190">
        <f>1000+200</f>
        <v>1200</v>
      </c>
      <c r="V21" s="167"/>
      <c r="W21" s="191"/>
      <c r="X21" s="191"/>
      <c r="Y21" s="170"/>
      <c r="Z21" s="170"/>
      <c r="AA21" s="170"/>
      <c r="AB21" s="170">
        <f t="shared" ref="AB21:AB32" si="30">+SUM(Y21:AA21)</f>
        <v>0</v>
      </c>
      <c r="AC21" s="192"/>
      <c r="AD21" s="192"/>
      <c r="AE21" s="193"/>
      <c r="AF21" s="173">
        <f t="shared" si="15"/>
        <v>1200</v>
      </c>
      <c r="AG21" s="174">
        <f t="shared" si="16"/>
        <v>0</v>
      </c>
      <c r="AH21" s="178"/>
      <c r="AI21" s="178"/>
      <c r="AJ21" s="178">
        <f t="shared" si="29"/>
        <v>300</v>
      </c>
      <c r="AK21" s="178"/>
      <c r="AL21" s="178">
        <f t="shared" si="10"/>
        <v>0</v>
      </c>
      <c r="AM21" s="178">
        <f t="shared" si="11"/>
        <v>0</v>
      </c>
      <c r="AN21" s="178">
        <f t="shared" si="12"/>
        <v>0</v>
      </c>
      <c r="AO21" s="194"/>
      <c r="AP21" s="178"/>
      <c r="AQ21" s="178"/>
      <c r="AR21" s="178"/>
      <c r="AS21" s="178"/>
      <c r="AT21" s="178"/>
      <c r="AU21" s="179"/>
      <c r="AV21" s="179"/>
      <c r="AW21" s="178"/>
      <c r="AX21" s="178">
        <f t="shared" si="17"/>
        <v>1200</v>
      </c>
      <c r="AY21" s="174">
        <f t="shared" si="18"/>
        <v>156</v>
      </c>
      <c r="AZ21" s="174">
        <f t="shared" si="19"/>
        <v>0</v>
      </c>
      <c r="BA21" s="174">
        <f t="shared" si="20"/>
        <v>0</v>
      </c>
      <c r="BB21" s="174">
        <f t="shared" si="21"/>
        <v>0</v>
      </c>
      <c r="BC21" s="178"/>
      <c r="BD21" s="178"/>
      <c r="BE21" s="178"/>
      <c r="BF21" s="179"/>
      <c r="BG21" s="179">
        <f>VLOOKUP(B21,'CALCULO 5TA'!$A$5:$AG$26,33,0)</f>
        <v>0</v>
      </c>
      <c r="BH21" s="180"/>
      <c r="BI21" s="178">
        <f t="shared" si="22"/>
        <v>1500</v>
      </c>
      <c r="BJ21" s="174">
        <f t="shared" si="23"/>
        <v>156</v>
      </c>
      <c r="BK21" s="174">
        <f t="shared" si="24"/>
        <v>1344</v>
      </c>
      <c r="BL21" s="174">
        <f t="shared" si="25"/>
        <v>108</v>
      </c>
      <c r="BM21" s="174">
        <f t="shared" si="26"/>
        <v>60</v>
      </c>
      <c r="BN21" s="174">
        <f t="shared" si="27"/>
        <v>9</v>
      </c>
      <c r="BO21" s="266">
        <f t="shared" ca="1" si="28"/>
        <v>1.6164383561643836</v>
      </c>
      <c r="BP21" s="180"/>
      <c r="BQ21" s="186">
        <v>43190</v>
      </c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1"/>
      <c r="CD21" s="181"/>
      <c r="CE21" s="181"/>
      <c r="CF21" s="181"/>
      <c r="CG21" s="181"/>
      <c r="CH21" s="181"/>
      <c r="CI21" s="181"/>
      <c r="CJ21" s="181"/>
      <c r="CK21" s="181"/>
      <c r="CL21" s="181"/>
      <c r="CM21" s="181"/>
      <c r="CN21" s="181"/>
      <c r="CO21" s="181"/>
      <c r="CP21" s="181"/>
      <c r="CQ21" s="181"/>
      <c r="CR21" s="181"/>
      <c r="CS21" s="181"/>
      <c r="CT21" s="181"/>
      <c r="CU21" s="181"/>
      <c r="CV21" s="181"/>
      <c r="CW21" s="181"/>
      <c r="CX21" s="181"/>
      <c r="CY21" s="181"/>
      <c r="CZ21" s="181"/>
      <c r="DA21" s="181"/>
      <c r="DB21" s="181"/>
      <c r="DC21" s="181"/>
      <c r="DD21" s="181"/>
      <c r="DE21" s="181"/>
      <c r="DF21" s="181"/>
      <c r="DG21" s="181"/>
      <c r="DH21" s="181"/>
      <c r="DI21" s="181"/>
      <c r="DJ21" s="181"/>
      <c r="DK21" s="181"/>
      <c r="DL21" s="181"/>
      <c r="DM21" s="181"/>
      <c r="DN21" s="181"/>
      <c r="DO21" s="181"/>
      <c r="DP21" s="181"/>
      <c r="DQ21" s="181"/>
      <c r="DR21" s="181"/>
      <c r="DS21" s="181"/>
      <c r="DT21" s="181"/>
      <c r="DU21" s="181"/>
      <c r="DV21" s="181"/>
      <c r="DW21" s="181"/>
      <c r="DX21" s="181"/>
      <c r="DY21" s="181"/>
      <c r="DZ21" s="181"/>
      <c r="EA21" s="181"/>
      <c r="EB21" s="181"/>
      <c r="EC21" s="181"/>
      <c r="ED21" s="181"/>
      <c r="EE21" s="181"/>
      <c r="EF21" s="181"/>
      <c r="EG21" s="181"/>
      <c r="EH21" s="181"/>
      <c r="EI21" s="181"/>
      <c r="EJ21" s="181"/>
      <c r="EK21" s="181"/>
      <c r="EL21" s="181"/>
      <c r="EM21" s="181"/>
      <c r="EN21" s="181"/>
      <c r="EO21" s="181"/>
      <c r="EP21" s="181"/>
      <c r="EQ21" s="181"/>
      <c r="ER21" s="181"/>
      <c r="ES21" s="181"/>
      <c r="ET21" s="181"/>
      <c r="EU21" s="181"/>
      <c r="EV21" s="181"/>
      <c r="EW21" s="181"/>
      <c r="EX21" s="181"/>
      <c r="EY21" s="181"/>
      <c r="EZ21" s="181"/>
      <c r="FA21" s="181"/>
      <c r="FB21" s="181"/>
      <c r="FC21" s="181"/>
      <c r="FD21" s="181"/>
      <c r="FE21" s="181"/>
      <c r="FF21" s="181"/>
      <c r="FG21" s="181"/>
      <c r="FH21" s="181"/>
      <c r="FI21" s="181"/>
      <c r="FJ21" s="181"/>
      <c r="FK21" s="181"/>
      <c r="FL21" s="181"/>
      <c r="FM21" s="181"/>
      <c r="FN21" s="181"/>
      <c r="FO21" s="181"/>
      <c r="FP21" s="181"/>
      <c r="FQ21" s="181"/>
      <c r="FR21" s="181"/>
      <c r="FS21" s="181"/>
      <c r="FT21" s="181"/>
      <c r="FU21" s="181"/>
      <c r="FV21" s="181"/>
      <c r="FW21" s="181"/>
      <c r="FX21" s="181"/>
      <c r="FY21" s="181"/>
      <c r="FZ21" s="181"/>
      <c r="GA21" s="181"/>
      <c r="GB21" s="181"/>
      <c r="GC21" s="181"/>
      <c r="GD21" s="181"/>
      <c r="GE21" s="181"/>
      <c r="GF21" s="181"/>
      <c r="GG21" s="181"/>
      <c r="GH21" s="181"/>
      <c r="GI21" s="181"/>
      <c r="GJ21" s="181"/>
      <c r="GK21" s="181"/>
      <c r="GL21" s="181"/>
      <c r="GM21" s="181"/>
      <c r="GN21" s="181"/>
      <c r="GO21" s="181"/>
      <c r="GP21" s="181"/>
      <c r="GQ21" s="181"/>
      <c r="GR21" s="181"/>
      <c r="GS21" s="181"/>
      <c r="GT21" s="181"/>
      <c r="GU21" s="181"/>
      <c r="GV21" s="181"/>
      <c r="GW21" s="181"/>
      <c r="GX21" s="181"/>
      <c r="GY21" s="181"/>
      <c r="GZ21" s="181"/>
      <c r="HA21" s="181"/>
      <c r="HB21" s="181"/>
      <c r="HC21" s="181"/>
      <c r="HD21" s="181"/>
      <c r="HE21" s="181"/>
      <c r="HF21" s="181"/>
      <c r="HG21" s="181"/>
      <c r="HH21" s="181"/>
      <c r="HI21" s="181"/>
      <c r="HJ21" s="181"/>
      <c r="HK21" s="181"/>
      <c r="HL21" s="181"/>
      <c r="HM21" s="181"/>
      <c r="HN21" s="181"/>
      <c r="HO21" s="181"/>
      <c r="HP21" s="181"/>
      <c r="HQ21" s="181"/>
      <c r="HR21" s="181"/>
      <c r="HS21" s="181"/>
      <c r="HT21" s="181"/>
      <c r="HU21" s="181"/>
      <c r="HV21" s="181"/>
      <c r="HW21" s="181"/>
      <c r="HX21" s="181"/>
      <c r="HY21" s="181"/>
      <c r="HZ21" s="181"/>
      <c r="IA21" s="181"/>
      <c r="IB21" s="181"/>
      <c r="IC21" s="181"/>
      <c r="ID21" s="181"/>
      <c r="IE21" s="181"/>
      <c r="IF21" s="181"/>
      <c r="IG21" s="181"/>
      <c r="IH21" s="181"/>
      <c r="II21" s="181"/>
      <c r="IJ21" s="181"/>
      <c r="IK21" s="181"/>
      <c r="IL21" s="181"/>
      <c r="IM21" s="181"/>
      <c r="IN21" s="181"/>
    </row>
    <row r="22" spans="1:248" s="175" customFormat="1" x14ac:dyDescent="0.2">
      <c r="A22" s="210">
        <v>8</v>
      </c>
      <c r="B22" s="206">
        <v>44112775</v>
      </c>
      <c r="C22" s="182" t="s">
        <v>90</v>
      </c>
      <c r="D22" s="232" t="s">
        <v>89</v>
      </c>
      <c r="E22" s="204" t="s">
        <v>241</v>
      </c>
      <c r="F22" s="183"/>
      <c r="G22" s="184">
        <v>31812</v>
      </c>
      <c r="H22" s="185">
        <v>42644</v>
      </c>
      <c r="I22" s="186"/>
      <c r="J22" s="197" t="s">
        <v>23</v>
      </c>
      <c r="K22" s="188"/>
      <c r="L22" s="189"/>
      <c r="M22" s="212" t="s">
        <v>247</v>
      </c>
      <c r="N22" s="236"/>
      <c r="O22" s="163">
        <f t="shared" si="13"/>
        <v>30</v>
      </c>
      <c r="P22" s="164">
        <f t="shared" si="14"/>
        <v>240</v>
      </c>
      <c r="Q22" s="165"/>
      <c r="R22" s="165"/>
      <c r="S22" s="165"/>
      <c r="T22" s="165"/>
      <c r="U22" s="190">
        <f>915+500</f>
        <v>1415</v>
      </c>
      <c r="V22" s="167"/>
      <c r="W22" s="167">
        <v>85</v>
      </c>
      <c r="X22" s="167"/>
      <c r="Y22" s="170"/>
      <c r="Z22" s="170"/>
      <c r="AA22" s="170"/>
      <c r="AB22" s="170">
        <f t="shared" si="30"/>
        <v>0</v>
      </c>
      <c r="AC22" s="192"/>
      <c r="AD22" s="192"/>
      <c r="AE22" s="198"/>
      <c r="AF22" s="173">
        <f t="shared" si="15"/>
        <v>1415</v>
      </c>
      <c r="AG22" s="174">
        <f t="shared" si="16"/>
        <v>85</v>
      </c>
      <c r="AH22" s="178"/>
      <c r="AI22" s="178"/>
      <c r="AJ22" s="178">
        <f t="shared" si="29"/>
        <v>300</v>
      </c>
      <c r="AK22" s="178"/>
      <c r="AL22" s="178">
        <f t="shared" si="10"/>
        <v>0</v>
      </c>
      <c r="AM22" s="178">
        <f t="shared" si="11"/>
        <v>0</v>
      </c>
      <c r="AN22" s="178">
        <f t="shared" si="12"/>
        <v>0</v>
      </c>
      <c r="AO22" s="194"/>
      <c r="AP22" s="178"/>
      <c r="AQ22" s="178"/>
      <c r="AR22" s="178"/>
      <c r="AS22" s="178"/>
      <c r="AT22" s="178"/>
      <c r="AU22" s="179"/>
      <c r="AV22" s="179"/>
      <c r="AW22" s="178"/>
      <c r="AX22" s="178">
        <f t="shared" si="17"/>
        <v>1500</v>
      </c>
      <c r="AY22" s="174">
        <f t="shared" si="18"/>
        <v>195</v>
      </c>
      <c r="AZ22" s="174">
        <f t="shared" si="19"/>
        <v>0</v>
      </c>
      <c r="BA22" s="174">
        <f t="shared" si="20"/>
        <v>0</v>
      </c>
      <c r="BB22" s="174">
        <f t="shared" si="21"/>
        <v>0</v>
      </c>
      <c r="BC22" s="178"/>
      <c r="BD22" s="178"/>
      <c r="BE22" s="178"/>
      <c r="BF22" s="179"/>
      <c r="BG22" s="179">
        <f>VLOOKUP(B22,'CALCULO 5TA'!$A$5:$AG$26,33,0)</f>
        <v>0</v>
      </c>
      <c r="BH22" s="180"/>
      <c r="BI22" s="178">
        <f t="shared" si="22"/>
        <v>1800</v>
      </c>
      <c r="BJ22" s="174">
        <f t="shared" si="23"/>
        <v>195</v>
      </c>
      <c r="BK22" s="174">
        <f t="shared" si="24"/>
        <v>1605</v>
      </c>
      <c r="BL22" s="174">
        <f t="shared" si="25"/>
        <v>135</v>
      </c>
      <c r="BM22" s="174">
        <f t="shared" si="26"/>
        <v>75</v>
      </c>
      <c r="BN22" s="174">
        <f t="shared" si="27"/>
        <v>11.25</v>
      </c>
      <c r="BO22" s="266">
        <f t="shared" ca="1" si="28"/>
        <v>1.5342465753424657</v>
      </c>
      <c r="BP22" s="180"/>
      <c r="BQ22" s="186">
        <v>43190</v>
      </c>
      <c r="BR22" s="181"/>
      <c r="BS22" s="181"/>
      <c r="BT22" s="181"/>
      <c r="BU22" s="181"/>
      <c r="BV22" s="181"/>
      <c r="BW22" s="181"/>
      <c r="BX22" s="181"/>
      <c r="BY22" s="181"/>
      <c r="BZ22" s="181"/>
      <c r="CA22" s="181"/>
      <c r="CB22" s="181"/>
      <c r="CC22" s="181"/>
      <c r="CD22" s="181"/>
      <c r="CE22" s="181"/>
      <c r="CF22" s="181"/>
      <c r="CG22" s="181"/>
      <c r="CH22" s="181"/>
      <c r="CI22" s="181"/>
      <c r="CJ22" s="181"/>
      <c r="CK22" s="181"/>
      <c r="CL22" s="181"/>
      <c r="CM22" s="181"/>
      <c r="CN22" s="181"/>
      <c r="CO22" s="181"/>
      <c r="CP22" s="181"/>
      <c r="CQ22" s="181"/>
      <c r="CR22" s="181"/>
      <c r="CS22" s="181"/>
      <c r="CT22" s="181"/>
      <c r="CU22" s="181"/>
      <c r="CV22" s="181"/>
      <c r="CW22" s="181"/>
      <c r="CX22" s="181"/>
      <c r="CY22" s="181"/>
      <c r="CZ22" s="181"/>
      <c r="DA22" s="181"/>
      <c r="DB22" s="181"/>
      <c r="DC22" s="181"/>
      <c r="DD22" s="181"/>
      <c r="DE22" s="181"/>
      <c r="DF22" s="181"/>
      <c r="DG22" s="181"/>
      <c r="DH22" s="181"/>
      <c r="DI22" s="181"/>
      <c r="DJ22" s="181"/>
      <c r="DK22" s="181"/>
      <c r="DL22" s="181"/>
      <c r="DM22" s="181"/>
      <c r="DN22" s="181"/>
      <c r="DO22" s="181"/>
      <c r="DP22" s="181"/>
      <c r="DQ22" s="181"/>
      <c r="DR22" s="181"/>
      <c r="DS22" s="181"/>
      <c r="DT22" s="181"/>
      <c r="DU22" s="181"/>
      <c r="DV22" s="181"/>
      <c r="DW22" s="181"/>
      <c r="DX22" s="181"/>
      <c r="DY22" s="181"/>
      <c r="DZ22" s="181"/>
      <c r="EA22" s="181"/>
      <c r="EB22" s="181"/>
      <c r="EC22" s="181"/>
      <c r="ED22" s="181"/>
      <c r="EE22" s="181"/>
      <c r="EF22" s="181"/>
      <c r="EG22" s="181"/>
      <c r="EH22" s="181"/>
      <c r="EI22" s="181"/>
      <c r="EJ22" s="181"/>
      <c r="EK22" s="181"/>
      <c r="EL22" s="181"/>
      <c r="EM22" s="181"/>
      <c r="EN22" s="181"/>
      <c r="EO22" s="181"/>
      <c r="EP22" s="181"/>
      <c r="EQ22" s="181"/>
      <c r="ER22" s="181"/>
      <c r="ES22" s="181"/>
      <c r="ET22" s="181"/>
      <c r="EU22" s="181"/>
      <c r="EV22" s="181"/>
      <c r="EW22" s="181"/>
      <c r="EX22" s="181"/>
      <c r="EY22" s="181"/>
      <c r="EZ22" s="181"/>
      <c r="FA22" s="181"/>
      <c r="FB22" s="181"/>
      <c r="FC22" s="181"/>
      <c r="FD22" s="181"/>
      <c r="FE22" s="181"/>
      <c r="FF22" s="181"/>
      <c r="FG22" s="181"/>
      <c r="FH22" s="181"/>
      <c r="FI22" s="181"/>
      <c r="FJ22" s="181"/>
      <c r="FK22" s="181"/>
      <c r="FL22" s="181"/>
      <c r="FM22" s="181"/>
      <c r="FN22" s="181"/>
      <c r="FO22" s="181"/>
      <c r="FP22" s="181"/>
      <c r="FQ22" s="181"/>
      <c r="FR22" s="181"/>
      <c r="FS22" s="181"/>
      <c r="FT22" s="181"/>
      <c r="FU22" s="181"/>
      <c r="FV22" s="181"/>
      <c r="FW22" s="181"/>
      <c r="FX22" s="181"/>
      <c r="FY22" s="181"/>
      <c r="FZ22" s="181"/>
      <c r="GA22" s="181"/>
      <c r="GB22" s="181"/>
      <c r="GC22" s="181"/>
      <c r="GD22" s="181"/>
      <c r="GE22" s="181"/>
      <c r="GF22" s="181"/>
      <c r="GG22" s="181"/>
      <c r="GH22" s="181"/>
      <c r="GI22" s="181"/>
      <c r="GJ22" s="181"/>
      <c r="GK22" s="181"/>
      <c r="GL22" s="181"/>
      <c r="GM22" s="181"/>
      <c r="GN22" s="181"/>
      <c r="GO22" s="181"/>
      <c r="GP22" s="181"/>
      <c r="GQ22" s="181"/>
      <c r="GR22" s="181"/>
      <c r="GS22" s="181"/>
      <c r="GT22" s="181"/>
      <c r="GU22" s="181"/>
      <c r="GV22" s="181"/>
      <c r="GW22" s="181"/>
      <c r="GX22" s="181"/>
      <c r="GY22" s="181"/>
      <c r="GZ22" s="181"/>
      <c r="HA22" s="181"/>
      <c r="HB22" s="181"/>
      <c r="HC22" s="181"/>
      <c r="HD22" s="181"/>
      <c r="HE22" s="181"/>
      <c r="HF22" s="181"/>
      <c r="HG22" s="181"/>
      <c r="HH22" s="181"/>
      <c r="HI22" s="181"/>
      <c r="HJ22" s="181"/>
      <c r="HK22" s="181"/>
      <c r="HL22" s="181"/>
      <c r="HM22" s="181"/>
      <c r="HN22" s="181"/>
      <c r="HO22" s="181"/>
      <c r="HP22" s="181"/>
      <c r="HQ22" s="181"/>
      <c r="HR22" s="181"/>
      <c r="HS22" s="181"/>
      <c r="HT22" s="181"/>
      <c r="HU22" s="181"/>
      <c r="HV22" s="181"/>
      <c r="HW22" s="181"/>
      <c r="HX22" s="181"/>
      <c r="HY22" s="181"/>
      <c r="HZ22" s="181"/>
      <c r="IA22" s="181"/>
      <c r="IB22" s="181"/>
      <c r="IC22" s="181"/>
      <c r="ID22" s="181"/>
      <c r="IE22" s="181"/>
      <c r="IF22" s="181"/>
      <c r="IG22" s="181"/>
      <c r="IH22" s="181"/>
      <c r="II22" s="181"/>
      <c r="IJ22" s="181"/>
      <c r="IK22" s="181"/>
      <c r="IL22" s="181"/>
      <c r="IM22" s="181"/>
      <c r="IN22" s="181"/>
    </row>
    <row r="23" spans="1:248" s="175" customFormat="1" x14ac:dyDescent="0.2">
      <c r="A23" s="210">
        <v>9</v>
      </c>
      <c r="B23" s="182">
        <v>10533675</v>
      </c>
      <c r="C23" s="182" t="s">
        <v>88</v>
      </c>
      <c r="D23" s="183" t="s">
        <v>87</v>
      </c>
      <c r="E23" s="204" t="s">
        <v>241</v>
      </c>
      <c r="F23" s="183"/>
      <c r="G23" s="184">
        <v>23975</v>
      </c>
      <c r="H23" s="185">
        <v>41655</v>
      </c>
      <c r="I23" s="199"/>
      <c r="J23" s="197" t="s">
        <v>23</v>
      </c>
      <c r="K23" s="199"/>
      <c r="L23" s="207"/>
      <c r="M23" s="212" t="s">
        <v>247</v>
      </c>
      <c r="N23" s="237"/>
      <c r="O23" s="163">
        <f t="shared" si="13"/>
        <v>30</v>
      </c>
      <c r="P23" s="164">
        <f t="shared" si="14"/>
        <v>240</v>
      </c>
      <c r="Q23" s="165"/>
      <c r="R23" s="165"/>
      <c r="S23" s="165"/>
      <c r="T23" s="165"/>
      <c r="U23" s="190">
        <v>1815</v>
      </c>
      <c r="V23" s="167"/>
      <c r="W23" s="167">
        <v>85</v>
      </c>
      <c r="X23" s="167"/>
      <c r="Y23" s="170"/>
      <c r="Z23" s="170"/>
      <c r="AA23" s="170"/>
      <c r="AB23" s="170">
        <f t="shared" si="30"/>
        <v>0</v>
      </c>
      <c r="AC23" s="192"/>
      <c r="AD23" s="192"/>
      <c r="AE23" s="193"/>
      <c r="AF23" s="173">
        <f t="shared" si="15"/>
        <v>1815</v>
      </c>
      <c r="AG23" s="174">
        <f t="shared" si="16"/>
        <v>85</v>
      </c>
      <c r="AH23" s="178"/>
      <c r="AI23" s="178"/>
      <c r="AJ23" s="178">
        <f t="shared" si="29"/>
        <v>300</v>
      </c>
      <c r="AK23" s="178"/>
      <c r="AL23" s="178">
        <f t="shared" si="10"/>
        <v>0</v>
      </c>
      <c r="AM23" s="178">
        <f t="shared" si="11"/>
        <v>0</v>
      </c>
      <c r="AN23" s="178">
        <f t="shared" si="12"/>
        <v>0</v>
      </c>
      <c r="AO23" s="194"/>
      <c r="AP23" s="178"/>
      <c r="AQ23" s="178"/>
      <c r="AR23" s="208"/>
      <c r="AS23" s="208"/>
      <c r="AT23" s="178"/>
      <c r="AU23" s="179"/>
      <c r="AV23" s="179"/>
      <c r="AW23" s="208"/>
      <c r="AX23" s="178">
        <f t="shared" si="17"/>
        <v>1900</v>
      </c>
      <c r="AY23" s="174">
        <f t="shared" si="18"/>
        <v>247</v>
      </c>
      <c r="AZ23" s="174">
        <f t="shared" si="19"/>
        <v>0</v>
      </c>
      <c r="BA23" s="174">
        <f t="shared" si="20"/>
        <v>0</v>
      </c>
      <c r="BB23" s="174">
        <f t="shared" si="21"/>
        <v>0</v>
      </c>
      <c r="BC23" s="208"/>
      <c r="BD23" s="178"/>
      <c r="BE23" s="208"/>
      <c r="BF23" s="179"/>
      <c r="BG23" s="179">
        <f>VLOOKUP(B23,'CALCULO 5TA'!$A$5:$AG$26,33,0)</f>
        <v>9.9466666666666672</v>
      </c>
      <c r="BH23" s="180"/>
      <c r="BI23" s="178">
        <f t="shared" si="22"/>
        <v>2200</v>
      </c>
      <c r="BJ23" s="174">
        <f t="shared" si="23"/>
        <v>256.94666666666666</v>
      </c>
      <c r="BK23" s="174">
        <f t="shared" si="24"/>
        <v>1943.0533333333333</v>
      </c>
      <c r="BL23" s="174">
        <f t="shared" si="25"/>
        <v>171</v>
      </c>
      <c r="BM23" s="174">
        <f t="shared" si="26"/>
        <v>95</v>
      </c>
      <c r="BN23" s="174">
        <f t="shared" si="27"/>
        <v>14.25</v>
      </c>
      <c r="BO23" s="266">
        <f t="shared" ca="1" si="28"/>
        <v>4.2438356164383562</v>
      </c>
      <c r="BP23" s="180"/>
      <c r="BQ23" s="186">
        <v>43480</v>
      </c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181"/>
      <c r="CX23" s="181"/>
      <c r="CY23" s="181"/>
      <c r="CZ23" s="181"/>
      <c r="DA23" s="181"/>
      <c r="DB23" s="181"/>
      <c r="DC23" s="181"/>
      <c r="DD23" s="181"/>
      <c r="DE23" s="181"/>
      <c r="DF23" s="181"/>
      <c r="DG23" s="181"/>
      <c r="DH23" s="181"/>
      <c r="DI23" s="181"/>
      <c r="DJ23" s="181"/>
      <c r="DK23" s="181"/>
      <c r="DL23" s="181"/>
      <c r="DM23" s="181"/>
      <c r="DN23" s="181"/>
      <c r="DO23" s="181"/>
      <c r="DP23" s="181"/>
      <c r="DQ23" s="181"/>
      <c r="DR23" s="181"/>
      <c r="DS23" s="181"/>
      <c r="DT23" s="181"/>
      <c r="DU23" s="181"/>
      <c r="DV23" s="181"/>
      <c r="DW23" s="181"/>
      <c r="DX23" s="181"/>
      <c r="DY23" s="181"/>
      <c r="DZ23" s="181"/>
      <c r="EA23" s="181"/>
      <c r="EB23" s="181"/>
      <c r="EC23" s="181"/>
      <c r="ED23" s="181"/>
      <c r="EE23" s="181"/>
      <c r="EF23" s="181"/>
      <c r="EG23" s="181"/>
      <c r="EH23" s="181"/>
      <c r="EI23" s="181"/>
      <c r="EJ23" s="181"/>
      <c r="EK23" s="181"/>
      <c r="EL23" s="181"/>
      <c r="EM23" s="181"/>
      <c r="EN23" s="181"/>
      <c r="EO23" s="181"/>
      <c r="EP23" s="181"/>
      <c r="EQ23" s="181"/>
      <c r="ER23" s="181"/>
      <c r="ES23" s="181"/>
      <c r="ET23" s="181"/>
      <c r="EU23" s="181"/>
      <c r="EV23" s="181"/>
      <c r="EW23" s="181"/>
      <c r="EX23" s="181"/>
      <c r="EY23" s="181"/>
      <c r="EZ23" s="181"/>
      <c r="FA23" s="181"/>
      <c r="FB23" s="181"/>
      <c r="FC23" s="181"/>
      <c r="FD23" s="181"/>
      <c r="FE23" s="181"/>
      <c r="FF23" s="181"/>
      <c r="FG23" s="181"/>
      <c r="FH23" s="181"/>
      <c r="FI23" s="181"/>
      <c r="FJ23" s="181"/>
      <c r="FK23" s="181"/>
      <c r="FL23" s="181"/>
      <c r="FM23" s="181"/>
      <c r="FN23" s="181"/>
      <c r="FO23" s="181"/>
      <c r="FP23" s="181"/>
      <c r="FQ23" s="181"/>
      <c r="FR23" s="181"/>
      <c r="FS23" s="181"/>
      <c r="FT23" s="181"/>
      <c r="FU23" s="181"/>
      <c r="FV23" s="181"/>
      <c r="FW23" s="181"/>
      <c r="FX23" s="181"/>
      <c r="FY23" s="181"/>
      <c r="FZ23" s="181"/>
      <c r="GA23" s="181"/>
      <c r="GB23" s="181"/>
      <c r="GC23" s="181"/>
      <c r="GD23" s="181"/>
      <c r="GE23" s="181"/>
      <c r="GF23" s="181"/>
      <c r="GG23" s="181"/>
      <c r="GH23" s="181"/>
      <c r="GI23" s="181"/>
      <c r="GJ23" s="181"/>
      <c r="GK23" s="181"/>
      <c r="GL23" s="181"/>
      <c r="GM23" s="181"/>
      <c r="GN23" s="181"/>
      <c r="GO23" s="181"/>
      <c r="GP23" s="181"/>
      <c r="GQ23" s="181"/>
      <c r="GR23" s="181"/>
      <c r="GS23" s="181"/>
      <c r="GT23" s="181"/>
      <c r="GU23" s="181"/>
      <c r="GV23" s="181"/>
      <c r="GW23" s="181"/>
      <c r="GX23" s="181"/>
      <c r="GY23" s="181"/>
      <c r="GZ23" s="181"/>
      <c r="HA23" s="181"/>
      <c r="HB23" s="181"/>
      <c r="HC23" s="181"/>
      <c r="HD23" s="181"/>
      <c r="HE23" s="181"/>
      <c r="HF23" s="181"/>
      <c r="HG23" s="181"/>
      <c r="HH23" s="181"/>
      <c r="HI23" s="181"/>
      <c r="HJ23" s="181"/>
      <c r="HK23" s="181"/>
      <c r="HL23" s="181"/>
      <c r="HM23" s="181"/>
      <c r="HN23" s="181"/>
      <c r="HO23" s="181"/>
      <c r="HP23" s="181"/>
      <c r="HQ23" s="181"/>
      <c r="HR23" s="181"/>
      <c r="HS23" s="181"/>
      <c r="HT23" s="181"/>
      <c r="HU23" s="181"/>
      <c r="HV23" s="181"/>
      <c r="HW23" s="181"/>
      <c r="HX23" s="181"/>
      <c r="HY23" s="181"/>
      <c r="HZ23" s="181"/>
      <c r="IA23" s="181"/>
      <c r="IB23" s="181"/>
      <c r="IC23" s="181"/>
      <c r="ID23" s="181"/>
      <c r="IE23" s="181"/>
      <c r="IF23" s="181"/>
      <c r="IG23" s="181"/>
      <c r="IH23" s="181"/>
      <c r="II23" s="181"/>
      <c r="IJ23" s="181"/>
      <c r="IK23" s="181"/>
      <c r="IL23" s="181"/>
      <c r="IM23" s="181"/>
      <c r="IN23" s="181"/>
    </row>
    <row r="24" spans="1:248" s="175" customFormat="1" x14ac:dyDescent="0.2">
      <c r="A24" s="210">
        <v>10</v>
      </c>
      <c r="B24" s="203">
        <v>48140763</v>
      </c>
      <c r="C24" s="182" t="s">
        <v>86</v>
      </c>
      <c r="D24" s="183" t="s">
        <v>68</v>
      </c>
      <c r="E24" s="200" t="s">
        <v>241</v>
      </c>
      <c r="F24" s="183" t="s">
        <v>67</v>
      </c>
      <c r="G24" s="184">
        <v>34375</v>
      </c>
      <c r="H24" s="185">
        <v>42644</v>
      </c>
      <c r="I24" s="199"/>
      <c r="J24" s="197" t="s">
        <v>78</v>
      </c>
      <c r="K24" s="188"/>
      <c r="L24" s="207" t="s">
        <v>85</v>
      </c>
      <c r="M24" s="212" t="s">
        <v>247</v>
      </c>
      <c r="N24" s="213"/>
      <c r="O24" s="163">
        <f t="shared" si="13"/>
        <v>30</v>
      </c>
      <c r="P24" s="164">
        <f t="shared" si="14"/>
        <v>240</v>
      </c>
      <c r="Q24" s="165"/>
      <c r="R24" s="165"/>
      <c r="S24" s="165"/>
      <c r="T24" s="165"/>
      <c r="U24" s="190">
        <v>1000</v>
      </c>
      <c r="V24" s="167"/>
      <c r="W24" s="191"/>
      <c r="X24" s="191"/>
      <c r="Y24" s="170"/>
      <c r="Z24" s="170"/>
      <c r="AA24" s="170"/>
      <c r="AB24" s="170">
        <f t="shared" si="30"/>
        <v>0</v>
      </c>
      <c r="AC24" s="192"/>
      <c r="AD24" s="192"/>
      <c r="AE24" s="193"/>
      <c r="AF24" s="173">
        <f t="shared" si="15"/>
        <v>1000.0000000000001</v>
      </c>
      <c r="AG24" s="174">
        <f t="shared" si="16"/>
        <v>0</v>
      </c>
      <c r="AH24" s="178"/>
      <c r="AI24" s="178"/>
      <c r="AJ24" s="178">
        <f>6.66666666666667*O24</f>
        <v>200.00000000000009</v>
      </c>
      <c r="AK24" s="178"/>
      <c r="AL24" s="178">
        <f t="shared" si="10"/>
        <v>0</v>
      </c>
      <c r="AM24" s="178">
        <f t="shared" si="11"/>
        <v>0</v>
      </c>
      <c r="AN24" s="178">
        <f t="shared" si="12"/>
        <v>0</v>
      </c>
      <c r="AO24" s="194"/>
      <c r="AP24" s="178"/>
      <c r="AQ24" s="178"/>
      <c r="AR24" s="208"/>
      <c r="AS24" s="208"/>
      <c r="AT24" s="178"/>
      <c r="AU24" s="179"/>
      <c r="AV24" s="208"/>
      <c r="AW24" s="208"/>
      <c r="AX24" s="178">
        <f t="shared" si="17"/>
        <v>1000.0000000000001</v>
      </c>
      <c r="AY24" s="174" t="str">
        <f t="shared" si="18"/>
        <v/>
      </c>
      <c r="AZ24" s="174">
        <f t="shared" si="19"/>
        <v>1.8</v>
      </c>
      <c r="BA24" s="174">
        <f t="shared" si="20"/>
        <v>13.600000000000001</v>
      </c>
      <c r="BB24" s="174">
        <f t="shared" si="21"/>
        <v>100.00000000000001</v>
      </c>
      <c r="BC24" s="208"/>
      <c r="BD24" s="178"/>
      <c r="BE24" s="208"/>
      <c r="BF24" s="179"/>
      <c r="BG24" s="179">
        <f>VLOOKUP(B24,'CALCULO 5TA'!$A$5:$AG$26,33,0)</f>
        <v>0</v>
      </c>
      <c r="BH24" s="209"/>
      <c r="BI24" s="178">
        <f t="shared" si="22"/>
        <v>1200.0000000000002</v>
      </c>
      <c r="BJ24" s="174">
        <f t="shared" si="23"/>
        <v>115.40000000000002</v>
      </c>
      <c r="BK24" s="174">
        <f t="shared" si="24"/>
        <v>1084.6000000000001</v>
      </c>
      <c r="BL24" s="174">
        <f t="shared" si="25"/>
        <v>90</v>
      </c>
      <c r="BM24" s="174">
        <f t="shared" si="26"/>
        <v>50.000000000000007</v>
      </c>
      <c r="BN24" s="174">
        <f t="shared" si="27"/>
        <v>7.5000000000000009</v>
      </c>
      <c r="BO24" s="266">
        <f t="shared" ca="1" si="28"/>
        <v>1.5342465753424657</v>
      </c>
      <c r="BP24" s="209"/>
      <c r="BQ24" s="186">
        <v>43190</v>
      </c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181"/>
      <c r="CX24" s="181"/>
      <c r="CY24" s="181"/>
      <c r="CZ24" s="181"/>
      <c r="DA24" s="181"/>
      <c r="DB24" s="181"/>
      <c r="DC24" s="181"/>
      <c r="DD24" s="181"/>
      <c r="DE24" s="181"/>
      <c r="DF24" s="181"/>
      <c r="DG24" s="181"/>
      <c r="DH24" s="181"/>
      <c r="DI24" s="181"/>
      <c r="DJ24" s="181"/>
      <c r="DK24" s="181"/>
      <c r="DL24" s="181"/>
      <c r="DM24" s="181"/>
      <c r="DN24" s="181"/>
      <c r="DO24" s="181"/>
      <c r="DP24" s="181"/>
      <c r="DQ24" s="181"/>
      <c r="DR24" s="181"/>
      <c r="DS24" s="181"/>
      <c r="DT24" s="181"/>
      <c r="DU24" s="181"/>
      <c r="DV24" s="181"/>
      <c r="DW24" s="181"/>
      <c r="DX24" s="181"/>
      <c r="DY24" s="181"/>
      <c r="DZ24" s="181"/>
      <c r="EA24" s="181"/>
      <c r="EB24" s="181"/>
      <c r="EC24" s="181"/>
      <c r="ED24" s="181"/>
      <c r="EE24" s="181"/>
      <c r="EF24" s="181"/>
      <c r="EG24" s="181"/>
      <c r="EH24" s="181"/>
      <c r="EI24" s="181"/>
      <c r="EJ24" s="181"/>
      <c r="EK24" s="181"/>
      <c r="EL24" s="181"/>
      <c r="EM24" s="181"/>
      <c r="EN24" s="181"/>
      <c r="EO24" s="181"/>
      <c r="EP24" s="181"/>
      <c r="EQ24" s="181"/>
      <c r="ER24" s="181"/>
      <c r="ES24" s="181"/>
      <c r="ET24" s="181"/>
      <c r="EU24" s="181"/>
      <c r="EV24" s="181"/>
      <c r="EW24" s="181"/>
      <c r="EX24" s="181"/>
      <c r="EY24" s="181"/>
      <c r="EZ24" s="181"/>
      <c r="FA24" s="181"/>
      <c r="FB24" s="181"/>
      <c r="FC24" s="181"/>
      <c r="FD24" s="181"/>
      <c r="FE24" s="181"/>
      <c r="FF24" s="181"/>
      <c r="FG24" s="181"/>
      <c r="FH24" s="181"/>
      <c r="FI24" s="181"/>
      <c r="FJ24" s="181"/>
      <c r="FK24" s="181"/>
      <c r="FL24" s="181"/>
      <c r="FM24" s="181"/>
      <c r="FN24" s="181"/>
      <c r="FO24" s="181"/>
      <c r="FP24" s="181"/>
      <c r="FQ24" s="181"/>
      <c r="FR24" s="181"/>
      <c r="FS24" s="181"/>
      <c r="FT24" s="181"/>
      <c r="FU24" s="181"/>
      <c r="FV24" s="181"/>
      <c r="FW24" s="181"/>
      <c r="FX24" s="181"/>
      <c r="FY24" s="181"/>
      <c r="FZ24" s="181"/>
      <c r="GA24" s="181"/>
      <c r="GB24" s="181"/>
      <c r="GC24" s="181"/>
      <c r="GD24" s="181"/>
      <c r="GE24" s="181"/>
      <c r="GF24" s="181"/>
      <c r="GG24" s="181"/>
      <c r="GH24" s="181"/>
      <c r="GI24" s="181"/>
      <c r="GJ24" s="181"/>
      <c r="GK24" s="181"/>
      <c r="GL24" s="181"/>
      <c r="GM24" s="181"/>
      <c r="GN24" s="181"/>
      <c r="GO24" s="181"/>
      <c r="GP24" s="181"/>
      <c r="GQ24" s="181"/>
      <c r="GR24" s="181"/>
      <c r="GS24" s="181"/>
      <c r="GT24" s="181"/>
      <c r="GU24" s="181"/>
      <c r="GV24" s="181"/>
      <c r="GW24" s="181"/>
      <c r="GX24" s="181"/>
      <c r="GY24" s="181"/>
      <c r="GZ24" s="181"/>
      <c r="HA24" s="181"/>
      <c r="HB24" s="181"/>
      <c r="HC24" s="181"/>
      <c r="HD24" s="181"/>
      <c r="HE24" s="181"/>
      <c r="HF24" s="181"/>
      <c r="HG24" s="181"/>
      <c r="HH24" s="181"/>
      <c r="HI24" s="181"/>
      <c r="HJ24" s="181"/>
      <c r="HK24" s="181"/>
      <c r="HL24" s="181"/>
      <c r="HM24" s="181"/>
      <c r="HN24" s="181"/>
      <c r="HO24" s="181"/>
      <c r="HP24" s="181"/>
      <c r="HQ24" s="181"/>
      <c r="HR24" s="181"/>
      <c r="HS24" s="181"/>
      <c r="HT24" s="181"/>
      <c r="HU24" s="181"/>
      <c r="HV24" s="181"/>
      <c r="HW24" s="181"/>
      <c r="HX24" s="181"/>
      <c r="HY24" s="181"/>
      <c r="HZ24" s="181"/>
      <c r="IA24" s="181"/>
      <c r="IB24" s="181"/>
      <c r="IC24" s="181"/>
      <c r="ID24" s="181"/>
      <c r="IE24" s="181"/>
      <c r="IF24" s="181"/>
      <c r="IG24" s="181"/>
      <c r="IH24" s="181"/>
      <c r="II24" s="181"/>
      <c r="IJ24" s="181"/>
      <c r="IK24" s="181"/>
      <c r="IL24" s="181"/>
      <c r="IM24" s="181"/>
      <c r="IN24" s="181"/>
    </row>
    <row r="25" spans="1:248" s="175" customFormat="1" x14ac:dyDescent="0.2">
      <c r="A25" s="210">
        <v>11</v>
      </c>
      <c r="B25" s="203">
        <v>44443243</v>
      </c>
      <c r="C25" s="182" t="s">
        <v>84</v>
      </c>
      <c r="D25" s="196" t="s">
        <v>83</v>
      </c>
      <c r="E25" s="200" t="s">
        <v>241</v>
      </c>
      <c r="F25" s="183"/>
      <c r="G25" s="184">
        <v>31641</v>
      </c>
      <c r="H25" s="185">
        <v>42644</v>
      </c>
      <c r="I25" s="199"/>
      <c r="J25" s="197" t="s">
        <v>23</v>
      </c>
      <c r="K25" s="188"/>
      <c r="L25" s="207"/>
      <c r="M25" s="212" t="s">
        <v>247</v>
      </c>
      <c r="N25" s="213"/>
      <c r="O25" s="163">
        <f t="shared" si="13"/>
        <v>30</v>
      </c>
      <c r="P25" s="164">
        <f t="shared" si="14"/>
        <v>240</v>
      </c>
      <c r="Q25" s="165"/>
      <c r="R25" s="165"/>
      <c r="S25" s="165"/>
      <c r="T25" s="165"/>
      <c r="U25" s="190">
        <f>915+500</f>
        <v>1415</v>
      </c>
      <c r="V25" s="167"/>
      <c r="W25" s="167">
        <v>85</v>
      </c>
      <c r="X25" s="167"/>
      <c r="Y25" s="170"/>
      <c r="Z25" s="170"/>
      <c r="AA25" s="170"/>
      <c r="AB25" s="170">
        <f t="shared" si="30"/>
        <v>0</v>
      </c>
      <c r="AC25" s="192"/>
      <c r="AD25" s="192"/>
      <c r="AE25" s="193"/>
      <c r="AF25" s="173">
        <f t="shared" si="15"/>
        <v>1415</v>
      </c>
      <c r="AG25" s="174">
        <f t="shared" si="16"/>
        <v>85</v>
      </c>
      <c r="AH25" s="178"/>
      <c r="AI25" s="178"/>
      <c r="AJ25" s="178">
        <f>10*O25</f>
        <v>300</v>
      </c>
      <c r="AK25" s="178"/>
      <c r="AL25" s="178">
        <f t="shared" si="10"/>
        <v>0</v>
      </c>
      <c r="AM25" s="178">
        <f t="shared" si="11"/>
        <v>0</v>
      </c>
      <c r="AN25" s="178">
        <f t="shared" si="12"/>
        <v>0</v>
      </c>
      <c r="AO25" s="194"/>
      <c r="AP25" s="178"/>
      <c r="AQ25" s="178"/>
      <c r="AR25" s="208"/>
      <c r="AS25" s="208"/>
      <c r="AT25" s="178"/>
      <c r="AU25" s="179"/>
      <c r="AV25" s="208"/>
      <c r="AW25" s="208"/>
      <c r="AX25" s="178">
        <f t="shared" si="17"/>
        <v>1500</v>
      </c>
      <c r="AY25" s="174">
        <f t="shared" si="18"/>
        <v>195</v>
      </c>
      <c r="AZ25" s="174">
        <f t="shared" si="19"/>
        <v>0</v>
      </c>
      <c r="BA25" s="174">
        <f t="shared" si="20"/>
        <v>0</v>
      </c>
      <c r="BB25" s="174">
        <f t="shared" si="21"/>
        <v>0</v>
      </c>
      <c r="BC25" s="208"/>
      <c r="BD25" s="178"/>
      <c r="BE25" s="208"/>
      <c r="BF25" s="179"/>
      <c r="BG25" s="179">
        <f>VLOOKUP(B25,'CALCULO 5TA'!$A$5:$AG$26,33,0)</f>
        <v>0</v>
      </c>
      <c r="BH25" s="209"/>
      <c r="BI25" s="178">
        <f t="shared" si="22"/>
        <v>1800</v>
      </c>
      <c r="BJ25" s="174">
        <f t="shared" si="23"/>
        <v>195</v>
      </c>
      <c r="BK25" s="174">
        <f t="shared" si="24"/>
        <v>1605</v>
      </c>
      <c r="BL25" s="174">
        <f t="shared" si="25"/>
        <v>135</v>
      </c>
      <c r="BM25" s="174">
        <f t="shared" si="26"/>
        <v>75</v>
      </c>
      <c r="BN25" s="174">
        <f t="shared" si="27"/>
        <v>11.25</v>
      </c>
      <c r="BO25" s="266">
        <f t="shared" ca="1" si="28"/>
        <v>1.5342465753424657</v>
      </c>
      <c r="BP25" s="209"/>
      <c r="BQ25" s="186">
        <v>43190</v>
      </c>
      <c r="BR25" s="181"/>
      <c r="BS25" s="181"/>
      <c r="BT25" s="181"/>
      <c r="BU25" s="181"/>
      <c r="BV25" s="181"/>
      <c r="BW25" s="181"/>
      <c r="BX25" s="181"/>
      <c r="BY25" s="181"/>
      <c r="BZ25" s="181"/>
      <c r="CA25" s="181"/>
      <c r="CB25" s="181"/>
      <c r="CC25" s="181"/>
      <c r="CD25" s="181"/>
      <c r="CE25" s="181"/>
      <c r="CF25" s="181"/>
      <c r="CG25" s="181"/>
      <c r="CH25" s="181"/>
      <c r="CI25" s="181"/>
      <c r="CJ25" s="181"/>
      <c r="CK25" s="181"/>
      <c r="CL25" s="181"/>
      <c r="CM25" s="181"/>
      <c r="CN25" s="181"/>
      <c r="CO25" s="181"/>
      <c r="CP25" s="181"/>
      <c r="CQ25" s="181"/>
      <c r="CR25" s="181"/>
      <c r="CS25" s="181"/>
      <c r="CT25" s="181"/>
      <c r="CU25" s="181"/>
      <c r="CV25" s="181"/>
      <c r="CW25" s="181"/>
      <c r="CX25" s="181"/>
      <c r="CY25" s="181"/>
      <c r="CZ25" s="181"/>
      <c r="DA25" s="181"/>
      <c r="DB25" s="181"/>
      <c r="DC25" s="181"/>
      <c r="DD25" s="181"/>
      <c r="DE25" s="181"/>
      <c r="DF25" s="181"/>
      <c r="DG25" s="181"/>
      <c r="DH25" s="181"/>
      <c r="DI25" s="181"/>
      <c r="DJ25" s="181"/>
      <c r="DK25" s="181"/>
      <c r="DL25" s="181"/>
      <c r="DM25" s="181"/>
      <c r="DN25" s="181"/>
      <c r="DO25" s="181"/>
      <c r="DP25" s="181"/>
      <c r="DQ25" s="181"/>
      <c r="DR25" s="181"/>
      <c r="DS25" s="181"/>
      <c r="DT25" s="181"/>
      <c r="DU25" s="181"/>
      <c r="DV25" s="181"/>
      <c r="DW25" s="181"/>
      <c r="DX25" s="181"/>
      <c r="DY25" s="181"/>
      <c r="DZ25" s="181"/>
      <c r="EA25" s="181"/>
      <c r="EB25" s="181"/>
      <c r="EC25" s="181"/>
      <c r="ED25" s="181"/>
      <c r="EE25" s="181"/>
      <c r="EF25" s="181"/>
      <c r="EG25" s="181"/>
      <c r="EH25" s="181"/>
      <c r="EI25" s="181"/>
      <c r="EJ25" s="181"/>
      <c r="EK25" s="181"/>
      <c r="EL25" s="181"/>
      <c r="EM25" s="181"/>
      <c r="EN25" s="181"/>
      <c r="EO25" s="181"/>
      <c r="EP25" s="181"/>
      <c r="EQ25" s="181"/>
      <c r="ER25" s="181"/>
      <c r="ES25" s="181"/>
      <c r="ET25" s="181"/>
      <c r="EU25" s="181"/>
      <c r="EV25" s="181"/>
      <c r="EW25" s="181"/>
      <c r="EX25" s="181"/>
      <c r="EY25" s="181"/>
      <c r="EZ25" s="181"/>
      <c r="FA25" s="181"/>
      <c r="FB25" s="181"/>
      <c r="FC25" s="181"/>
      <c r="FD25" s="181"/>
      <c r="FE25" s="181"/>
      <c r="FF25" s="181"/>
      <c r="FG25" s="181"/>
      <c r="FH25" s="181"/>
      <c r="FI25" s="181"/>
      <c r="FJ25" s="181"/>
      <c r="FK25" s="181"/>
      <c r="FL25" s="181"/>
      <c r="FM25" s="181"/>
      <c r="FN25" s="181"/>
      <c r="FO25" s="181"/>
      <c r="FP25" s="181"/>
      <c r="FQ25" s="181"/>
      <c r="FR25" s="181"/>
      <c r="FS25" s="181"/>
      <c r="FT25" s="181"/>
      <c r="FU25" s="181"/>
      <c r="FV25" s="181"/>
      <c r="FW25" s="181"/>
      <c r="FX25" s="181"/>
      <c r="FY25" s="181"/>
      <c r="FZ25" s="181"/>
      <c r="GA25" s="181"/>
      <c r="GB25" s="181"/>
      <c r="GC25" s="181"/>
      <c r="GD25" s="181"/>
      <c r="GE25" s="181"/>
      <c r="GF25" s="181"/>
      <c r="GG25" s="181"/>
      <c r="GH25" s="181"/>
      <c r="GI25" s="181"/>
      <c r="GJ25" s="181"/>
      <c r="GK25" s="181"/>
      <c r="GL25" s="181"/>
      <c r="GM25" s="181"/>
      <c r="GN25" s="181"/>
      <c r="GO25" s="181"/>
      <c r="GP25" s="181"/>
      <c r="GQ25" s="181"/>
      <c r="GR25" s="181"/>
      <c r="GS25" s="181"/>
      <c r="GT25" s="181"/>
      <c r="GU25" s="181"/>
      <c r="GV25" s="181"/>
      <c r="GW25" s="181"/>
      <c r="GX25" s="181"/>
      <c r="GY25" s="181"/>
      <c r="GZ25" s="181"/>
      <c r="HA25" s="181"/>
      <c r="HB25" s="181"/>
      <c r="HC25" s="181"/>
      <c r="HD25" s="181"/>
      <c r="HE25" s="181"/>
      <c r="HF25" s="181"/>
      <c r="HG25" s="181"/>
      <c r="HH25" s="181"/>
      <c r="HI25" s="181"/>
      <c r="HJ25" s="181"/>
      <c r="HK25" s="181"/>
      <c r="HL25" s="181"/>
      <c r="HM25" s="181"/>
      <c r="HN25" s="181"/>
      <c r="HO25" s="181"/>
      <c r="HP25" s="181"/>
      <c r="HQ25" s="181"/>
      <c r="HR25" s="181"/>
      <c r="HS25" s="181"/>
      <c r="HT25" s="181"/>
      <c r="HU25" s="181"/>
      <c r="HV25" s="181"/>
      <c r="HW25" s="181"/>
      <c r="HX25" s="181"/>
      <c r="HY25" s="181"/>
      <c r="HZ25" s="181"/>
      <c r="IA25" s="181"/>
      <c r="IB25" s="181"/>
      <c r="IC25" s="181"/>
      <c r="ID25" s="181"/>
      <c r="IE25" s="181"/>
      <c r="IF25" s="181"/>
      <c r="IG25" s="181"/>
      <c r="IH25" s="181"/>
      <c r="II25" s="181"/>
      <c r="IJ25" s="181"/>
      <c r="IK25" s="181"/>
      <c r="IL25" s="181"/>
      <c r="IM25" s="181"/>
      <c r="IN25" s="181"/>
    </row>
    <row r="26" spans="1:248" s="175" customFormat="1" x14ac:dyDescent="0.2">
      <c r="A26" s="210">
        <v>12</v>
      </c>
      <c r="B26" s="182">
        <v>41991289</v>
      </c>
      <c r="C26" s="182" t="s">
        <v>82</v>
      </c>
      <c r="D26" s="196" t="s">
        <v>81</v>
      </c>
      <c r="E26" s="204" t="s">
        <v>241</v>
      </c>
      <c r="F26" s="183"/>
      <c r="G26" s="184">
        <v>30099</v>
      </c>
      <c r="H26" s="185">
        <v>39818</v>
      </c>
      <c r="I26" s="199"/>
      <c r="J26" s="197" t="s">
        <v>23</v>
      </c>
      <c r="K26" s="188"/>
      <c r="L26" s="207"/>
      <c r="M26" s="212" t="s">
        <v>247</v>
      </c>
      <c r="N26" s="213"/>
      <c r="O26" s="163">
        <f t="shared" si="13"/>
        <v>30</v>
      </c>
      <c r="P26" s="164">
        <f t="shared" si="14"/>
        <v>240</v>
      </c>
      <c r="Q26" s="165"/>
      <c r="R26" s="165"/>
      <c r="S26" s="165"/>
      <c r="T26" s="165"/>
      <c r="U26" s="190">
        <v>2310</v>
      </c>
      <c r="V26" s="167"/>
      <c r="W26" s="167">
        <v>85</v>
      </c>
      <c r="X26" s="167"/>
      <c r="Y26" s="170"/>
      <c r="Z26" s="170"/>
      <c r="AA26" s="170"/>
      <c r="AB26" s="170">
        <f t="shared" si="30"/>
        <v>0</v>
      </c>
      <c r="AC26" s="192"/>
      <c r="AD26" s="192"/>
      <c r="AE26" s="193"/>
      <c r="AF26" s="173">
        <f t="shared" si="15"/>
        <v>2310</v>
      </c>
      <c r="AG26" s="174">
        <f t="shared" si="16"/>
        <v>85</v>
      </c>
      <c r="AH26" s="178"/>
      <c r="AI26" s="178"/>
      <c r="AJ26" s="178">
        <f>13.5*O26</f>
        <v>405</v>
      </c>
      <c r="AK26" s="178"/>
      <c r="AL26" s="178">
        <f t="shared" si="10"/>
        <v>0</v>
      </c>
      <c r="AM26" s="178">
        <f t="shared" si="11"/>
        <v>0</v>
      </c>
      <c r="AN26" s="178">
        <f t="shared" si="12"/>
        <v>0</v>
      </c>
      <c r="AO26" s="194"/>
      <c r="AP26" s="178"/>
      <c r="AQ26" s="178"/>
      <c r="AR26" s="208"/>
      <c r="AS26" s="208"/>
      <c r="AT26" s="178"/>
      <c r="AU26" s="208"/>
      <c r="AV26" s="208"/>
      <c r="AW26" s="208"/>
      <c r="AX26" s="178">
        <f t="shared" si="17"/>
        <v>2395</v>
      </c>
      <c r="AY26" s="174">
        <f t="shared" si="18"/>
        <v>311.35000000000002</v>
      </c>
      <c r="AZ26" s="174">
        <f t="shared" si="19"/>
        <v>0</v>
      </c>
      <c r="BA26" s="174">
        <f t="shared" si="20"/>
        <v>0</v>
      </c>
      <c r="BB26" s="174">
        <f t="shared" si="21"/>
        <v>0</v>
      </c>
      <c r="BC26" s="208"/>
      <c r="BD26" s="178"/>
      <c r="BE26" s="208"/>
      <c r="BF26" s="179"/>
      <c r="BG26" s="179">
        <f>VLOOKUP(B26,'CALCULO 5TA'!$A$5:$AG$26,33,0)</f>
        <v>65.140666666666704</v>
      </c>
      <c r="BH26" s="209"/>
      <c r="BI26" s="178">
        <f t="shared" si="22"/>
        <v>2800</v>
      </c>
      <c r="BJ26" s="174">
        <f t="shared" si="23"/>
        <v>376.4906666666667</v>
      </c>
      <c r="BK26" s="174">
        <f t="shared" si="24"/>
        <v>2423.5093333333334</v>
      </c>
      <c r="BL26" s="174">
        <f t="shared" si="25"/>
        <v>215.54999999999998</v>
      </c>
      <c r="BM26" s="174">
        <f t="shared" si="26"/>
        <v>119.75</v>
      </c>
      <c r="BN26" s="174">
        <f t="shared" si="27"/>
        <v>17.962499999999999</v>
      </c>
      <c r="BO26" s="266">
        <f t="shared" ca="1" si="28"/>
        <v>9.2767123287671236</v>
      </c>
      <c r="BP26" s="209"/>
      <c r="BQ26" s="186"/>
      <c r="BR26" s="181"/>
      <c r="BS26" s="181"/>
      <c r="BT26" s="181"/>
      <c r="BU26" s="181"/>
      <c r="BV26" s="181"/>
      <c r="BW26" s="181"/>
      <c r="BX26" s="181"/>
      <c r="BY26" s="181"/>
      <c r="BZ26" s="181"/>
      <c r="CA26" s="181"/>
      <c r="CB26" s="181"/>
      <c r="CC26" s="181"/>
      <c r="CD26" s="181"/>
      <c r="CE26" s="181"/>
      <c r="CF26" s="181"/>
      <c r="CG26" s="181"/>
      <c r="CH26" s="181"/>
      <c r="CI26" s="181"/>
      <c r="CJ26" s="181"/>
      <c r="CK26" s="181"/>
      <c r="CL26" s="181"/>
      <c r="CM26" s="181"/>
      <c r="CN26" s="181"/>
      <c r="CO26" s="181"/>
      <c r="CP26" s="181"/>
      <c r="CQ26" s="181"/>
      <c r="CR26" s="181"/>
      <c r="CS26" s="181"/>
      <c r="CT26" s="181"/>
      <c r="CU26" s="181"/>
      <c r="CV26" s="181"/>
      <c r="CW26" s="181"/>
      <c r="CX26" s="181"/>
      <c r="CY26" s="181"/>
      <c r="CZ26" s="181"/>
      <c r="DA26" s="181"/>
      <c r="DB26" s="181"/>
      <c r="DC26" s="181"/>
      <c r="DD26" s="181"/>
      <c r="DE26" s="181"/>
      <c r="DF26" s="181"/>
      <c r="DG26" s="181"/>
      <c r="DH26" s="181"/>
      <c r="DI26" s="181"/>
      <c r="DJ26" s="181"/>
      <c r="DK26" s="181"/>
      <c r="DL26" s="181"/>
      <c r="DM26" s="181"/>
      <c r="DN26" s="181"/>
      <c r="DO26" s="181"/>
      <c r="DP26" s="181"/>
      <c r="DQ26" s="181"/>
      <c r="DR26" s="181"/>
      <c r="DS26" s="181"/>
      <c r="DT26" s="181"/>
      <c r="DU26" s="181"/>
      <c r="DV26" s="181"/>
      <c r="DW26" s="181"/>
      <c r="DX26" s="181"/>
      <c r="DY26" s="181"/>
      <c r="DZ26" s="181"/>
      <c r="EA26" s="181"/>
      <c r="EB26" s="181"/>
      <c r="EC26" s="181"/>
      <c r="ED26" s="181"/>
      <c r="EE26" s="181"/>
      <c r="EF26" s="181"/>
      <c r="EG26" s="181"/>
      <c r="EH26" s="181"/>
      <c r="EI26" s="181"/>
      <c r="EJ26" s="181"/>
      <c r="EK26" s="181"/>
      <c r="EL26" s="181"/>
      <c r="EM26" s="181"/>
      <c r="EN26" s="181"/>
      <c r="EO26" s="181"/>
      <c r="EP26" s="181"/>
      <c r="EQ26" s="181"/>
      <c r="ER26" s="181"/>
      <c r="ES26" s="181"/>
      <c r="ET26" s="181"/>
      <c r="EU26" s="181"/>
      <c r="EV26" s="181"/>
      <c r="EW26" s="181"/>
      <c r="EX26" s="181"/>
      <c r="EY26" s="181"/>
      <c r="EZ26" s="181"/>
      <c r="FA26" s="181"/>
      <c r="FB26" s="181"/>
      <c r="FC26" s="181"/>
      <c r="FD26" s="181"/>
      <c r="FE26" s="181"/>
      <c r="FF26" s="181"/>
      <c r="FG26" s="181"/>
      <c r="FH26" s="181"/>
      <c r="FI26" s="181"/>
      <c r="FJ26" s="181"/>
      <c r="FK26" s="181"/>
      <c r="FL26" s="181"/>
      <c r="FM26" s="181"/>
      <c r="FN26" s="181"/>
      <c r="FO26" s="181"/>
      <c r="FP26" s="181"/>
      <c r="FQ26" s="181"/>
      <c r="FR26" s="181"/>
      <c r="FS26" s="181"/>
      <c r="FT26" s="181"/>
      <c r="FU26" s="181"/>
      <c r="FV26" s="181"/>
      <c r="FW26" s="181"/>
      <c r="FX26" s="181"/>
      <c r="FY26" s="181"/>
      <c r="FZ26" s="181"/>
      <c r="GA26" s="181"/>
      <c r="GB26" s="181"/>
      <c r="GC26" s="181"/>
      <c r="GD26" s="181"/>
      <c r="GE26" s="181"/>
      <c r="GF26" s="181"/>
      <c r="GG26" s="181"/>
      <c r="GH26" s="181"/>
      <c r="GI26" s="181"/>
      <c r="GJ26" s="181"/>
      <c r="GK26" s="181"/>
      <c r="GL26" s="181"/>
      <c r="GM26" s="181"/>
      <c r="GN26" s="181"/>
      <c r="GO26" s="181"/>
      <c r="GP26" s="181"/>
      <c r="GQ26" s="181"/>
      <c r="GR26" s="181"/>
      <c r="GS26" s="181"/>
      <c r="GT26" s="181"/>
      <c r="GU26" s="181"/>
      <c r="GV26" s="181"/>
      <c r="GW26" s="181"/>
      <c r="GX26" s="181"/>
      <c r="GY26" s="181"/>
      <c r="GZ26" s="181"/>
      <c r="HA26" s="181"/>
      <c r="HB26" s="181"/>
      <c r="HC26" s="181"/>
      <c r="HD26" s="181"/>
      <c r="HE26" s="181"/>
      <c r="HF26" s="181"/>
      <c r="HG26" s="181"/>
      <c r="HH26" s="181"/>
      <c r="HI26" s="181"/>
      <c r="HJ26" s="181"/>
      <c r="HK26" s="181"/>
      <c r="HL26" s="181"/>
      <c r="HM26" s="181"/>
      <c r="HN26" s="181"/>
      <c r="HO26" s="181"/>
      <c r="HP26" s="181"/>
      <c r="HQ26" s="181"/>
      <c r="HR26" s="181"/>
      <c r="HS26" s="181"/>
      <c r="HT26" s="181"/>
      <c r="HU26" s="181"/>
      <c r="HV26" s="181"/>
      <c r="HW26" s="181"/>
      <c r="HX26" s="181"/>
      <c r="HY26" s="181"/>
      <c r="HZ26" s="181"/>
      <c r="IA26" s="181"/>
      <c r="IB26" s="181"/>
      <c r="IC26" s="181"/>
      <c r="ID26" s="181"/>
      <c r="IE26" s="181"/>
      <c r="IF26" s="181"/>
      <c r="IG26" s="181"/>
      <c r="IH26" s="181"/>
      <c r="II26" s="181"/>
      <c r="IJ26" s="181"/>
      <c r="IK26" s="181"/>
      <c r="IL26" s="181"/>
      <c r="IM26" s="181"/>
      <c r="IN26" s="181"/>
    </row>
    <row r="27" spans="1:248" s="175" customFormat="1" x14ac:dyDescent="0.2">
      <c r="A27" s="210">
        <v>13</v>
      </c>
      <c r="B27" s="182">
        <v>10619175</v>
      </c>
      <c r="C27" s="182" t="s">
        <v>80</v>
      </c>
      <c r="D27" s="196" t="s">
        <v>79</v>
      </c>
      <c r="E27" s="204" t="s">
        <v>272</v>
      </c>
      <c r="F27" s="183" t="s">
        <v>67</v>
      </c>
      <c r="G27" s="184">
        <v>28204</v>
      </c>
      <c r="H27" s="185">
        <v>39083</v>
      </c>
      <c r="I27" s="211"/>
      <c r="J27" s="197" t="s">
        <v>78</v>
      </c>
      <c r="K27" s="188"/>
      <c r="L27" s="207" t="s">
        <v>77</v>
      </c>
      <c r="M27" s="212" t="s">
        <v>247</v>
      </c>
      <c r="N27" s="213"/>
      <c r="O27" s="163">
        <f t="shared" si="13"/>
        <v>30</v>
      </c>
      <c r="P27" s="164">
        <f t="shared" si="14"/>
        <v>240</v>
      </c>
      <c r="Q27" s="165"/>
      <c r="R27" s="165"/>
      <c r="S27" s="165"/>
      <c r="T27" s="165"/>
      <c r="U27" s="190">
        <v>1615</v>
      </c>
      <c r="V27" s="167"/>
      <c r="W27" s="167">
        <v>85</v>
      </c>
      <c r="X27" s="167"/>
      <c r="Y27" s="170"/>
      <c r="Z27" s="170"/>
      <c r="AA27" s="170"/>
      <c r="AB27" s="170">
        <f>+SUM(Y27:AA27)</f>
        <v>0</v>
      </c>
      <c r="AC27" s="192"/>
      <c r="AD27" s="192"/>
      <c r="AE27" s="193"/>
      <c r="AF27" s="173">
        <f t="shared" si="15"/>
        <v>1615</v>
      </c>
      <c r="AG27" s="174">
        <f t="shared" si="16"/>
        <v>85</v>
      </c>
      <c r="AH27" s="178"/>
      <c r="AI27" s="178"/>
      <c r="AJ27" s="178">
        <f>10*O27</f>
        <v>300</v>
      </c>
      <c r="AK27" s="178"/>
      <c r="AL27" s="178">
        <f t="shared" si="10"/>
        <v>0</v>
      </c>
      <c r="AM27" s="178">
        <f t="shared" si="11"/>
        <v>0</v>
      </c>
      <c r="AN27" s="178">
        <f t="shared" si="12"/>
        <v>0</v>
      </c>
      <c r="AO27" s="194"/>
      <c r="AP27" s="178"/>
      <c r="AQ27" s="178"/>
      <c r="AR27" s="208"/>
      <c r="AS27" s="208"/>
      <c r="AT27" s="178"/>
      <c r="AU27" s="179"/>
      <c r="AV27" s="208"/>
      <c r="AW27" s="208"/>
      <c r="AX27" s="178">
        <f t="shared" si="17"/>
        <v>1700</v>
      </c>
      <c r="AY27" s="174" t="str">
        <f t="shared" si="18"/>
        <v/>
      </c>
      <c r="AZ27" s="174">
        <f t="shared" si="19"/>
        <v>3.06</v>
      </c>
      <c r="BA27" s="174">
        <f t="shared" si="20"/>
        <v>23.119999999999997</v>
      </c>
      <c r="BB27" s="174">
        <f t="shared" si="21"/>
        <v>170</v>
      </c>
      <c r="BC27" s="208"/>
      <c r="BD27" s="178"/>
      <c r="BE27" s="208"/>
      <c r="BF27" s="179"/>
      <c r="BG27" s="179">
        <f>VLOOKUP(B27,'CALCULO 5TA'!$A$5:$AG$26,33,0)</f>
        <v>0</v>
      </c>
      <c r="BH27" s="209"/>
      <c r="BI27" s="178">
        <f t="shared" si="22"/>
        <v>2000</v>
      </c>
      <c r="BJ27" s="174">
        <f t="shared" si="23"/>
        <v>196.18</v>
      </c>
      <c r="BK27" s="174">
        <f t="shared" si="24"/>
        <v>1803.82</v>
      </c>
      <c r="BL27" s="174">
        <f t="shared" si="25"/>
        <v>153</v>
      </c>
      <c r="BM27" s="174">
        <f t="shared" si="26"/>
        <v>85</v>
      </c>
      <c r="BN27" s="174">
        <f t="shared" si="27"/>
        <v>12.75</v>
      </c>
      <c r="BO27" s="266">
        <f t="shared" ca="1" si="28"/>
        <v>11.29041095890411</v>
      </c>
      <c r="BP27" s="209"/>
      <c r="BQ27" s="186"/>
      <c r="BR27" s="181"/>
      <c r="BS27" s="181"/>
      <c r="BT27" s="181"/>
      <c r="BU27" s="181"/>
      <c r="BV27" s="181"/>
      <c r="BW27" s="181"/>
      <c r="BX27" s="181"/>
      <c r="BY27" s="181"/>
      <c r="BZ27" s="181"/>
      <c r="CA27" s="181"/>
      <c r="CB27" s="181"/>
      <c r="CC27" s="181"/>
      <c r="CD27" s="181"/>
      <c r="CE27" s="181"/>
      <c r="CF27" s="181"/>
      <c r="CG27" s="181"/>
      <c r="CH27" s="181"/>
      <c r="CI27" s="181"/>
      <c r="CJ27" s="181"/>
      <c r="CK27" s="181"/>
      <c r="CL27" s="181"/>
      <c r="CM27" s="181"/>
      <c r="CN27" s="181"/>
      <c r="CO27" s="181"/>
      <c r="CP27" s="181"/>
      <c r="CQ27" s="181"/>
      <c r="CR27" s="181"/>
      <c r="CS27" s="181"/>
      <c r="CT27" s="181"/>
      <c r="CU27" s="181"/>
      <c r="CV27" s="181"/>
      <c r="CW27" s="181"/>
      <c r="CX27" s="181"/>
      <c r="CY27" s="181"/>
      <c r="CZ27" s="181"/>
      <c r="DA27" s="181"/>
      <c r="DB27" s="181"/>
      <c r="DC27" s="181"/>
      <c r="DD27" s="181"/>
      <c r="DE27" s="181"/>
      <c r="DF27" s="181"/>
      <c r="DG27" s="181"/>
      <c r="DH27" s="181"/>
      <c r="DI27" s="181"/>
      <c r="DJ27" s="181"/>
      <c r="DK27" s="181"/>
      <c r="DL27" s="181"/>
      <c r="DM27" s="181"/>
      <c r="DN27" s="181"/>
      <c r="DO27" s="181"/>
      <c r="DP27" s="181"/>
      <c r="DQ27" s="181"/>
      <c r="DR27" s="181"/>
      <c r="DS27" s="181"/>
      <c r="DT27" s="181"/>
      <c r="DU27" s="181"/>
      <c r="DV27" s="181"/>
      <c r="DW27" s="181"/>
      <c r="DX27" s="181"/>
      <c r="DY27" s="181"/>
      <c r="DZ27" s="181"/>
      <c r="EA27" s="181"/>
      <c r="EB27" s="181"/>
      <c r="EC27" s="181"/>
      <c r="ED27" s="181"/>
      <c r="EE27" s="181"/>
      <c r="EF27" s="181"/>
      <c r="EG27" s="181"/>
      <c r="EH27" s="181"/>
      <c r="EI27" s="181"/>
      <c r="EJ27" s="181"/>
      <c r="EK27" s="181"/>
      <c r="EL27" s="181"/>
      <c r="EM27" s="181"/>
      <c r="EN27" s="181"/>
      <c r="EO27" s="181"/>
      <c r="EP27" s="181"/>
      <c r="EQ27" s="181"/>
      <c r="ER27" s="181"/>
      <c r="ES27" s="181"/>
      <c r="ET27" s="181"/>
      <c r="EU27" s="181"/>
      <c r="EV27" s="181"/>
      <c r="EW27" s="181"/>
      <c r="EX27" s="181"/>
      <c r="EY27" s="181"/>
      <c r="EZ27" s="181"/>
      <c r="FA27" s="181"/>
      <c r="FB27" s="181"/>
      <c r="FC27" s="181"/>
      <c r="FD27" s="181"/>
      <c r="FE27" s="181"/>
      <c r="FF27" s="181"/>
      <c r="FG27" s="181"/>
      <c r="FH27" s="181"/>
      <c r="FI27" s="181"/>
      <c r="FJ27" s="181"/>
      <c r="FK27" s="181"/>
      <c r="FL27" s="181"/>
      <c r="FM27" s="181"/>
      <c r="FN27" s="181"/>
      <c r="FO27" s="181"/>
      <c r="FP27" s="181"/>
      <c r="FQ27" s="181"/>
      <c r="FR27" s="181"/>
      <c r="FS27" s="181"/>
      <c r="FT27" s="181"/>
      <c r="FU27" s="181"/>
      <c r="FV27" s="181"/>
      <c r="FW27" s="181"/>
      <c r="FX27" s="181"/>
      <c r="FY27" s="181"/>
      <c r="FZ27" s="181"/>
      <c r="GA27" s="181"/>
      <c r="GB27" s="181"/>
      <c r="GC27" s="181"/>
      <c r="GD27" s="181"/>
      <c r="GE27" s="181"/>
      <c r="GF27" s="181"/>
      <c r="GG27" s="181"/>
      <c r="GH27" s="181"/>
      <c r="GI27" s="181"/>
      <c r="GJ27" s="181"/>
      <c r="GK27" s="181"/>
      <c r="GL27" s="181"/>
      <c r="GM27" s="181"/>
      <c r="GN27" s="181"/>
      <c r="GO27" s="181"/>
      <c r="GP27" s="181"/>
      <c r="GQ27" s="181"/>
      <c r="GR27" s="181"/>
      <c r="GS27" s="181"/>
      <c r="GT27" s="181"/>
      <c r="GU27" s="181"/>
      <c r="GV27" s="181"/>
      <c r="GW27" s="181"/>
      <c r="GX27" s="181"/>
      <c r="GY27" s="181"/>
      <c r="GZ27" s="181"/>
      <c r="HA27" s="181"/>
      <c r="HB27" s="181"/>
      <c r="HC27" s="181"/>
      <c r="HD27" s="181"/>
      <c r="HE27" s="181"/>
      <c r="HF27" s="181"/>
      <c r="HG27" s="181"/>
      <c r="HH27" s="181"/>
      <c r="HI27" s="181"/>
      <c r="HJ27" s="181"/>
      <c r="HK27" s="181"/>
      <c r="HL27" s="181"/>
      <c r="HM27" s="181"/>
      <c r="HN27" s="181"/>
      <c r="HO27" s="181"/>
      <c r="HP27" s="181"/>
      <c r="HQ27" s="181"/>
      <c r="HR27" s="181"/>
      <c r="HS27" s="181"/>
      <c r="HT27" s="181"/>
      <c r="HU27" s="181"/>
      <c r="HV27" s="181"/>
      <c r="HW27" s="181"/>
      <c r="HX27" s="181"/>
      <c r="HY27" s="181"/>
      <c r="HZ27" s="181"/>
      <c r="IA27" s="181"/>
      <c r="IB27" s="181"/>
      <c r="IC27" s="181"/>
      <c r="ID27" s="181"/>
      <c r="IE27" s="181"/>
      <c r="IF27" s="181"/>
      <c r="IG27" s="181"/>
      <c r="IH27" s="181"/>
      <c r="II27" s="181"/>
      <c r="IJ27" s="181"/>
      <c r="IK27" s="181"/>
      <c r="IL27" s="181"/>
      <c r="IM27" s="181"/>
      <c r="IN27" s="181"/>
    </row>
    <row r="28" spans="1:248" s="175" customFormat="1" x14ac:dyDescent="0.2">
      <c r="A28" s="210">
        <v>14</v>
      </c>
      <c r="B28" s="203">
        <v>10750131</v>
      </c>
      <c r="C28" s="182" t="s">
        <v>76</v>
      </c>
      <c r="D28" s="196" t="s">
        <v>75</v>
      </c>
      <c r="E28" s="200" t="s">
        <v>241</v>
      </c>
      <c r="F28" s="183" t="s">
        <v>67</v>
      </c>
      <c r="G28" s="184">
        <v>28468</v>
      </c>
      <c r="H28" s="185">
        <v>42917</v>
      </c>
      <c r="I28" s="199"/>
      <c r="J28" s="187" t="s">
        <v>74</v>
      </c>
      <c r="K28" s="188"/>
      <c r="L28" s="207" t="s">
        <v>73</v>
      </c>
      <c r="M28" s="212" t="s">
        <v>247</v>
      </c>
      <c r="N28" s="213"/>
      <c r="O28" s="163">
        <f t="shared" si="13"/>
        <v>30</v>
      </c>
      <c r="P28" s="164">
        <f t="shared" si="14"/>
        <v>240</v>
      </c>
      <c r="Q28" s="165"/>
      <c r="R28" s="165"/>
      <c r="S28" s="165"/>
      <c r="T28" s="165"/>
      <c r="U28" s="190">
        <f>915+200</f>
        <v>1115</v>
      </c>
      <c r="V28" s="167"/>
      <c r="W28" s="191">
        <v>85</v>
      </c>
      <c r="X28" s="191"/>
      <c r="Y28" s="170"/>
      <c r="Z28" s="170"/>
      <c r="AA28" s="170"/>
      <c r="AB28" s="170">
        <f t="shared" si="30"/>
        <v>0</v>
      </c>
      <c r="AC28" s="192"/>
      <c r="AD28" s="192"/>
      <c r="AE28" s="193"/>
      <c r="AF28" s="173">
        <f t="shared" si="15"/>
        <v>1115</v>
      </c>
      <c r="AG28" s="174">
        <f t="shared" si="16"/>
        <v>85</v>
      </c>
      <c r="AH28" s="178"/>
      <c r="AI28" s="178"/>
      <c r="AJ28" s="178">
        <f>10*O28</f>
        <v>300</v>
      </c>
      <c r="AK28" s="178"/>
      <c r="AL28" s="178">
        <f t="shared" si="10"/>
        <v>0</v>
      </c>
      <c r="AM28" s="178">
        <f t="shared" si="11"/>
        <v>0</v>
      </c>
      <c r="AN28" s="178">
        <f t="shared" si="12"/>
        <v>0</v>
      </c>
      <c r="AO28" s="194"/>
      <c r="AP28" s="178"/>
      <c r="AQ28" s="178"/>
      <c r="AR28" s="208"/>
      <c r="AS28" s="208"/>
      <c r="AT28" s="178"/>
      <c r="AU28" s="208"/>
      <c r="AV28" s="208"/>
      <c r="AW28" s="208"/>
      <c r="AX28" s="178">
        <f t="shared" si="17"/>
        <v>1200</v>
      </c>
      <c r="AY28" s="174" t="str">
        <f t="shared" si="18"/>
        <v/>
      </c>
      <c r="AZ28" s="174">
        <f t="shared" si="19"/>
        <v>12.84</v>
      </c>
      <c r="BA28" s="174">
        <f t="shared" si="20"/>
        <v>16.32</v>
      </c>
      <c r="BB28" s="174">
        <f t="shared" si="21"/>
        <v>120</v>
      </c>
      <c r="BC28" s="208"/>
      <c r="BD28" s="178"/>
      <c r="BE28" s="208"/>
      <c r="BF28" s="179"/>
      <c r="BG28" s="179">
        <f>VLOOKUP(B28,'CALCULO 5TA'!$A$5:$AG$26,33,0)</f>
        <v>0</v>
      </c>
      <c r="BH28" s="209"/>
      <c r="BI28" s="178">
        <f t="shared" si="22"/>
        <v>1500</v>
      </c>
      <c r="BJ28" s="174">
        <f t="shared" si="23"/>
        <v>149.16</v>
      </c>
      <c r="BK28" s="174">
        <f t="shared" si="24"/>
        <v>1350.84</v>
      </c>
      <c r="BL28" s="174">
        <f t="shared" si="25"/>
        <v>108</v>
      </c>
      <c r="BM28" s="174">
        <f t="shared" si="26"/>
        <v>60</v>
      </c>
      <c r="BN28" s="174">
        <f t="shared" si="27"/>
        <v>9</v>
      </c>
      <c r="BO28" s="266">
        <f t="shared" ca="1" si="28"/>
        <v>0.78630136986301369</v>
      </c>
      <c r="BP28" s="209"/>
      <c r="BQ28" s="186">
        <v>43190</v>
      </c>
      <c r="BR28" s="181"/>
      <c r="BS28" s="181"/>
      <c r="BT28" s="181"/>
      <c r="BU28" s="181"/>
      <c r="BV28" s="181"/>
      <c r="BW28" s="181"/>
      <c r="BX28" s="181"/>
      <c r="BY28" s="181"/>
      <c r="BZ28" s="181"/>
      <c r="CA28" s="181"/>
      <c r="CB28" s="181"/>
      <c r="CC28" s="181"/>
      <c r="CD28" s="181"/>
      <c r="CE28" s="181"/>
      <c r="CF28" s="181"/>
      <c r="CG28" s="181"/>
      <c r="CH28" s="181"/>
      <c r="CI28" s="181"/>
      <c r="CJ28" s="181"/>
      <c r="CK28" s="181"/>
      <c r="CL28" s="181"/>
      <c r="CM28" s="181"/>
      <c r="CN28" s="181"/>
      <c r="CO28" s="181"/>
      <c r="CP28" s="181"/>
      <c r="CQ28" s="181"/>
      <c r="CR28" s="181"/>
      <c r="CS28" s="181"/>
      <c r="CT28" s="181"/>
      <c r="CU28" s="181"/>
      <c r="CV28" s="181"/>
      <c r="CW28" s="181"/>
      <c r="CX28" s="181"/>
      <c r="CY28" s="181"/>
      <c r="CZ28" s="181"/>
      <c r="DA28" s="181"/>
      <c r="DB28" s="181"/>
      <c r="DC28" s="181"/>
      <c r="DD28" s="181"/>
      <c r="DE28" s="181"/>
      <c r="DF28" s="181"/>
      <c r="DG28" s="181"/>
      <c r="DH28" s="181"/>
      <c r="DI28" s="181"/>
      <c r="DJ28" s="181"/>
      <c r="DK28" s="181"/>
      <c r="DL28" s="181"/>
      <c r="DM28" s="181"/>
      <c r="DN28" s="181"/>
      <c r="DO28" s="181"/>
      <c r="DP28" s="181"/>
      <c r="DQ28" s="181"/>
      <c r="DR28" s="181"/>
      <c r="DS28" s="181"/>
      <c r="DT28" s="181"/>
      <c r="DU28" s="181"/>
      <c r="DV28" s="181"/>
      <c r="DW28" s="181"/>
      <c r="DX28" s="181"/>
      <c r="DY28" s="181"/>
      <c r="DZ28" s="181"/>
      <c r="EA28" s="181"/>
      <c r="EB28" s="181"/>
      <c r="EC28" s="181"/>
      <c r="ED28" s="181"/>
      <c r="EE28" s="181"/>
      <c r="EF28" s="181"/>
      <c r="EG28" s="181"/>
      <c r="EH28" s="181"/>
      <c r="EI28" s="181"/>
      <c r="EJ28" s="181"/>
      <c r="EK28" s="181"/>
      <c r="EL28" s="181"/>
      <c r="EM28" s="181"/>
      <c r="EN28" s="181"/>
      <c r="EO28" s="181"/>
      <c r="EP28" s="181"/>
      <c r="EQ28" s="181"/>
      <c r="ER28" s="181"/>
      <c r="ES28" s="181"/>
      <c r="ET28" s="181"/>
      <c r="EU28" s="181"/>
      <c r="EV28" s="181"/>
      <c r="EW28" s="181"/>
      <c r="EX28" s="181"/>
      <c r="EY28" s="181"/>
      <c r="EZ28" s="181"/>
      <c r="FA28" s="181"/>
      <c r="FB28" s="181"/>
      <c r="FC28" s="181"/>
      <c r="FD28" s="181"/>
      <c r="FE28" s="181"/>
      <c r="FF28" s="181"/>
      <c r="FG28" s="181"/>
      <c r="FH28" s="181"/>
      <c r="FI28" s="181"/>
      <c r="FJ28" s="181"/>
      <c r="FK28" s="181"/>
      <c r="FL28" s="181"/>
      <c r="FM28" s="181"/>
      <c r="FN28" s="181"/>
      <c r="FO28" s="181"/>
      <c r="FP28" s="181"/>
      <c r="FQ28" s="181"/>
      <c r="FR28" s="181"/>
      <c r="FS28" s="181"/>
      <c r="FT28" s="181"/>
      <c r="FU28" s="181"/>
      <c r="FV28" s="181"/>
      <c r="FW28" s="181"/>
      <c r="FX28" s="181"/>
      <c r="FY28" s="181"/>
      <c r="FZ28" s="181"/>
      <c r="GA28" s="181"/>
      <c r="GB28" s="181"/>
      <c r="GC28" s="181"/>
      <c r="GD28" s="181"/>
      <c r="GE28" s="181"/>
      <c r="GF28" s="181"/>
      <c r="GG28" s="181"/>
      <c r="GH28" s="181"/>
      <c r="GI28" s="181"/>
      <c r="GJ28" s="181"/>
      <c r="GK28" s="181"/>
      <c r="GL28" s="181"/>
      <c r="GM28" s="181"/>
      <c r="GN28" s="181"/>
      <c r="GO28" s="181"/>
      <c r="GP28" s="181"/>
      <c r="GQ28" s="181"/>
      <c r="GR28" s="181"/>
      <c r="GS28" s="181"/>
      <c r="GT28" s="181"/>
      <c r="GU28" s="181"/>
      <c r="GV28" s="181"/>
      <c r="GW28" s="181"/>
      <c r="GX28" s="181"/>
      <c r="GY28" s="181"/>
      <c r="GZ28" s="181"/>
      <c r="HA28" s="181"/>
      <c r="HB28" s="181"/>
      <c r="HC28" s="181"/>
      <c r="HD28" s="181"/>
      <c r="HE28" s="181"/>
      <c r="HF28" s="181"/>
      <c r="HG28" s="181"/>
      <c r="HH28" s="181"/>
      <c r="HI28" s="181"/>
      <c r="HJ28" s="181"/>
      <c r="HK28" s="181"/>
      <c r="HL28" s="181"/>
      <c r="HM28" s="181"/>
      <c r="HN28" s="181"/>
      <c r="HO28" s="181"/>
      <c r="HP28" s="181"/>
      <c r="HQ28" s="181"/>
      <c r="HR28" s="181"/>
      <c r="HS28" s="181"/>
      <c r="HT28" s="181"/>
      <c r="HU28" s="181"/>
      <c r="HV28" s="181"/>
      <c r="HW28" s="181"/>
      <c r="HX28" s="181"/>
      <c r="HY28" s="181"/>
      <c r="HZ28" s="181"/>
      <c r="IA28" s="181"/>
      <c r="IB28" s="181"/>
      <c r="IC28" s="181"/>
      <c r="ID28" s="181"/>
      <c r="IE28" s="181"/>
      <c r="IF28" s="181"/>
      <c r="IG28" s="181"/>
      <c r="IH28" s="181"/>
      <c r="II28" s="181"/>
      <c r="IJ28" s="181"/>
      <c r="IK28" s="181"/>
      <c r="IL28" s="181"/>
      <c r="IM28" s="181"/>
      <c r="IN28" s="181"/>
    </row>
    <row r="29" spans="1:248" s="181" customFormat="1" x14ac:dyDescent="0.2">
      <c r="A29" s="175">
        <v>15</v>
      </c>
      <c r="B29" s="214">
        <v>47547622</v>
      </c>
      <c r="C29" s="214" t="s">
        <v>72</v>
      </c>
      <c r="D29" s="238" t="s">
        <v>63</v>
      </c>
      <c r="E29" s="215" t="s">
        <v>63</v>
      </c>
      <c r="F29" s="216" t="s">
        <v>67</v>
      </c>
      <c r="G29" s="157">
        <v>33988</v>
      </c>
      <c r="H29" s="217">
        <v>42795</v>
      </c>
      <c r="I29" s="201"/>
      <c r="J29" s="160" t="s">
        <v>66</v>
      </c>
      <c r="K29" s="201"/>
      <c r="L29" s="201" t="s">
        <v>71</v>
      </c>
      <c r="M29" s="212" t="s">
        <v>247</v>
      </c>
      <c r="N29" s="201"/>
      <c r="O29" s="163">
        <f t="shared" si="13"/>
        <v>30</v>
      </c>
      <c r="P29" s="164">
        <f t="shared" si="14"/>
        <v>240</v>
      </c>
      <c r="Q29" s="165"/>
      <c r="R29" s="165"/>
      <c r="S29" s="165"/>
      <c r="T29" s="165"/>
      <c r="U29" s="166">
        <v>1000</v>
      </c>
      <c r="V29" s="167"/>
      <c r="W29" s="201"/>
      <c r="X29" s="201"/>
      <c r="Y29" s="218"/>
      <c r="Z29" s="218"/>
      <c r="AA29" s="218"/>
      <c r="AB29" s="170">
        <f t="shared" si="30"/>
        <v>0</v>
      </c>
      <c r="AC29" s="218"/>
      <c r="AD29" s="218"/>
      <c r="AE29" s="218"/>
      <c r="AF29" s="173">
        <f t="shared" si="15"/>
        <v>1000.0000000000001</v>
      </c>
      <c r="AG29" s="174">
        <f t="shared" si="16"/>
        <v>0</v>
      </c>
      <c r="AH29" s="219"/>
      <c r="AI29" s="219"/>
      <c r="AJ29" s="174">
        <f>117.4/30*O29</f>
        <v>117.4</v>
      </c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178">
        <f t="shared" si="17"/>
        <v>1000.0000000000001</v>
      </c>
      <c r="AY29" s="174" t="str">
        <f t="shared" si="18"/>
        <v/>
      </c>
      <c r="AZ29" s="174">
        <f t="shared" si="19"/>
        <v>3.8000000000000003</v>
      </c>
      <c r="BA29" s="174">
        <f t="shared" si="20"/>
        <v>13.600000000000001</v>
      </c>
      <c r="BB29" s="174">
        <f t="shared" si="21"/>
        <v>100.00000000000001</v>
      </c>
      <c r="BC29" s="219"/>
      <c r="BD29" s="219"/>
      <c r="BE29" s="219"/>
      <c r="BF29" s="219"/>
      <c r="BG29" s="179">
        <f>VLOOKUP(B29,'CALCULO 5TA'!$A$5:$AG$26,33,0)</f>
        <v>0</v>
      </c>
      <c r="BH29" s="209"/>
      <c r="BI29" s="178">
        <f t="shared" si="22"/>
        <v>1117.4000000000001</v>
      </c>
      <c r="BJ29" s="174">
        <f t="shared" si="23"/>
        <v>117.40000000000002</v>
      </c>
      <c r="BK29" s="174">
        <f t="shared" si="24"/>
        <v>1000.0000000000001</v>
      </c>
      <c r="BL29" s="174">
        <f t="shared" si="25"/>
        <v>90</v>
      </c>
      <c r="BM29" s="174">
        <f t="shared" si="26"/>
        <v>50.000000000000007</v>
      </c>
      <c r="BN29" s="174">
        <f t="shared" si="27"/>
        <v>7.5000000000000009</v>
      </c>
      <c r="BO29" s="266">
        <f t="shared" ca="1" si="28"/>
        <v>1.1205479452054794</v>
      </c>
      <c r="BP29" s="209"/>
      <c r="BQ29" s="186" t="s">
        <v>259</v>
      </c>
    </row>
    <row r="30" spans="1:248" s="181" customFormat="1" x14ac:dyDescent="0.2">
      <c r="A30" s="175">
        <v>16</v>
      </c>
      <c r="B30" s="182">
        <v>40709623</v>
      </c>
      <c r="C30" s="182" t="s">
        <v>70</v>
      </c>
      <c r="D30" s="196" t="s">
        <v>242</v>
      </c>
      <c r="E30" s="204" t="s">
        <v>63</v>
      </c>
      <c r="F30" s="199"/>
      <c r="G30" s="184">
        <v>29391</v>
      </c>
      <c r="H30" s="185">
        <v>38565</v>
      </c>
      <c r="I30" s="199"/>
      <c r="J30" s="197" t="s">
        <v>23</v>
      </c>
      <c r="K30" s="199"/>
      <c r="L30" s="199"/>
      <c r="M30" s="212" t="s">
        <v>247</v>
      </c>
      <c r="N30" s="199"/>
      <c r="O30" s="163">
        <f t="shared" si="13"/>
        <v>30</v>
      </c>
      <c r="P30" s="164">
        <f t="shared" si="14"/>
        <v>240</v>
      </c>
      <c r="Q30" s="165"/>
      <c r="R30" s="165"/>
      <c r="S30" s="165"/>
      <c r="T30" s="165"/>
      <c r="U30" s="190">
        <v>6000</v>
      </c>
      <c r="V30" s="167"/>
      <c r="W30" s="199"/>
      <c r="X30" s="199"/>
      <c r="Y30" s="220"/>
      <c r="Z30" s="220"/>
      <c r="AA30" s="220"/>
      <c r="AB30" s="170">
        <f t="shared" si="30"/>
        <v>0</v>
      </c>
      <c r="AC30" s="220"/>
      <c r="AD30" s="220"/>
      <c r="AE30" s="220"/>
      <c r="AF30" s="173">
        <f t="shared" si="15"/>
        <v>6000</v>
      </c>
      <c r="AG30" s="174">
        <f t="shared" si="16"/>
        <v>0</v>
      </c>
      <c r="AH30" s="208"/>
      <c r="AI30" s="219"/>
      <c r="AJ30" s="208">
        <f>13.3333333333333*O30</f>
        <v>399.99999999999898</v>
      </c>
      <c r="AK30" s="208">
        <f>16.6666666666667*O30</f>
        <v>500.00000000000102</v>
      </c>
      <c r="AL30" s="208"/>
      <c r="AM30" s="208"/>
      <c r="AN30" s="208"/>
      <c r="AO30" s="208"/>
      <c r="AP30" s="208"/>
      <c r="AQ30" s="208"/>
      <c r="AR30" s="208"/>
      <c r="AS30" s="208"/>
      <c r="AT30" s="208"/>
      <c r="AU30" s="208"/>
      <c r="AV30" s="208"/>
      <c r="AW30" s="208"/>
      <c r="AX30" s="178">
        <f t="shared" si="17"/>
        <v>6000</v>
      </c>
      <c r="AY30" s="174">
        <f t="shared" si="18"/>
        <v>780</v>
      </c>
      <c r="AZ30" s="174">
        <f t="shared" si="19"/>
        <v>0</v>
      </c>
      <c r="BA30" s="174">
        <f t="shared" si="20"/>
        <v>0</v>
      </c>
      <c r="BB30" s="174">
        <f t="shared" si="21"/>
        <v>0</v>
      </c>
      <c r="BC30" s="208"/>
      <c r="BD30" s="208"/>
      <c r="BE30" s="208"/>
      <c r="BF30" s="208"/>
      <c r="BG30" s="179">
        <f>VLOOKUP(B30,'CALCULO 5TA'!$A$5:$AG$26,33,0)</f>
        <v>675.93333333333339</v>
      </c>
      <c r="BH30" s="209"/>
      <c r="BI30" s="178">
        <f t="shared" si="22"/>
        <v>6900</v>
      </c>
      <c r="BJ30" s="174">
        <f t="shared" si="23"/>
        <v>1455.9333333333334</v>
      </c>
      <c r="BK30" s="174">
        <f t="shared" si="24"/>
        <v>5444.0666666666666</v>
      </c>
      <c r="BL30" s="174">
        <f t="shared" si="25"/>
        <v>540</v>
      </c>
      <c r="BM30" s="174">
        <f t="shared" si="26"/>
        <v>300</v>
      </c>
      <c r="BN30" s="174">
        <f t="shared" si="27"/>
        <v>45</v>
      </c>
      <c r="BO30" s="266">
        <f t="shared" ca="1" si="28"/>
        <v>12.70958904109589</v>
      </c>
      <c r="BP30" s="209"/>
      <c r="BQ30" s="186"/>
    </row>
    <row r="31" spans="1:248" s="181" customFormat="1" x14ac:dyDescent="0.2">
      <c r="A31" s="175">
        <v>17</v>
      </c>
      <c r="B31" s="182">
        <v>46287416</v>
      </c>
      <c r="C31" s="182" t="s">
        <v>69</v>
      </c>
      <c r="D31" s="183" t="s">
        <v>68</v>
      </c>
      <c r="E31" s="204" t="s">
        <v>241</v>
      </c>
      <c r="F31" s="216" t="s">
        <v>67</v>
      </c>
      <c r="G31" s="184">
        <v>32889</v>
      </c>
      <c r="H31" s="185">
        <v>43108</v>
      </c>
      <c r="I31" s="199"/>
      <c r="J31" s="160" t="s">
        <v>66</v>
      </c>
      <c r="K31" s="199"/>
      <c r="L31" s="199" t="s">
        <v>65</v>
      </c>
      <c r="M31" s="212" t="s">
        <v>247</v>
      </c>
      <c r="N31" s="199"/>
      <c r="O31" s="163">
        <f t="shared" si="13"/>
        <v>30</v>
      </c>
      <c r="P31" s="164">
        <f t="shared" si="14"/>
        <v>240</v>
      </c>
      <c r="Q31" s="165"/>
      <c r="R31" s="165"/>
      <c r="S31" s="165"/>
      <c r="T31" s="165"/>
      <c r="U31" s="190">
        <v>1000</v>
      </c>
      <c r="V31" s="167"/>
      <c r="W31" s="199"/>
      <c r="X31" s="199"/>
      <c r="Y31" s="220"/>
      <c r="Z31" s="220"/>
      <c r="AA31" s="220"/>
      <c r="AB31" s="170">
        <f t="shared" si="30"/>
        <v>0</v>
      </c>
      <c r="AC31" s="220"/>
      <c r="AD31" s="220"/>
      <c r="AE31" s="220"/>
      <c r="AF31" s="173">
        <f t="shared" si="15"/>
        <v>1000.0000000000001</v>
      </c>
      <c r="AG31" s="174">
        <f t="shared" si="16"/>
        <v>0</v>
      </c>
      <c r="AH31" s="208"/>
      <c r="AI31" s="219"/>
      <c r="AJ31" s="208">
        <f>117.4/30*O31</f>
        <v>117.4</v>
      </c>
      <c r="AK31" s="208"/>
      <c r="AL31" s="208"/>
      <c r="AM31" s="208"/>
      <c r="AN31" s="208"/>
      <c r="AO31" s="208"/>
      <c r="AP31" s="208"/>
      <c r="AQ31" s="208"/>
      <c r="AR31" s="208"/>
      <c r="AS31" s="208"/>
      <c r="AT31" s="208"/>
      <c r="AU31" s="208"/>
      <c r="AV31" s="208"/>
      <c r="AW31" s="208"/>
      <c r="AX31" s="178">
        <f t="shared" si="17"/>
        <v>1000.0000000000001</v>
      </c>
      <c r="AY31" s="174" t="str">
        <f t="shared" si="18"/>
        <v/>
      </c>
      <c r="AZ31" s="174">
        <f t="shared" si="19"/>
        <v>3.8000000000000003</v>
      </c>
      <c r="BA31" s="174">
        <f t="shared" si="20"/>
        <v>13.600000000000001</v>
      </c>
      <c r="BB31" s="174">
        <f t="shared" si="21"/>
        <v>100.00000000000001</v>
      </c>
      <c r="BC31" s="208"/>
      <c r="BD31" s="208"/>
      <c r="BE31" s="208"/>
      <c r="BF31" s="208"/>
      <c r="BG31" s="179">
        <f>VLOOKUP(B31,'CALCULO 5TA'!$A$5:$AG$26,33,0)</f>
        <v>0</v>
      </c>
      <c r="BH31" s="209"/>
      <c r="BI31" s="178">
        <f t="shared" si="22"/>
        <v>1117.4000000000001</v>
      </c>
      <c r="BJ31" s="174">
        <f t="shared" si="23"/>
        <v>117.40000000000002</v>
      </c>
      <c r="BK31" s="174">
        <f t="shared" si="24"/>
        <v>1000.0000000000001</v>
      </c>
      <c r="BL31" s="174">
        <f t="shared" si="25"/>
        <v>90</v>
      </c>
      <c r="BM31" s="174">
        <f t="shared" si="26"/>
        <v>50.000000000000007</v>
      </c>
      <c r="BN31" s="174">
        <f t="shared" si="27"/>
        <v>7.5000000000000009</v>
      </c>
      <c r="BO31" s="266">
        <f t="shared" ca="1" si="28"/>
        <v>0.26301369863013696</v>
      </c>
      <c r="BP31" s="209"/>
      <c r="BQ31" s="186">
        <v>43190</v>
      </c>
    </row>
    <row r="32" spans="1:248" s="181" customFormat="1" x14ac:dyDescent="0.2">
      <c r="A32" s="175">
        <v>18</v>
      </c>
      <c r="B32" s="182">
        <v>41593805</v>
      </c>
      <c r="C32" s="182" t="s">
        <v>64</v>
      </c>
      <c r="D32" s="238" t="s">
        <v>63</v>
      </c>
      <c r="E32" s="204" t="s">
        <v>63</v>
      </c>
      <c r="F32" s="199"/>
      <c r="G32" s="184">
        <v>29966</v>
      </c>
      <c r="H32" s="185">
        <v>43108</v>
      </c>
      <c r="I32" s="199"/>
      <c r="J32" s="197" t="s">
        <v>23</v>
      </c>
      <c r="K32" s="199"/>
      <c r="L32" s="199"/>
      <c r="M32" s="212" t="s">
        <v>247</v>
      </c>
      <c r="N32" s="199"/>
      <c r="O32" s="163">
        <f t="shared" si="13"/>
        <v>30</v>
      </c>
      <c r="P32" s="164">
        <f t="shared" si="14"/>
        <v>240</v>
      </c>
      <c r="Q32" s="165"/>
      <c r="R32" s="165"/>
      <c r="S32" s="165"/>
      <c r="T32" s="165"/>
      <c r="U32" s="190">
        <v>850</v>
      </c>
      <c r="V32" s="167"/>
      <c r="W32" s="221">
        <v>85</v>
      </c>
      <c r="X32" s="221"/>
      <c r="Y32" s="220"/>
      <c r="Z32" s="220"/>
      <c r="AA32" s="220"/>
      <c r="AB32" s="170">
        <f t="shared" si="30"/>
        <v>0</v>
      </c>
      <c r="AC32" s="220"/>
      <c r="AD32" s="220"/>
      <c r="AE32" s="220"/>
      <c r="AF32" s="173">
        <f t="shared" si="15"/>
        <v>850</v>
      </c>
      <c r="AG32" s="174">
        <f t="shared" si="16"/>
        <v>85</v>
      </c>
      <c r="AH32" s="208"/>
      <c r="AI32" s="219"/>
      <c r="AJ32" s="208">
        <f>86.55/30*O32</f>
        <v>86.55</v>
      </c>
      <c r="AK32" s="208"/>
      <c r="AL32" s="208"/>
      <c r="AM32" s="208"/>
      <c r="AN32" s="208"/>
      <c r="AO32" s="208"/>
      <c r="AP32" s="208"/>
      <c r="AQ32" s="208"/>
      <c r="AR32" s="208"/>
      <c r="AS32" s="208"/>
      <c r="AT32" s="208"/>
      <c r="AU32" s="208"/>
      <c r="AV32" s="208"/>
      <c r="AW32" s="208"/>
      <c r="AX32" s="178">
        <f t="shared" si="17"/>
        <v>935</v>
      </c>
      <c r="AY32" s="174">
        <f t="shared" si="18"/>
        <v>121.55</v>
      </c>
      <c r="AZ32" s="174">
        <f t="shared" si="19"/>
        <v>0</v>
      </c>
      <c r="BA32" s="174">
        <f t="shared" si="20"/>
        <v>0</v>
      </c>
      <c r="BB32" s="174">
        <f t="shared" si="21"/>
        <v>0</v>
      </c>
      <c r="BC32" s="208"/>
      <c r="BD32" s="208"/>
      <c r="BE32" s="208"/>
      <c r="BF32" s="208"/>
      <c r="BG32" s="179">
        <f>VLOOKUP(B32,'CALCULO 5TA'!$A$5:$AG$26,33,0)</f>
        <v>0</v>
      </c>
      <c r="BH32" s="209"/>
      <c r="BI32" s="178">
        <f t="shared" si="22"/>
        <v>1021.55</v>
      </c>
      <c r="BJ32" s="174">
        <f t="shared" si="23"/>
        <v>121.55</v>
      </c>
      <c r="BK32" s="174">
        <f t="shared" si="24"/>
        <v>900</v>
      </c>
      <c r="BL32" s="174">
        <f t="shared" si="25"/>
        <v>84.149999999999991</v>
      </c>
      <c r="BM32" s="174">
        <f t="shared" si="26"/>
        <v>46.75</v>
      </c>
      <c r="BN32" s="174">
        <f t="shared" si="27"/>
        <v>7.0125000000000002</v>
      </c>
      <c r="BO32" s="266">
        <f t="shared" ca="1" si="28"/>
        <v>0.26301369863013696</v>
      </c>
      <c r="BP32" s="209"/>
      <c r="BQ32" s="186">
        <v>43190</v>
      </c>
    </row>
    <row r="33" spans="1:69" s="181" customFormat="1" x14ac:dyDescent="0.2">
      <c r="A33" s="175">
        <v>19</v>
      </c>
      <c r="B33" s="182">
        <v>10611183</v>
      </c>
      <c r="C33" s="182" t="s">
        <v>244</v>
      </c>
      <c r="D33" s="196" t="s">
        <v>245</v>
      </c>
      <c r="E33" s="204" t="s">
        <v>241</v>
      </c>
      <c r="F33" s="199"/>
      <c r="G33" s="184">
        <v>28396</v>
      </c>
      <c r="H33" s="185">
        <v>43108</v>
      </c>
      <c r="I33" s="199"/>
      <c r="J33" s="197" t="s">
        <v>23</v>
      </c>
      <c r="K33" s="199"/>
      <c r="L33" s="199"/>
      <c r="M33" s="212" t="s">
        <v>247</v>
      </c>
      <c r="N33" s="199"/>
      <c r="O33" s="163">
        <f t="shared" si="13"/>
        <v>30</v>
      </c>
      <c r="P33" s="164">
        <f t="shared" ref="P33:P34" si="31">(O33-R33)*8</f>
        <v>240</v>
      </c>
      <c r="Q33" s="165"/>
      <c r="R33" s="165"/>
      <c r="S33" s="165"/>
      <c r="T33" s="165"/>
      <c r="U33" s="190">
        <v>915</v>
      </c>
      <c r="V33" s="167"/>
      <c r="W33" s="221">
        <v>85</v>
      </c>
      <c r="X33" s="221"/>
      <c r="Y33" s="220"/>
      <c r="Z33" s="220"/>
      <c r="AA33" s="220"/>
      <c r="AB33" s="170">
        <f t="shared" ref="AB33:AB34" si="32">+SUM(Y33:AA33)</f>
        <v>0</v>
      </c>
      <c r="AC33" s="220"/>
      <c r="AD33" s="220"/>
      <c r="AE33" s="220"/>
      <c r="AF33" s="173">
        <f t="shared" si="15"/>
        <v>915</v>
      </c>
      <c r="AG33" s="174">
        <f t="shared" si="16"/>
        <v>85</v>
      </c>
      <c r="AH33" s="208"/>
      <c r="AI33" s="219"/>
      <c r="AJ33" s="208">
        <v>130</v>
      </c>
      <c r="AK33" s="208"/>
      <c r="AL33" s="208"/>
      <c r="AM33" s="208"/>
      <c r="AN33" s="208"/>
      <c r="AO33" s="208"/>
      <c r="AP33" s="208"/>
      <c r="AQ33" s="208"/>
      <c r="AR33" s="208"/>
      <c r="AS33" s="208"/>
      <c r="AT33" s="208"/>
      <c r="AU33" s="208"/>
      <c r="AV33" s="208"/>
      <c r="AW33" s="208"/>
      <c r="AX33" s="178">
        <f t="shared" si="17"/>
        <v>1000</v>
      </c>
      <c r="AY33" s="174">
        <f t="shared" si="18"/>
        <v>130</v>
      </c>
      <c r="AZ33" s="174">
        <f t="shared" si="19"/>
        <v>0</v>
      </c>
      <c r="BA33" s="174">
        <f t="shared" si="20"/>
        <v>0</v>
      </c>
      <c r="BB33" s="174">
        <f t="shared" si="21"/>
        <v>0</v>
      </c>
      <c r="BC33" s="208"/>
      <c r="BD33" s="208"/>
      <c r="BE33" s="208"/>
      <c r="BF33" s="208"/>
      <c r="BG33" s="179">
        <f>VLOOKUP(B33,'CALCULO 5TA'!$A$5:$AG$26,33,0)</f>
        <v>0</v>
      </c>
      <c r="BH33" s="209"/>
      <c r="BI33" s="178">
        <f t="shared" si="22"/>
        <v>1130</v>
      </c>
      <c r="BJ33" s="174">
        <f t="shared" si="23"/>
        <v>130</v>
      </c>
      <c r="BK33" s="174">
        <f t="shared" si="24"/>
        <v>1000</v>
      </c>
      <c r="BL33" s="174">
        <f t="shared" si="25"/>
        <v>90</v>
      </c>
      <c r="BM33" s="174">
        <f t="shared" si="26"/>
        <v>50</v>
      </c>
      <c r="BN33" s="174">
        <f t="shared" si="27"/>
        <v>7.5</v>
      </c>
      <c r="BO33" s="266">
        <f t="shared" ca="1" si="28"/>
        <v>0.26301369863013696</v>
      </c>
      <c r="BP33" s="209"/>
      <c r="BQ33" s="186" t="s">
        <v>259</v>
      </c>
    </row>
    <row r="34" spans="1:69" s="181" customFormat="1" x14ac:dyDescent="0.2">
      <c r="A34" s="175">
        <v>20</v>
      </c>
      <c r="B34" s="239">
        <v>41237709</v>
      </c>
      <c r="C34" s="214" t="s">
        <v>246</v>
      </c>
      <c r="D34" s="238" t="s">
        <v>245</v>
      </c>
      <c r="E34" s="215" t="s">
        <v>241</v>
      </c>
      <c r="F34" s="201"/>
      <c r="G34" s="157">
        <v>29991</v>
      </c>
      <c r="H34" s="217">
        <v>43108</v>
      </c>
      <c r="I34" s="201"/>
      <c r="J34" s="160" t="s">
        <v>23</v>
      </c>
      <c r="K34" s="201"/>
      <c r="L34" s="201"/>
      <c r="M34" s="164" t="s">
        <v>247</v>
      </c>
      <c r="N34" s="201"/>
      <c r="O34" s="163">
        <f t="shared" si="13"/>
        <v>30</v>
      </c>
      <c r="P34" s="164">
        <f t="shared" si="31"/>
        <v>240</v>
      </c>
      <c r="Q34" s="165"/>
      <c r="R34" s="165"/>
      <c r="S34" s="165"/>
      <c r="T34" s="165"/>
      <c r="U34" s="166">
        <v>850</v>
      </c>
      <c r="V34" s="167"/>
      <c r="W34" s="222">
        <v>85</v>
      </c>
      <c r="X34" s="222"/>
      <c r="Y34" s="218"/>
      <c r="Z34" s="218"/>
      <c r="AA34" s="218"/>
      <c r="AB34" s="223">
        <f t="shared" si="32"/>
        <v>0</v>
      </c>
      <c r="AC34" s="218"/>
      <c r="AD34" s="218"/>
      <c r="AE34" s="218"/>
      <c r="AF34" s="173">
        <f t="shared" si="15"/>
        <v>850</v>
      </c>
      <c r="AG34" s="174">
        <f t="shared" si="16"/>
        <v>85</v>
      </c>
      <c r="AH34" s="224"/>
      <c r="AI34" s="219"/>
      <c r="AJ34" s="224">
        <f>3.16666666666667*O34-8.45</f>
        <v>86.550000000000097</v>
      </c>
      <c r="AK34" s="224"/>
      <c r="AL34" s="224"/>
      <c r="AM34" s="224"/>
      <c r="AN34" s="224"/>
      <c r="AO34" s="224"/>
      <c r="AP34" s="224"/>
      <c r="AQ34" s="224"/>
      <c r="AR34" s="224"/>
      <c r="AS34" s="224"/>
      <c r="AT34" s="224"/>
      <c r="AU34" s="224"/>
      <c r="AV34" s="224"/>
      <c r="AW34" s="224"/>
      <c r="AX34" s="178">
        <f t="shared" si="17"/>
        <v>935</v>
      </c>
      <c r="AY34" s="174">
        <f t="shared" si="18"/>
        <v>121.55</v>
      </c>
      <c r="AZ34" s="174">
        <f t="shared" si="19"/>
        <v>0</v>
      </c>
      <c r="BA34" s="174">
        <f t="shared" si="20"/>
        <v>0</v>
      </c>
      <c r="BB34" s="174">
        <f t="shared" si="21"/>
        <v>0</v>
      </c>
      <c r="BC34" s="224"/>
      <c r="BD34" s="224"/>
      <c r="BE34" s="224"/>
      <c r="BF34" s="224"/>
      <c r="BG34" s="179">
        <f>VLOOKUP(B34,'CALCULO 5TA'!$A$5:$AG$26,33,0)</f>
        <v>0</v>
      </c>
      <c r="BH34" s="209"/>
      <c r="BI34" s="178">
        <f t="shared" si="22"/>
        <v>1021.5500000000001</v>
      </c>
      <c r="BJ34" s="174">
        <f t="shared" si="23"/>
        <v>121.55</v>
      </c>
      <c r="BK34" s="174">
        <f t="shared" si="24"/>
        <v>900.00000000000011</v>
      </c>
      <c r="BL34" s="174">
        <f t="shared" si="25"/>
        <v>84.149999999999991</v>
      </c>
      <c r="BM34" s="174">
        <f t="shared" si="26"/>
        <v>46.75</v>
      </c>
      <c r="BN34" s="174">
        <f t="shared" si="27"/>
        <v>7.0125000000000002</v>
      </c>
      <c r="BO34" s="266">
        <f t="shared" ca="1" si="28"/>
        <v>0.26301369863013696</v>
      </c>
      <c r="BP34" s="209"/>
      <c r="BQ34" s="186" t="s">
        <v>259</v>
      </c>
    </row>
    <row r="35" spans="1:69" s="181" customFormat="1" x14ac:dyDescent="0.2">
      <c r="A35" s="199">
        <v>21</v>
      </c>
      <c r="B35" s="225">
        <v>74446267</v>
      </c>
      <c r="C35" s="182" t="s">
        <v>243</v>
      </c>
      <c r="D35" s="196" t="s">
        <v>245</v>
      </c>
      <c r="E35" s="204" t="s">
        <v>241</v>
      </c>
      <c r="F35" s="186" t="s">
        <v>67</v>
      </c>
      <c r="G35" s="184">
        <v>36204</v>
      </c>
      <c r="H35" s="185">
        <v>43108</v>
      </c>
      <c r="I35" s="199"/>
      <c r="J35" s="197" t="s">
        <v>78</v>
      </c>
      <c r="K35" s="199"/>
      <c r="L35" s="199"/>
      <c r="M35" s="212" t="s">
        <v>247</v>
      </c>
      <c r="N35" s="199"/>
      <c r="O35" s="226">
        <f t="shared" si="13"/>
        <v>30</v>
      </c>
      <c r="P35" s="212">
        <f t="shared" ref="P35" si="33">(O35-R35)*8</f>
        <v>240</v>
      </c>
      <c r="Q35" s="309"/>
      <c r="R35" s="309"/>
      <c r="S35" s="309"/>
      <c r="T35" s="309"/>
      <c r="U35" s="190">
        <v>935</v>
      </c>
      <c r="V35" s="191"/>
      <c r="W35" s="221"/>
      <c r="X35" s="221"/>
      <c r="Y35" s="220"/>
      <c r="Z35" s="220"/>
      <c r="AA35" s="220"/>
      <c r="AB35" s="170">
        <f t="shared" ref="AB35" si="34">+SUM(Y35:AA35)</f>
        <v>0</v>
      </c>
      <c r="AC35" s="220"/>
      <c r="AD35" s="220"/>
      <c r="AE35" s="220"/>
      <c r="AF35" s="310">
        <f t="shared" si="15"/>
        <v>935</v>
      </c>
      <c r="AG35" s="178">
        <f t="shared" si="16"/>
        <v>0</v>
      </c>
      <c r="AH35" s="208"/>
      <c r="AI35" s="227"/>
      <c r="AJ35" s="208">
        <f>3.16666666666667*O35-22.1</f>
        <v>72.900000000000091</v>
      </c>
      <c r="AK35" s="208"/>
      <c r="AL35" s="208"/>
      <c r="AM35" s="208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178">
        <f t="shared" si="17"/>
        <v>935</v>
      </c>
      <c r="AY35" s="178" t="str">
        <f t="shared" si="18"/>
        <v/>
      </c>
      <c r="AZ35" s="178">
        <f t="shared" si="19"/>
        <v>1.6830000000000001</v>
      </c>
      <c r="BA35" s="178">
        <f t="shared" si="20"/>
        <v>12.715999999999999</v>
      </c>
      <c r="BB35" s="178">
        <f t="shared" si="21"/>
        <v>93.5</v>
      </c>
      <c r="BC35" s="208"/>
      <c r="BD35" s="208"/>
      <c r="BE35" s="208"/>
      <c r="BF35" s="208"/>
      <c r="BG35" s="179">
        <f>VLOOKUP(B35,'CALCULO 5TA'!$A$5:$AG$26,33,0)</f>
        <v>0</v>
      </c>
      <c r="BH35" s="208"/>
      <c r="BI35" s="178">
        <f t="shared" si="22"/>
        <v>1007.9000000000001</v>
      </c>
      <c r="BJ35" s="178">
        <f t="shared" si="23"/>
        <v>107.899</v>
      </c>
      <c r="BK35" s="178">
        <f t="shared" si="24"/>
        <v>900.00100000000009</v>
      </c>
      <c r="BL35" s="178">
        <f t="shared" si="25"/>
        <v>84.149999999999991</v>
      </c>
      <c r="BM35" s="174">
        <f t="shared" si="26"/>
        <v>46.75</v>
      </c>
      <c r="BN35" s="178">
        <f t="shared" si="27"/>
        <v>7.0125000000000002</v>
      </c>
      <c r="BO35" s="272">
        <f t="shared" ca="1" si="28"/>
        <v>0.26301369863013696</v>
      </c>
      <c r="BP35" s="208"/>
      <c r="BQ35" s="186" t="s">
        <v>259</v>
      </c>
    </row>
    <row r="36" spans="1:69" hidden="1" x14ac:dyDescent="0.2">
      <c r="B36" s="141">
        <v>6959544</v>
      </c>
      <c r="C36" s="141" t="s">
        <v>250</v>
      </c>
      <c r="D36" s="141"/>
      <c r="E36" s="141"/>
      <c r="F36" s="141"/>
      <c r="G36" s="151">
        <v>15287</v>
      </c>
      <c r="H36" s="152"/>
      <c r="I36" s="141"/>
      <c r="J36" s="141"/>
      <c r="K36" s="141"/>
      <c r="L36" s="141"/>
      <c r="M36" s="141"/>
      <c r="N36" s="141"/>
      <c r="O36" s="141"/>
      <c r="P36" s="141"/>
      <c r="Q36" s="142"/>
      <c r="R36" s="142"/>
      <c r="S36" s="142"/>
      <c r="T36" s="141"/>
      <c r="U36" s="141"/>
      <c r="V36" s="141"/>
      <c r="W36" s="141"/>
      <c r="X36" s="141"/>
      <c r="Y36" s="143"/>
      <c r="Z36" s="143"/>
      <c r="AA36" s="143"/>
      <c r="AB36" s="143"/>
      <c r="AC36" s="143"/>
      <c r="AD36" s="143"/>
      <c r="AE36" s="143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H36" s="144"/>
      <c r="BI36" s="144"/>
      <c r="BJ36" s="144"/>
      <c r="BK36" s="144"/>
      <c r="BL36" s="144"/>
      <c r="BM36" s="240">
        <f t="shared" ref="BM36:BO36" si="35">+AX36*0.09</f>
        <v>0</v>
      </c>
      <c r="BN36" s="240">
        <f t="shared" si="35"/>
        <v>0</v>
      </c>
      <c r="BO36" s="240">
        <f t="shared" si="35"/>
        <v>0</v>
      </c>
      <c r="BP36" s="144"/>
      <c r="BQ36" s="242"/>
    </row>
    <row r="37" spans="1:69" x14ac:dyDescent="0.2">
      <c r="B37" s="108"/>
      <c r="C37" s="108"/>
      <c r="D37" s="108"/>
      <c r="E37" s="108"/>
      <c r="F37" s="108"/>
      <c r="G37" s="241"/>
      <c r="H37" s="153"/>
      <c r="I37" s="108"/>
      <c r="J37" s="108"/>
      <c r="K37" s="108"/>
      <c r="L37" s="108"/>
      <c r="M37" s="108"/>
      <c r="N37" s="108"/>
      <c r="O37" s="108"/>
      <c r="P37" s="108"/>
      <c r="Q37" s="115"/>
      <c r="R37" s="115"/>
      <c r="S37" s="115"/>
      <c r="T37" s="108"/>
      <c r="U37" s="108"/>
      <c r="V37" s="108"/>
      <c r="W37" s="108"/>
      <c r="X37" s="108"/>
      <c r="Y37" s="109"/>
      <c r="Z37" s="109"/>
      <c r="AA37" s="109"/>
      <c r="AB37" s="109"/>
      <c r="AC37" s="109"/>
      <c r="AD37" s="109"/>
      <c r="AE37" s="109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242"/>
      <c r="BN37" s="242"/>
      <c r="BO37" s="242"/>
      <c r="BP37" s="110"/>
      <c r="BQ37" s="242"/>
    </row>
    <row r="38" spans="1:69" x14ac:dyDescent="0.2">
      <c r="O38" s="311">
        <f>SUM(O15:O37)</f>
        <v>630</v>
      </c>
      <c r="P38" s="311">
        <f t="shared" ref="P38:BO38" si="36">SUM(P15:P37)</f>
        <v>5040</v>
      </c>
      <c r="Q38" s="311">
        <f t="shared" si="36"/>
        <v>0</v>
      </c>
      <c r="R38" s="311">
        <f t="shared" si="36"/>
        <v>0</v>
      </c>
      <c r="S38" s="311">
        <f t="shared" si="36"/>
        <v>0</v>
      </c>
      <c r="T38" s="311">
        <f t="shared" si="36"/>
        <v>0</v>
      </c>
      <c r="U38" s="311">
        <f t="shared" si="36"/>
        <v>35525</v>
      </c>
      <c r="V38" s="311">
        <f t="shared" si="36"/>
        <v>0</v>
      </c>
      <c r="W38" s="311">
        <f t="shared" si="36"/>
        <v>1105</v>
      </c>
      <c r="X38" s="311">
        <f t="shared" si="36"/>
        <v>100</v>
      </c>
      <c r="Y38" s="311">
        <f t="shared" si="36"/>
        <v>0</v>
      </c>
      <c r="Z38" s="311">
        <f t="shared" si="36"/>
        <v>0</v>
      </c>
      <c r="AA38" s="311">
        <f t="shared" si="36"/>
        <v>0</v>
      </c>
      <c r="AB38" s="311">
        <f t="shared" si="36"/>
        <v>0</v>
      </c>
      <c r="AC38" s="311">
        <f t="shared" si="36"/>
        <v>0</v>
      </c>
      <c r="AD38" s="311">
        <f t="shared" si="36"/>
        <v>0</v>
      </c>
      <c r="AE38" s="311">
        <f t="shared" si="36"/>
        <v>0</v>
      </c>
      <c r="AF38" s="311">
        <f t="shared" si="36"/>
        <v>35525</v>
      </c>
      <c r="AG38" s="311">
        <f t="shared" si="36"/>
        <v>1105</v>
      </c>
      <c r="AH38" s="311">
        <f t="shared" si="36"/>
        <v>0</v>
      </c>
      <c r="AI38" s="311">
        <f t="shared" si="36"/>
        <v>0</v>
      </c>
      <c r="AJ38" s="311">
        <f t="shared" si="36"/>
        <v>5235.7999999999975</v>
      </c>
      <c r="AK38" s="311">
        <f t="shared" si="36"/>
        <v>500.00000000000102</v>
      </c>
      <c r="AL38" s="311">
        <f t="shared" si="36"/>
        <v>0</v>
      </c>
      <c r="AM38" s="311">
        <f t="shared" si="36"/>
        <v>0</v>
      </c>
      <c r="AN38" s="311">
        <f t="shared" si="36"/>
        <v>0</v>
      </c>
      <c r="AO38" s="311">
        <f t="shared" si="36"/>
        <v>0</v>
      </c>
      <c r="AP38" s="311">
        <f t="shared" si="36"/>
        <v>0</v>
      </c>
      <c r="AQ38" s="311">
        <f t="shared" si="36"/>
        <v>0</v>
      </c>
      <c r="AR38" s="311">
        <f t="shared" si="36"/>
        <v>0</v>
      </c>
      <c r="AS38" s="311">
        <f t="shared" si="36"/>
        <v>0</v>
      </c>
      <c r="AT38" s="311">
        <f t="shared" si="36"/>
        <v>0</v>
      </c>
      <c r="AU38" s="311">
        <f t="shared" si="36"/>
        <v>0</v>
      </c>
      <c r="AV38" s="311">
        <f t="shared" si="36"/>
        <v>0</v>
      </c>
      <c r="AW38" s="311">
        <f t="shared" si="36"/>
        <v>0</v>
      </c>
      <c r="AX38" s="311">
        <f t="shared" si="36"/>
        <v>36630</v>
      </c>
      <c r="AY38" s="311">
        <f t="shared" si="36"/>
        <v>3717.3500000000004</v>
      </c>
      <c r="AZ38" s="311">
        <f t="shared" si="36"/>
        <v>31.542999999999999</v>
      </c>
      <c r="BA38" s="311">
        <f t="shared" si="36"/>
        <v>109.276</v>
      </c>
      <c r="BB38" s="311">
        <f t="shared" si="36"/>
        <v>803.5</v>
      </c>
      <c r="BC38" s="311">
        <f t="shared" si="36"/>
        <v>0</v>
      </c>
      <c r="BD38" s="311">
        <f t="shared" si="36"/>
        <v>0</v>
      </c>
      <c r="BE38" s="311">
        <f t="shared" si="36"/>
        <v>0</v>
      </c>
      <c r="BF38" s="311">
        <f t="shared" si="36"/>
        <v>0</v>
      </c>
      <c r="BG38" s="311">
        <f t="shared" si="36"/>
        <v>1123.6263333333336</v>
      </c>
      <c r="BH38" s="311">
        <f t="shared" si="36"/>
        <v>0</v>
      </c>
      <c r="BI38" s="311">
        <f t="shared" si="36"/>
        <v>42465.80000000001</v>
      </c>
      <c r="BJ38" s="311">
        <f t="shared" si="36"/>
        <v>5785.2953333333344</v>
      </c>
      <c r="BK38" s="311">
        <f t="shared" si="36"/>
        <v>36680.50466666666</v>
      </c>
      <c r="BL38" s="311">
        <f t="shared" si="36"/>
        <v>3296.7000000000003</v>
      </c>
      <c r="BM38" s="311">
        <f t="shared" si="36"/>
        <v>1831.5</v>
      </c>
      <c r="BN38" s="311">
        <f t="shared" si="36"/>
        <v>274.72499999999997</v>
      </c>
      <c r="BO38" s="311">
        <f t="shared" ca="1" si="36"/>
        <v>88.679452054794481</v>
      </c>
      <c r="BP38" s="139"/>
      <c r="BQ38" s="139"/>
    </row>
    <row r="42" spans="1:69" x14ac:dyDescent="0.2">
      <c r="BK42" s="107">
        <f>900-BK34</f>
        <v>0</v>
      </c>
    </row>
    <row r="43" spans="1:69" x14ac:dyDescent="0.2">
      <c r="G43" s="153"/>
      <c r="H43" s="146"/>
      <c r="I43" s="140"/>
      <c r="J43" s="108"/>
    </row>
    <row r="44" spans="1:69" x14ac:dyDescent="0.2">
      <c r="G44" s="153"/>
      <c r="H44" s="153"/>
      <c r="I44" s="108"/>
      <c r="J44" s="108"/>
    </row>
    <row r="45" spans="1:69" x14ac:dyDescent="0.2">
      <c r="G45" s="153"/>
      <c r="H45" s="153"/>
      <c r="I45" s="108"/>
      <c r="J45" s="108"/>
    </row>
    <row r="46" spans="1:69" x14ac:dyDescent="0.2">
      <c r="G46" s="153"/>
      <c r="H46" s="153"/>
      <c r="I46" s="108"/>
      <c r="J46" s="108"/>
    </row>
    <row r="47" spans="1:69" x14ac:dyDescent="0.2">
      <c r="G47" s="153"/>
      <c r="H47" s="153"/>
      <c r="I47" s="108"/>
      <c r="J47" s="108"/>
    </row>
    <row r="48" spans="1:69" x14ac:dyDescent="0.2">
      <c r="G48" s="153"/>
      <c r="H48" s="153"/>
      <c r="I48" s="108"/>
      <c r="J48" s="108"/>
    </row>
    <row r="49" spans="7:10" x14ac:dyDescent="0.2">
      <c r="G49" s="153"/>
      <c r="H49" s="153"/>
      <c r="I49" s="108"/>
      <c r="J49" s="108"/>
    </row>
    <row r="50" spans="7:10" x14ac:dyDescent="0.2">
      <c r="G50" s="153"/>
      <c r="H50" s="153"/>
      <c r="I50" s="108"/>
      <c r="J50" s="108"/>
    </row>
    <row r="51" spans="7:10" x14ac:dyDescent="0.2">
      <c r="G51" s="153"/>
      <c r="H51" s="153"/>
      <c r="I51" s="108"/>
      <c r="J51" s="108"/>
    </row>
    <row r="52" spans="7:10" x14ac:dyDescent="0.2">
      <c r="G52" s="153"/>
      <c r="H52" s="153"/>
      <c r="I52" s="108"/>
      <c r="J52" s="108"/>
    </row>
    <row r="53" spans="7:10" x14ac:dyDescent="0.2">
      <c r="G53" s="153"/>
      <c r="H53" s="153"/>
      <c r="I53" s="108"/>
      <c r="J53" s="108"/>
    </row>
    <row r="54" spans="7:10" x14ac:dyDescent="0.2">
      <c r="G54" s="153"/>
      <c r="H54" s="153"/>
      <c r="I54" s="108"/>
      <c r="J54" s="108"/>
    </row>
    <row r="55" spans="7:10" x14ac:dyDescent="0.2">
      <c r="G55" s="153"/>
      <c r="H55" s="153"/>
      <c r="I55" s="108"/>
      <c r="J55" s="108"/>
    </row>
    <row r="56" spans="7:10" x14ac:dyDescent="0.2">
      <c r="G56" s="153"/>
      <c r="H56" s="153"/>
      <c r="I56" s="108"/>
      <c r="J56" s="108"/>
    </row>
    <row r="57" spans="7:10" x14ac:dyDescent="0.2">
      <c r="G57" s="153"/>
      <c r="H57" s="153"/>
      <c r="I57" s="108"/>
      <c r="J57" s="108"/>
    </row>
    <row r="58" spans="7:10" x14ac:dyDescent="0.2">
      <c r="G58" s="153"/>
      <c r="H58" s="153"/>
      <c r="I58" s="108"/>
      <c r="J58" s="108"/>
    </row>
    <row r="59" spans="7:10" x14ac:dyDescent="0.2">
      <c r="G59" s="153"/>
      <c r="H59" s="153"/>
      <c r="I59" s="108"/>
      <c r="J59" s="108"/>
    </row>
    <row r="60" spans="7:10" x14ac:dyDescent="0.2">
      <c r="G60" s="153"/>
      <c r="H60" s="153"/>
      <c r="I60" s="108"/>
      <c r="J60" s="108"/>
    </row>
    <row r="61" spans="7:10" x14ac:dyDescent="0.2">
      <c r="G61" s="153"/>
      <c r="H61" s="153"/>
      <c r="I61" s="108"/>
      <c r="J61" s="108"/>
    </row>
  </sheetData>
  <mergeCells count="65">
    <mergeCell ref="BN11:BN13"/>
    <mergeCell ref="BO11:BO13"/>
    <mergeCell ref="BQ11:BQ13"/>
    <mergeCell ref="AK12:AK13"/>
    <mergeCell ref="AO12:AO13"/>
    <mergeCell ref="AP12:AP13"/>
    <mergeCell ref="BE12:BE13"/>
    <mergeCell ref="BF12:BF13"/>
    <mergeCell ref="BG12:BG13"/>
    <mergeCell ref="AR12:AR13"/>
    <mergeCell ref="BJ11:BJ13"/>
    <mergeCell ref="AY12:AY13"/>
    <mergeCell ref="BL11:BL13"/>
    <mergeCell ref="AY11:BG11"/>
    <mergeCell ref="BK11:BK13"/>
    <mergeCell ref="BD12:BD13"/>
    <mergeCell ref="BM11:BM13"/>
    <mergeCell ref="AZ12:AZ13"/>
    <mergeCell ref="BA12:BA13"/>
    <mergeCell ref="BB12:BB13"/>
    <mergeCell ref="BC12:BC13"/>
    <mergeCell ref="BI11:BI13"/>
    <mergeCell ref="F12:F13"/>
    <mergeCell ref="AC12:AC13"/>
    <mergeCell ref="M12:M13"/>
    <mergeCell ref="N12:N13"/>
    <mergeCell ref="O12:O13"/>
    <mergeCell ref="P12:P13"/>
    <mergeCell ref="Q12:Q13"/>
    <mergeCell ref="R12:R13"/>
    <mergeCell ref="T12:T13"/>
    <mergeCell ref="U12:U13"/>
    <mergeCell ref="V12:V13"/>
    <mergeCell ref="W12:W13"/>
    <mergeCell ref="AB12:AB13"/>
    <mergeCell ref="X12:X13"/>
    <mergeCell ref="A12:A13"/>
    <mergeCell ref="B12:B13"/>
    <mergeCell ref="C12:C13"/>
    <mergeCell ref="D12:D13"/>
    <mergeCell ref="E12:E13"/>
    <mergeCell ref="AX11:AX13"/>
    <mergeCell ref="AD12:AD13"/>
    <mergeCell ref="G12:G13"/>
    <mergeCell ref="H12:H13"/>
    <mergeCell ref="AG12:AG13"/>
    <mergeCell ref="AH12:AH13"/>
    <mergeCell ref="AI12:AI13"/>
    <mergeCell ref="L12:L13"/>
    <mergeCell ref="S12:S13"/>
    <mergeCell ref="AE12:AE13"/>
    <mergeCell ref="AF12:AF13"/>
    <mergeCell ref="AQ12:AQ13"/>
    <mergeCell ref="I12:I13"/>
    <mergeCell ref="J12:J13"/>
    <mergeCell ref="K12:K13"/>
    <mergeCell ref="AU12:AU13"/>
    <mergeCell ref="Y11:AB11"/>
    <mergeCell ref="AC11:AE11"/>
    <mergeCell ref="AF11:AW11"/>
    <mergeCell ref="AV12:AV13"/>
    <mergeCell ref="AW12:AW13"/>
    <mergeCell ref="AS12:AS13"/>
    <mergeCell ref="AT12:AT13"/>
    <mergeCell ref="AJ12:AJ13"/>
  </mergeCells>
  <conditionalFormatting sqref="BO15:BO35">
    <cfRule type="expression" dxfId="0" priority="1" stopIfTrue="1">
      <formula>$BO15&gt;4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Y108"/>
  <sheetViews>
    <sheetView topLeftCell="A13" zoomScale="85" zoomScaleNormal="85" zoomScalePageLayoutView="85" workbookViewId="0">
      <selection activeCell="V5" sqref="V5"/>
    </sheetView>
  </sheetViews>
  <sheetFormatPr defaultColWidth="0" defaultRowHeight="12" zeroHeight="1" x14ac:dyDescent="0.2"/>
  <cols>
    <col min="1" max="1" width="12.5703125" style="3" customWidth="1"/>
    <col min="2" max="2" width="6.42578125" style="3" customWidth="1"/>
    <col min="3" max="3" width="7.140625" style="3" customWidth="1"/>
    <col min="4" max="4" width="12.28515625" style="3" customWidth="1"/>
    <col min="5" max="5" width="12.140625" style="3" customWidth="1"/>
    <col min="6" max="6" width="6.85546875" style="3" customWidth="1"/>
    <col min="7" max="7" width="5.28515625" style="3" customWidth="1"/>
    <col min="8" max="8" width="4.28515625" style="3" customWidth="1"/>
    <col min="9" max="9" width="7.85546875" style="3" customWidth="1"/>
    <col min="10" max="10" width="6.5703125" style="3" customWidth="1"/>
    <col min="11" max="11" width="11.28515625" style="3" customWidth="1"/>
    <col min="12" max="12" width="13.5703125" style="3" customWidth="1"/>
    <col min="13" max="13" width="12.42578125" style="3" customWidth="1"/>
    <col min="14" max="14" width="11.28515625" style="3" customWidth="1"/>
    <col min="15" max="15" width="0.7109375" style="3" customWidth="1"/>
    <col min="16" max="16" width="12.42578125" style="3" customWidth="1"/>
    <col min="17" max="17" width="10.42578125" style="3" customWidth="1"/>
    <col min="18" max="18" width="48.5703125" style="3" customWidth="1"/>
    <col min="19" max="16384" width="11.42578125" style="3" hidden="1"/>
  </cols>
  <sheetData>
    <row r="1" spans="1:2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</row>
    <row r="2" spans="1:25" ht="15" x14ac:dyDescent="0.25">
      <c r="A2" s="4"/>
      <c r="B2" s="5"/>
      <c r="C2" s="5"/>
      <c r="D2" s="5"/>
      <c r="E2" s="6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7"/>
    </row>
    <row r="3" spans="1:25" ht="25.5" customHeight="1" x14ac:dyDescent="0.25">
      <c r="A3" s="8"/>
      <c r="B3" s="9"/>
      <c r="C3" s="9"/>
      <c r="D3" s="9"/>
      <c r="E3" s="9"/>
      <c r="F3" s="396" t="s">
        <v>0</v>
      </c>
      <c r="G3" s="396"/>
      <c r="H3" s="396"/>
      <c r="I3" s="396"/>
      <c r="J3" s="396"/>
      <c r="K3" s="396"/>
      <c r="L3" s="396"/>
      <c r="M3" s="9"/>
      <c r="N3" s="9"/>
      <c r="O3" s="9"/>
      <c r="P3" s="397"/>
      <c r="Q3" s="397"/>
      <c r="R3" s="7"/>
      <c r="U3" s="7"/>
      <c r="V3" s="7" t="s">
        <v>1</v>
      </c>
      <c r="W3" s="7"/>
      <c r="X3" s="7"/>
      <c r="Y3" s="7"/>
    </row>
    <row r="4" spans="1:25" ht="19.5" customHeight="1" thickBot="1" x14ac:dyDescent="0.3">
      <c r="A4" s="8"/>
      <c r="B4" s="10"/>
      <c r="C4" s="10"/>
      <c r="D4" s="5"/>
      <c r="E4" s="11"/>
      <c r="F4" s="11" t="s">
        <v>2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7"/>
      <c r="U4" s="13"/>
      <c r="V4" s="13"/>
      <c r="W4" s="13"/>
      <c r="X4" s="13"/>
      <c r="Y4" s="13"/>
    </row>
    <row r="5" spans="1:25" ht="15.75" thickBot="1" x14ac:dyDescent="0.3">
      <c r="A5" s="14"/>
      <c r="B5" s="14"/>
      <c r="C5" s="14"/>
      <c r="D5" s="14"/>
      <c r="E5" s="15" t="s">
        <v>3</v>
      </c>
      <c r="F5" s="398" t="s">
        <v>183</v>
      </c>
      <c r="G5" s="398"/>
      <c r="H5" s="16" t="s">
        <v>5</v>
      </c>
      <c r="I5" s="399">
        <f>VLOOKUP(F5,TABLA!$C$1:$E$12,2,0)</f>
        <v>43132</v>
      </c>
      <c r="J5" s="399"/>
      <c r="K5" s="17" t="s">
        <v>6</v>
      </c>
      <c r="L5" s="400">
        <f>VLOOKUP(F5,TABLA!$C$1:$E$12,3,0)</f>
        <v>43159</v>
      </c>
      <c r="M5" s="401"/>
      <c r="N5" s="18"/>
      <c r="O5" s="14"/>
      <c r="P5" s="14"/>
      <c r="Q5" s="14"/>
      <c r="R5" s="7"/>
      <c r="U5" s="13" t="s">
        <v>7</v>
      </c>
      <c r="V5" s="19">
        <v>51</v>
      </c>
      <c r="W5" s="13" t="s">
        <v>8</v>
      </c>
      <c r="X5" s="19">
        <v>57</v>
      </c>
      <c r="Y5" s="13"/>
    </row>
    <row r="6" spans="1:25" ht="14.25" customHeight="1" x14ac:dyDescent="0.25">
      <c r="A6" s="365" t="s">
        <v>9</v>
      </c>
      <c r="B6" s="366"/>
      <c r="C6" s="366"/>
      <c r="D6" s="36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7"/>
      <c r="U6" s="13"/>
      <c r="V6" s="13"/>
      <c r="W6" s="13"/>
      <c r="X6" s="13"/>
      <c r="Y6" s="13"/>
    </row>
    <row r="7" spans="1:25" ht="3.75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7"/>
      <c r="U7" s="13"/>
      <c r="V7" s="13"/>
      <c r="W7" s="13"/>
      <c r="X7" s="13"/>
      <c r="Y7" s="13"/>
    </row>
    <row r="8" spans="1:25" ht="16.5" customHeight="1" x14ac:dyDescent="0.25">
      <c r="A8" s="369" t="s">
        <v>10</v>
      </c>
      <c r="B8" s="371"/>
      <c r="C8" s="369" t="s">
        <v>11</v>
      </c>
      <c r="D8" s="370"/>
      <c r="E8" s="370"/>
      <c r="F8" s="370"/>
      <c r="G8" s="370"/>
      <c r="H8" s="370"/>
      <c r="I8" s="372" t="s">
        <v>12</v>
      </c>
      <c r="J8" s="372"/>
      <c r="K8" s="372"/>
      <c r="L8" s="372" t="s">
        <v>13</v>
      </c>
      <c r="M8" s="372"/>
      <c r="N8" s="372"/>
      <c r="O8" s="372"/>
      <c r="P8" s="372"/>
      <c r="Q8" s="372"/>
      <c r="R8" s="7"/>
    </row>
    <row r="9" spans="1:25" ht="14.25" customHeight="1" x14ac:dyDescent="0.2">
      <c r="A9" s="391">
        <v>20427712959</v>
      </c>
      <c r="B9" s="392"/>
      <c r="C9" s="402" t="s">
        <v>205</v>
      </c>
      <c r="D9" s="403"/>
      <c r="E9" s="403"/>
      <c r="F9" s="403"/>
      <c r="G9" s="403"/>
      <c r="H9" s="404"/>
      <c r="I9" s="402" t="s">
        <v>207</v>
      </c>
      <c r="J9" s="403"/>
      <c r="K9" s="404"/>
      <c r="L9" s="393" t="s">
        <v>206</v>
      </c>
      <c r="M9" s="394"/>
      <c r="N9" s="394"/>
      <c r="O9" s="394"/>
      <c r="P9" s="394"/>
      <c r="Q9" s="395"/>
      <c r="R9" s="7"/>
    </row>
    <row r="10" spans="1:25" ht="5.25" customHeigh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7"/>
    </row>
    <row r="11" spans="1:25" ht="18.75" customHeight="1" x14ac:dyDescent="0.25">
      <c r="A11" s="365" t="s">
        <v>14</v>
      </c>
      <c r="B11" s="366"/>
      <c r="C11" s="366"/>
      <c r="D11" s="367"/>
      <c r="E11" s="20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7"/>
    </row>
    <row r="12" spans="1:25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7"/>
    </row>
    <row r="13" spans="1:25" s="24" customFormat="1" ht="17.25" customHeight="1" x14ac:dyDescent="0.25">
      <c r="A13" s="21" t="s">
        <v>15</v>
      </c>
      <c r="B13" s="365" t="s">
        <v>208</v>
      </c>
      <c r="C13" s="366"/>
      <c r="D13" s="366"/>
      <c r="E13" s="366"/>
      <c r="F13" s="366"/>
      <c r="G13" s="366"/>
      <c r="H13" s="367"/>
      <c r="I13" s="365" t="s">
        <v>16</v>
      </c>
      <c r="J13" s="367"/>
      <c r="K13" s="22" t="s">
        <v>17</v>
      </c>
      <c r="L13" s="21" t="s">
        <v>18</v>
      </c>
      <c r="M13" s="368"/>
      <c r="N13" s="368"/>
      <c r="O13" s="95"/>
      <c r="P13" s="368"/>
      <c r="Q13" s="368"/>
      <c r="R13" s="23"/>
    </row>
    <row r="14" spans="1:25" ht="14.25" customHeight="1" x14ac:dyDescent="0.25">
      <c r="A14" s="25">
        <v>16</v>
      </c>
      <c r="B14" s="393" t="str">
        <f>IFERROR(VLOOKUP(CODIGO,'PLLA PARA EL SISTEMA'!$A$15:$BL$42,3,0)," ")</f>
        <v>VELASQUEZ CAMPOS DAVIS JONATHAN</v>
      </c>
      <c r="C14" s="394"/>
      <c r="D14" s="394"/>
      <c r="E14" s="394"/>
      <c r="F14" s="394"/>
      <c r="G14" s="394"/>
      <c r="H14" s="395"/>
      <c r="I14" s="379" t="str">
        <f>IFERROR(VLOOKUP(CODIGO,'PLLA PARA EL SISTEMA'!A15:BL42,5,0)," ")</f>
        <v>VENTAS</v>
      </c>
      <c r="J14" s="380"/>
      <c r="K14" s="26">
        <f>IFERROR(VLOOKUP(CODIGO,'PLLA PARA EL SISTEMA'!A15:BL42,7,0)," ")</f>
        <v>29391</v>
      </c>
      <c r="L14" s="27" t="str">
        <f>IFERROR(IF(E27&gt;0,"SI","NO")," ")</f>
        <v>NO</v>
      </c>
      <c r="M14" s="381"/>
      <c r="N14" s="381"/>
      <c r="O14" s="94"/>
      <c r="P14" s="381"/>
      <c r="Q14" s="381"/>
      <c r="R14" s="7"/>
    </row>
    <row r="15" spans="1:25" ht="5.2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7"/>
    </row>
    <row r="16" spans="1:25" ht="18.75" customHeight="1" x14ac:dyDescent="0.2">
      <c r="A16" s="382" t="s">
        <v>19</v>
      </c>
      <c r="B16" s="383"/>
      <c r="C16" s="383"/>
      <c r="D16" s="383"/>
      <c r="E16" s="383"/>
      <c r="F16" s="383"/>
      <c r="G16" s="383"/>
      <c r="H16" s="383"/>
      <c r="I16" s="383"/>
      <c r="J16" s="383"/>
      <c r="K16" s="384"/>
      <c r="L16" s="9"/>
      <c r="M16" s="9"/>
      <c r="N16" s="9"/>
      <c r="O16" s="9"/>
      <c r="P16" s="9"/>
      <c r="Q16" s="9"/>
      <c r="R16" s="29"/>
    </row>
    <row r="17" spans="1:19" ht="3.75" customHeight="1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5"/>
      <c r="N17" s="5"/>
      <c r="O17" s="5"/>
      <c r="P17" s="5"/>
      <c r="Q17" s="5"/>
      <c r="R17" s="7"/>
    </row>
    <row r="18" spans="1:19" ht="15.75" customHeight="1" x14ac:dyDescent="0.25">
      <c r="A18" s="369" t="s">
        <v>20</v>
      </c>
      <c r="B18" s="370"/>
      <c r="C18" s="371"/>
      <c r="D18" s="31" t="s">
        <v>21</v>
      </c>
      <c r="E18" s="31" t="s">
        <v>22</v>
      </c>
      <c r="F18" s="369" t="s">
        <v>209</v>
      </c>
      <c r="G18" s="370"/>
      <c r="H18" s="370"/>
      <c r="I18" s="371"/>
      <c r="J18" s="372" t="s">
        <v>24</v>
      </c>
      <c r="K18" s="372"/>
      <c r="L18" s="31" t="s">
        <v>25</v>
      </c>
      <c r="M18" s="31" t="s">
        <v>26</v>
      </c>
      <c r="N18" s="369" t="s">
        <v>27</v>
      </c>
      <c r="O18" s="371"/>
      <c r="P18" s="31" t="s">
        <v>28</v>
      </c>
      <c r="Q18" s="32" t="s">
        <v>29</v>
      </c>
      <c r="R18" s="7"/>
    </row>
    <row r="19" spans="1:19" ht="14.25" customHeight="1" x14ac:dyDescent="0.2">
      <c r="A19" s="373" t="str">
        <f>IFERROR(VLOOKUP(CODIGO,'PLLA PARA EL SISTEMA'!A15:BL42,4,0)," ")</f>
        <v>GERENTE  VENTAS</v>
      </c>
      <c r="B19" s="374"/>
      <c r="C19" s="375"/>
      <c r="D19" s="27" t="s">
        <v>30</v>
      </c>
      <c r="E19" s="27" t="s">
        <v>31</v>
      </c>
      <c r="F19" s="402" t="str">
        <f>IFERROR(IF(VLOOKUP(CODIGO,'PLLA PARA EL SISTEMA'!A15:BL42,10,0)="ONP"," SNP ONP",CONCATENATE("AFP ",VLOOKUP(CODIGO,'PLLA PARA EL SISTEMA'!A15:BL42,10,0))),"")</f>
        <v xml:space="preserve"> SNP ONP</v>
      </c>
      <c r="G19" s="403"/>
      <c r="H19" s="403"/>
      <c r="I19" s="404"/>
      <c r="J19" s="376">
        <f>IFERROR(VLOOKUP(CODIGO,'PLLA PARA EL SISTEMA'!A15:BL42,12,0),"")</f>
        <v>0</v>
      </c>
      <c r="K19" s="376"/>
      <c r="L19" s="33">
        <f>IFERROR(VLOOKUP(CODIGO,'PLLA PARA EL SISTEMA'!A15:BL42,8,0)," ")</f>
        <v>38565</v>
      </c>
      <c r="M19" s="33" t="str">
        <f>IF(VLOOKUP(CODIGO,'PLLA PARA EL SISTEMA'!A15:BL42,9,0)=0,"",VLOOKUP(CODIGO,'PLLA PARA EL SISTEMA'!A15:BL42,9,0))</f>
        <v/>
      </c>
      <c r="N19" s="377" t="str">
        <f>IF(VLOOKUP(CODIGO,'PLLA PARA EL SISTEMA'!A15:BL42,27,0)=0,"",VLOOKUP(CODIGO,'PLLA PARA EL SISTEMA'!A15:BL42,27,0))</f>
        <v/>
      </c>
      <c r="O19" s="378"/>
      <c r="P19" s="34" t="str">
        <f>IF(VLOOKUP(CODIGO,'PLLA PARA EL SISTEMA'!A15:BL42,28,0)=0,"",VLOOKUP(CODIGO,'PLLA PARA EL SISTEMA'!A15:BL42,28,0))</f>
        <v/>
      </c>
      <c r="Q19" s="35" t="str">
        <f>IF(VLOOKUP(CODIGO,'PLLA PARA EL SISTEMA'!A15:BL42,29,0)=0,"",VLOOKUP(CODIGO,'PLLA PARA EL SISTEMA'!A15:BL42,29,0))</f>
        <v/>
      </c>
      <c r="R19" s="7"/>
    </row>
    <row r="20" spans="1:19" ht="5.25" customHeight="1" x14ac:dyDescent="0.25">
      <c r="A20" s="5"/>
      <c r="B20" s="5"/>
      <c r="C20" s="5"/>
      <c r="D20" s="36"/>
      <c r="E20" s="36"/>
      <c r="F20" s="5"/>
      <c r="G20" s="5"/>
      <c r="H20" s="5"/>
      <c r="I20" s="5"/>
      <c r="J20" s="5"/>
      <c r="K20" s="5"/>
      <c r="L20" s="5"/>
      <c r="M20" s="37"/>
      <c r="N20" s="37"/>
      <c r="O20" s="37"/>
      <c r="P20" s="37"/>
      <c r="Q20" s="5"/>
      <c r="R20" s="7"/>
    </row>
    <row r="21" spans="1:19" ht="12.75" customHeight="1" x14ac:dyDescent="0.2">
      <c r="A21" s="420" t="s">
        <v>32</v>
      </c>
      <c r="B21" s="385" t="s">
        <v>33</v>
      </c>
      <c r="C21" s="421"/>
      <c r="D21" s="423"/>
      <c r="E21" s="423" t="s">
        <v>34</v>
      </c>
      <c r="F21" s="385" t="s">
        <v>211</v>
      </c>
      <c r="G21" s="386"/>
      <c r="H21" s="385" t="s">
        <v>35</v>
      </c>
      <c r="I21" s="386"/>
      <c r="J21" s="385" t="s">
        <v>213</v>
      </c>
      <c r="K21" s="386"/>
      <c r="L21" s="389" t="s">
        <v>210</v>
      </c>
      <c r="M21" s="405" t="s">
        <v>36</v>
      </c>
      <c r="N21" s="406"/>
      <c r="O21" s="406"/>
      <c r="P21" s="406"/>
      <c r="Q21" s="407"/>
      <c r="R21" s="7"/>
    </row>
    <row r="22" spans="1:19" ht="25.5" customHeight="1" x14ac:dyDescent="0.2">
      <c r="A22" s="420"/>
      <c r="B22" s="387"/>
      <c r="C22" s="422"/>
      <c r="D22" s="423"/>
      <c r="E22" s="423"/>
      <c r="F22" s="387"/>
      <c r="G22" s="388"/>
      <c r="H22" s="387"/>
      <c r="I22" s="388"/>
      <c r="J22" s="387"/>
      <c r="K22" s="388"/>
      <c r="L22" s="390"/>
      <c r="M22" s="408"/>
      <c r="N22" s="409"/>
      <c r="O22" s="409"/>
      <c r="P22" s="409"/>
      <c r="Q22" s="410"/>
      <c r="R22" s="7"/>
    </row>
    <row r="23" spans="1:19" ht="14.25" customHeight="1" x14ac:dyDescent="0.25">
      <c r="A23" s="38">
        <f>IFERROR(VLOOKUP(CODIGO,'PLLA PARA EL SISTEMA'!A15:BL42,15,0),"")</f>
        <v>30</v>
      </c>
      <c r="B23" s="411">
        <f>IFERROR(VLOOKUP(CODIGO,'PLLA PARA EL SISTEMA'!A15:BL42,16,0),"")</f>
        <v>240</v>
      </c>
      <c r="C23" s="411"/>
      <c r="D23" s="40"/>
      <c r="E23" s="41">
        <v>0</v>
      </c>
      <c r="F23" s="412">
        <f>IFERROR(VLOOKUP(CODIGO,'PLLA PARA EL SISTEMA'!A15:BL42,19,0)," ")</f>
        <v>0</v>
      </c>
      <c r="G23" s="413"/>
      <c r="H23" s="414">
        <f>IFERROR(VLOOKUP(CODIGO,'PLLA PARA EL SISTEMA'!A15:BL42,21,0),"")</f>
        <v>6000</v>
      </c>
      <c r="I23" s="414"/>
      <c r="J23" s="415">
        <f>IFERROR(VLOOKUP(CODIGO,'PLLA PARA EL SISTEMA'!A15:BL42,17,0)+VLOOKUP(CODIGO,'PLLA PARA EL SISTEMA'!A15:BL42,20,0),"")</f>
        <v>0</v>
      </c>
      <c r="K23" s="416"/>
      <c r="L23" s="40">
        <f>IFERROR(VLOOKUP(CODIGO,'PLLA PARA EL SISTEMA'!A15:BL42,18,0),"")</f>
        <v>0</v>
      </c>
      <c r="M23" s="417" t="str">
        <f>IFERROR(CONCATENATE(VLOOKUP(CODIGO,'PLLA PARA EL SISTEMA'!A15:BL42,13,0)," ",CONCATENATE(VLOOKUP(CODIGO,'PLLA PARA EL SISTEMA'!A15:BL42,14,0))),"")</f>
        <v xml:space="preserve">BCP </v>
      </c>
      <c r="N23" s="418"/>
      <c r="O23" s="418"/>
      <c r="P23" s="418"/>
      <c r="Q23" s="419"/>
      <c r="R23" s="7"/>
      <c r="S23" s="42"/>
    </row>
    <row r="24" spans="1:19" ht="6.75" customHeight="1" x14ac:dyDescent="0.25">
      <c r="A24" s="5" t="s">
        <v>37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7"/>
    </row>
    <row r="25" spans="1:19" s="44" customFormat="1" ht="18" customHeight="1" x14ac:dyDescent="0.25">
      <c r="A25" s="427" t="s">
        <v>38</v>
      </c>
      <c r="B25" s="428"/>
      <c r="C25" s="428"/>
      <c r="D25" s="428"/>
      <c r="E25" s="429"/>
      <c r="F25" s="428" t="s">
        <v>39</v>
      </c>
      <c r="G25" s="428"/>
      <c r="H25" s="428"/>
      <c r="I25" s="428"/>
      <c r="J25" s="428"/>
      <c r="K25" s="428"/>
      <c r="L25" s="428"/>
      <c r="M25" s="427" t="s">
        <v>40</v>
      </c>
      <c r="N25" s="428"/>
      <c r="O25" s="428"/>
      <c r="P25" s="428"/>
      <c r="Q25" s="429"/>
      <c r="R25" s="43"/>
    </row>
    <row r="26" spans="1:19" ht="15" x14ac:dyDescent="0.25">
      <c r="A26" s="45" t="s">
        <v>41</v>
      </c>
      <c r="B26" s="37"/>
      <c r="C26" s="37"/>
      <c r="D26" s="46"/>
      <c r="E26" s="47">
        <f>IFERROR(VLOOKUP(CODIGO,'PLLA PARA EL SISTEMA'!A15:BL42,32,0),"")+(ROUND(H23/30/30,2)*J23)+(H23/30*J23)</f>
        <v>6000</v>
      </c>
      <c r="F26" s="37"/>
      <c r="G26" s="37" t="s">
        <v>42</v>
      </c>
      <c r="H26" s="37"/>
      <c r="I26" s="37"/>
      <c r="J26" s="37"/>
      <c r="K26" s="48">
        <f>IFERROR(VLOOKUP(CODIGO,'PLLA PARA EL SISTEMA'!$A$13:$BL$42,54,0),"")</f>
        <v>0</v>
      </c>
      <c r="L26" s="37"/>
      <c r="M26" s="45"/>
      <c r="N26" s="37"/>
      <c r="O26" s="37"/>
      <c r="P26" s="37"/>
      <c r="Q26" s="49"/>
      <c r="R26" s="7"/>
    </row>
    <row r="27" spans="1:19" ht="15" x14ac:dyDescent="0.25">
      <c r="A27" s="50" t="s">
        <v>43</v>
      </c>
      <c r="B27" s="51"/>
      <c r="C27" s="51"/>
      <c r="D27" s="46"/>
      <c r="E27" s="47">
        <f>IFERROR(VLOOKUP(CODIGO,'PLLA PARA EL SISTEMA'!A15:BL42,33,0),"")</f>
        <v>0</v>
      </c>
      <c r="F27" s="52"/>
      <c r="G27" s="52" t="s">
        <v>47</v>
      </c>
      <c r="H27" s="54"/>
      <c r="I27" s="52"/>
      <c r="J27" s="55"/>
      <c r="K27" s="48">
        <f>IFERROR(VLOOKUP(CODIGO,'PLLA PARA EL SISTEMA'!$A$13:$BL$42,53,0),"")</f>
        <v>0</v>
      </c>
      <c r="L27" s="57"/>
      <c r="M27" s="424" t="s">
        <v>45</v>
      </c>
      <c r="N27" s="425"/>
      <c r="O27" s="58"/>
      <c r="P27" s="48">
        <f>IFERROR(VLOOKUP(CODIGO,'PLLA PARA EL SISTEMA'!$A$13:$BL$42,64,0),"")</f>
        <v>540</v>
      </c>
      <c r="Q27" s="59"/>
      <c r="R27" s="7"/>
    </row>
    <row r="28" spans="1:19" ht="15" x14ac:dyDescent="0.25">
      <c r="A28" s="50" t="s">
        <v>253</v>
      </c>
      <c r="B28" s="12"/>
      <c r="C28" s="12"/>
      <c r="D28" s="46"/>
      <c r="E28" s="47">
        <f>IFERROR(VLOOKUP(CODIGO,'PLLA PARA EL SISTEMA'!A15:BL42,36,0),"")</f>
        <v>399.99999999999898</v>
      </c>
      <c r="F28" s="52"/>
      <c r="G28" s="53" t="s">
        <v>44</v>
      </c>
      <c r="H28" s="54"/>
      <c r="I28" s="54"/>
      <c r="J28" s="54"/>
      <c r="K28" s="48">
        <f>IFERROR(VLOOKUP(CODIGO,'PLLA PARA EL SISTEMA'!$A$13:$BL$42,52,0),"")</f>
        <v>0</v>
      </c>
      <c r="L28" s="57"/>
      <c r="M28" s="424"/>
      <c r="N28" s="425"/>
      <c r="O28" s="58"/>
      <c r="P28" s="55"/>
      <c r="Q28" s="59"/>
      <c r="R28" s="7"/>
    </row>
    <row r="29" spans="1:19" ht="15" x14ac:dyDescent="0.25">
      <c r="A29" s="50" t="s">
        <v>254</v>
      </c>
      <c r="B29" s="51"/>
      <c r="C29" s="51"/>
      <c r="D29" s="46"/>
      <c r="E29" s="47">
        <f>IFERROR(VLOOKUP(CODIGO,'PLLA PARA EL SISTEMA'!A15:BL42,37,0),"")</f>
        <v>500.00000000000102</v>
      </c>
      <c r="F29" s="52"/>
      <c r="G29" s="53" t="s">
        <v>23</v>
      </c>
      <c r="H29" s="54"/>
      <c r="I29" s="54"/>
      <c r="J29" s="55"/>
      <c r="K29" s="48">
        <f>IFERROR(VLOOKUP(CODIGO,'PLLA PARA EL SISTEMA'!$A$13:$BL$42,51,0),"")</f>
        <v>780</v>
      </c>
      <c r="L29" s="57"/>
      <c r="M29" s="424"/>
      <c r="N29" s="425"/>
      <c r="O29" s="53"/>
      <c r="P29" s="55"/>
      <c r="Q29" s="59"/>
      <c r="R29" s="7"/>
    </row>
    <row r="30" spans="1:19" ht="15" x14ac:dyDescent="0.25">
      <c r="A30" s="60" t="s">
        <v>46</v>
      </c>
      <c r="B30" s="51"/>
      <c r="C30" s="51"/>
      <c r="D30" s="46"/>
      <c r="E30" s="47">
        <f>IFERROR(VLOOKUP(CODIGO,'PLLA PARA EL SISTEMA'!A15:BL42,24,0),"")</f>
        <v>0</v>
      </c>
      <c r="F30" s="52"/>
      <c r="G30" s="53" t="s">
        <v>50</v>
      </c>
      <c r="H30" s="53"/>
      <c r="I30" s="61"/>
      <c r="J30" s="55"/>
      <c r="K30" s="48">
        <f>IFERROR(VLOOKUP(CODIGO,'PLLA PARA EL SISTEMA'!$A$13:$BL$42,59,0),"")</f>
        <v>675.93333333333339</v>
      </c>
      <c r="L30" s="62"/>
      <c r="M30" s="424"/>
      <c r="N30" s="425"/>
      <c r="O30" s="61"/>
      <c r="P30" s="55"/>
      <c r="Q30" s="59"/>
      <c r="R30" s="7"/>
    </row>
    <row r="31" spans="1:19" ht="15" x14ac:dyDescent="0.25">
      <c r="A31" s="50" t="s">
        <v>48</v>
      </c>
      <c r="B31" s="12"/>
      <c r="C31" s="12"/>
      <c r="D31" s="55"/>
      <c r="E31" s="47">
        <v>0</v>
      </c>
      <c r="F31" s="52"/>
      <c r="G31" s="53" t="s">
        <v>52</v>
      </c>
      <c r="H31" s="53"/>
      <c r="I31" s="61"/>
      <c r="J31" s="55"/>
      <c r="K31" s="48">
        <f>IFERROR(VLOOKUP(CODIGO,'PLLA PARA EL SISTEMA'!$A$13:$BL$42,55,0),"")</f>
        <v>0</v>
      </c>
      <c r="L31" s="63"/>
      <c r="M31" s="64"/>
      <c r="N31" s="61"/>
      <c r="O31" s="61"/>
      <c r="P31" s="53"/>
      <c r="Q31" s="59"/>
      <c r="R31" s="7"/>
    </row>
    <row r="32" spans="1:19" ht="15" x14ac:dyDescent="0.25">
      <c r="A32" s="50" t="s">
        <v>49</v>
      </c>
      <c r="B32" s="37"/>
      <c r="C32" s="37"/>
      <c r="D32" s="55"/>
      <c r="E32" s="47">
        <f>IFERROR(VLOOKUP(CODIGO,'PLLA PARA EL SISTEMA'!A15:BL42,34,0),"")</f>
        <v>0</v>
      </c>
      <c r="F32" s="52"/>
      <c r="G32" s="52" t="s">
        <v>53</v>
      </c>
      <c r="H32" s="54"/>
      <c r="I32" s="54"/>
      <c r="J32" s="54"/>
      <c r="K32" s="48">
        <f>(ROUND(H23/30/30,2)*J23)+(H23/30*J23)</f>
        <v>0</v>
      </c>
      <c r="L32" s="65"/>
      <c r="M32" s="66"/>
      <c r="N32" s="56"/>
      <c r="O32" s="61"/>
      <c r="P32" s="53"/>
      <c r="Q32" s="59"/>
      <c r="R32" s="7"/>
    </row>
    <row r="33" spans="1:18" ht="15" x14ac:dyDescent="0.25">
      <c r="A33" s="45" t="s">
        <v>51</v>
      </c>
      <c r="B33" s="37"/>
      <c r="C33" s="37"/>
      <c r="D33" s="46"/>
      <c r="E33" s="47">
        <f>IFERROR(VLOOKUP(CODIGO,'PLLA PARA EL SISTEMA'!A13:BL42,42,0),"")+IFERROR(VLOOKUP(CODIGO,'PLLA PARA EL SISTEMA'!A13:BL42,43,0),"")</f>
        <v>0</v>
      </c>
      <c r="F33" s="52"/>
      <c r="G33" s="52" t="s">
        <v>55</v>
      </c>
      <c r="H33" s="54"/>
      <c r="I33" s="54"/>
      <c r="J33" s="54"/>
      <c r="K33" s="48">
        <v>0</v>
      </c>
      <c r="L33" s="55"/>
      <c r="M33" s="67"/>
      <c r="N33" s="55"/>
      <c r="O33" s="55"/>
      <c r="P33" s="55"/>
      <c r="Q33" s="59"/>
      <c r="R33" s="7"/>
    </row>
    <row r="34" spans="1:18" ht="15" x14ac:dyDescent="0.25">
      <c r="A34" s="45" t="s">
        <v>54</v>
      </c>
      <c r="B34" s="37"/>
      <c r="C34" s="37"/>
      <c r="D34" s="46"/>
      <c r="E34" s="47">
        <f>IFERROR(VLOOKUP(CODIGO,'PLLA PARA EL SISTEMA'!A13:BL42,49,0),"")</f>
        <v>0</v>
      </c>
      <c r="F34" s="52"/>
      <c r="G34" s="52"/>
      <c r="H34" s="54"/>
      <c r="I34" s="54"/>
      <c r="J34" s="54"/>
      <c r="K34" s="48">
        <v>0</v>
      </c>
      <c r="L34" s="55"/>
      <c r="M34" s="67"/>
      <c r="N34" s="55"/>
      <c r="O34" s="55"/>
      <c r="P34" s="55"/>
      <c r="Q34" s="59"/>
      <c r="R34" s="7"/>
    </row>
    <row r="35" spans="1:18" ht="15" x14ac:dyDescent="0.25">
      <c r="A35" s="45"/>
      <c r="B35" s="37"/>
      <c r="C35" s="37"/>
      <c r="D35" s="46"/>
      <c r="E35" s="47"/>
      <c r="F35" s="52"/>
      <c r="G35" s="53"/>
      <c r="H35" s="54"/>
      <c r="I35" s="54"/>
      <c r="J35" s="54"/>
      <c r="K35" s="46"/>
      <c r="L35" s="55"/>
      <c r="M35" s="67"/>
      <c r="N35" s="55"/>
      <c r="O35" s="55"/>
      <c r="P35" s="55"/>
      <c r="Q35" s="59"/>
      <c r="R35" s="7"/>
    </row>
    <row r="36" spans="1:18" ht="15" x14ac:dyDescent="0.25">
      <c r="A36" s="50"/>
      <c r="B36" s="37"/>
      <c r="C36" s="37"/>
      <c r="D36" s="55"/>
      <c r="E36" s="47"/>
      <c r="F36" s="52"/>
      <c r="G36" s="52"/>
      <c r="H36" s="52"/>
      <c r="I36" s="52"/>
      <c r="J36" s="52"/>
      <c r="K36" s="52"/>
      <c r="L36" s="55"/>
      <c r="M36" s="67"/>
      <c r="N36" s="55"/>
      <c r="O36" s="55"/>
      <c r="P36" s="55"/>
      <c r="Q36" s="59"/>
      <c r="R36" s="7"/>
    </row>
    <row r="37" spans="1:18" s="71" customFormat="1" ht="16.5" customHeight="1" x14ac:dyDescent="0.25">
      <c r="A37" s="426" t="s">
        <v>56</v>
      </c>
      <c r="B37" s="426"/>
      <c r="C37" s="426"/>
      <c r="D37" s="426"/>
      <c r="E37" s="68">
        <f>+SUM(E26:E36)</f>
        <v>6900</v>
      </c>
      <c r="F37" s="426" t="s">
        <v>57</v>
      </c>
      <c r="G37" s="426"/>
      <c r="H37" s="426"/>
      <c r="I37" s="426"/>
      <c r="J37" s="426"/>
      <c r="K37" s="426"/>
      <c r="L37" s="69">
        <f>+SUM(K26:K36)</f>
        <v>1455.9333333333334</v>
      </c>
      <c r="M37" s="426" t="s">
        <v>58</v>
      </c>
      <c r="N37" s="426"/>
      <c r="O37" s="426"/>
      <c r="P37" s="426"/>
      <c r="Q37" s="69">
        <f>+E37-L37</f>
        <v>5444.0666666666666</v>
      </c>
      <c r="R37" s="70"/>
    </row>
    <row r="38" spans="1:18" ht="15" x14ac:dyDescent="0.25">
      <c r="A38" s="5"/>
      <c r="B38" s="5"/>
      <c r="C38" s="5"/>
      <c r="D38" s="5"/>
      <c r="E38" s="72"/>
      <c r="F38" s="5"/>
      <c r="G38" s="5"/>
      <c r="H38" s="5"/>
      <c r="I38" s="5"/>
      <c r="J38" s="5"/>
      <c r="K38" s="5"/>
      <c r="L38" s="52"/>
      <c r="M38" s="5"/>
      <c r="N38" s="5"/>
      <c r="O38" s="5"/>
      <c r="P38" s="5"/>
      <c r="Q38" s="5"/>
      <c r="R38" s="7"/>
    </row>
    <row r="39" spans="1:18" ht="15" x14ac:dyDescent="0.25">
      <c r="A39" s="5"/>
      <c r="B39" s="5"/>
      <c r="C39" s="5"/>
      <c r="D39" s="5"/>
      <c r="E39" s="73"/>
      <c r="F39" s="5"/>
      <c r="G39" s="5"/>
      <c r="H39" s="358"/>
      <c r="I39" s="358"/>
      <c r="J39" s="5"/>
      <c r="K39" s="73"/>
      <c r="L39" s="74"/>
      <c r="M39" s="5"/>
      <c r="N39" s="5"/>
      <c r="O39" s="5"/>
      <c r="P39" s="52"/>
      <c r="Q39" s="52"/>
      <c r="R39" s="75"/>
    </row>
    <row r="40" spans="1:18" ht="15" x14ac:dyDescent="0.25">
      <c r="A40" s="5"/>
      <c r="B40" s="5"/>
      <c r="C40" s="5"/>
      <c r="D40" s="5"/>
      <c r="E40" s="52"/>
      <c r="F40" s="5"/>
      <c r="G40" s="5"/>
      <c r="H40" s="5"/>
      <c r="I40" s="5"/>
      <c r="J40" s="5"/>
      <c r="K40" s="52"/>
      <c r="L40" s="5"/>
      <c r="M40" s="5"/>
      <c r="N40" s="5"/>
      <c r="O40" s="5"/>
      <c r="P40" s="5"/>
      <c r="Q40" s="52"/>
      <c r="R40" s="7"/>
    </row>
    <row r="41" spans="1:18" ht="15" x14ac:dyDescent="0.25">
      <c r="A41" s="5"/>
      <c r="B41" s="5"/>
      <c r="C41" s="5"/>
      <c r="D41" s="5"/>
      <c r="E41" s="76"/>
      <c r="F41" s="77"/>
      <c r="G41" s="5"/>
      <c r="H41" s="5"/>
      <c r="I41" s="5"/>
      <c r="J41" s="5"/>
      <c r="K41" s="73"/>
      <c r="L41" s="5"/>
      <c r="M41" s="5"/>
      <c r="N41" s="5"/>
      <c r="O41" s="5"/>
      <c r="P41" s="5"/>
      <c r="Q41" s="5"/>
      <c r="R41" s="7"/>
    </row>
    <row r="42" spans="1:18" ht="15" x14ac:dyDescent="0.25">
      <c r="A42" s="5"/>
      <c r="B42" s="359"/>
      <c r="C42" s="359"/>
      <c r="D42" s="359"/>
      <c r="E42" s="359"/>
      <c r="F42" s="359"/>
      <c r="G42" s="5"/>
      <c r="H42" s="5"/>
      <c r="I42" s="5"/>
      <c r="J42" s="360"/>
      <c r="K42" s="360"/>
      <c r="L42" s="5"/>
      <c r="M42" s="78"/>
      <c r="N42" s="78"/>
      <c r="O42" s="78"/>
      <c r="P42" s="78"/>
      <c r="Q42" s="78"/>
      <c r="R42" s="7"/>
    </row>
    <row r="43" spans="1:18" s="80" customFormat="1" ht="13.5" customHeight="1" x14ac:dyDescent="0.25">
      <c r="A43" s="6"/>
      <c r="B43" s="361" t="s">
        <v>59</v>
      </c>
      <c r="C43" s="361"/>
      <c r="D43" s="361"/>
      <c r="E43" s="361"/>
      <c r="F43" s="361"/>
      <c r="G43" s="6"/>
      <c r="H43" s="6"/>
      <c r="I43" s="6"/>
      <c r="J43" s="6"/>
      <c r="K43" s="6"/>
      <c r="L43" s="361"/>
      <c r="M43" s="361"/>
      <c r="N43" s="362" t="s">
        <v>60</v>
      </c>
      <c r="O43" s="362"/>
      <c r="P43" s="362"/>
      <c r="Q43" s="6"/>
      <c r="R43" s="79"/>
    </row>
    <row r="44" spans="1:18" ht="17.25" customHeight="1" x14ac:dyDescent="0.25">
      <c r="A44" s="5"/>
      <c r="B44" s="436"/>
      <c r="C44" s="436"/>
      <c r="D44" s="436"/>
      <c r="E44" s="436"/>
      <c r="F44" s="436"/>
      <c r="G44" s="5"/>
      <c r="H44" s="30"/>
      <c r="I44" s="30"/>
      <c r="J44" s="30"/>
      <c r="K44" s="30"/>
      <c r="L44" s="30"/>
      <c r="M44" s="363" t="str">
        <f>CONCATENATE(E14,"  ",B14)</f>
        <v xml:space="preserve">  VELASQUEZ CAMPOS DAVIS JONATHAN</v>
      </c>
      <c r="N44" s="363"/>
      <c r="O44" s="363"/>
      <c r="P44" s="363"/>
      <c r="Q44" s="363"/>
      <c r="R44" s="7"/>
    </row>
    <row r="45" spans="1:18" ht="14.25" customHeight="1" x14ac:dyDescent="0.25">
      <c r="A45" s="5"/>
      <c r="B45" s="5"/>
      <c r="C45" s="5"/>
      <c r="D45" s="30"/>
      <c r="E45" s="30"/>
      <c r="F45" s="5"/>
      <c r="G45" s="5"/>
      <c r="H45" s="30"/>
      <c r="I45" s="30"/>
      <c r="J45" s="30"/>
      <c r="K45" s="30"/>
      <c r="L45" s="82"/>
      <c r="M45" s="364" t="str">
        <f>CONCATENATE(I13," ",I14)</f>
        <v>D.N.I. VENTAS</v>
      </c>
      <c r="N45" s="364"/>
      <c r="O45" s="364"/>
      <c r="P45" s="364"/>
      <c r="Q45" s="364"/>
      <c r="R45" s="7"/>
    </row>
    <row r="46" spans="1:18" ht="10.5" customHeight="1" x14ac:dyDescent="0.25">
      <c r="A46" s="5"/>
      <c r="B46" s="5"/>
      <c r="C46" s="5"/>
      <c r="D46" s="30"/>
      <c r="E46" s="30"/>
      <c r="F46" s="5"/>
      <c r="G46" s="5"/>
      <c r="H46" s="30"/>
      <c r="I46" s="30"/>
      <c r="J46" s="30"/>
      <c r="K46" s="30"/>
      <c r="L46" s="30"/>
      <c r="M46" s="83"/>
      <c r="N46" s="83"/>
      <c r="O46" s="83"/>
      <c r="P46" s="83"/>
      <c r="Q46" s="83"/>
      <c r="R46" s="7"/>
    </row>
    <row r="47" spans="1:18" ht="6.75" customHeight="1" x14ac:dyDescent="0.25">
      <c r="A47" s="37"/>
      <c r="B47" s="5"/>
      <c r="C47" s="5"/>
      <c r="D47" s="30"/>
      <c r="E47" s="30"/>
      <c r="F47" s="5"/>
      <c r="G47" s="5"/>
      <c r="H47" s="30"/>
      <c r="I47" s="30"/>
      <c r="J47" s="30"/>
      <c r="K47" s="30"/>
      <c r="L47" s="30"/>
      <c r="M47" s="83"/>
      <c r="N47" s="83"/>
      <c r="O47" s="83"/>
      <c r="P47" s="83"/>
      <c r="Q47" s="83"/>
      <c r="R47" s="7"/>
    </row>
    <row r="48" spans="1:18" ht="16.5" customHeight="1" x14ac:dyDescent="0.25">
      <c r="A48" s="37" t="s">
        <v>61</v>
      </c>
      <c r="B48" s="5"/>
      <c r="C48" s="5"/>
      <c r="D48" s="30"/>
      <c r="E48" s="30"/>
      <c r="F48" s="5"/>
      <c r="G48" s="5"/>
      <c r="H48" s="30"/>
      <c r="I48" s="30"/>
      <c r="J48" s="30"/>
      <c r="K48" s="30"/>
      <c r="L48" s="30"/>
      <c r="M48" s="84"/>
      <c r="N48" s="84"/>
      <c r="O48" s="84"/>
      <c r="P48" s="30"/>
      <c r="Q48" s="85" t="s">
        <v>62</v>
      </c>
      <c r="R48" s="7"/>
    </row>
    <row r="49" spans="1:18" ht="15" x14ac:dyDescent="0.2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  <c r="L49" s="430"/>
      <c r="M49" s="430"/>
      <c r="N49" s="430"/>
      <c r="O49" s="430"/>
      <c r="P49" s="430"/>
      <c r="Q49" s="430"/>
      <c r="R49" s="7"/>
    </row>
    <row r="50" spans="1:18" ht="23.25" customHeight="1" x14ac:dyDescent="0.25">
      <c r="A50" s="4"/>
      <c r="B50" s="5"/>
      <c r="C50" s="5"/>
      <c r="D50" s="5"/>
      <c r="E50" s="6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7"/>
    </row>
    <row r="51" spans="1:18" ht="21" x14ac:dyDescent="0.2">
      <c r="A51" s="396" t="s">
        <v>0</v>
      </c>
      <c r="B51" s="396"/>
      <c r="C51" s="396"/>
      <c r="D51" s="396"/>
      <c r="E51" s="396"/>
      <c r="F51" s="396"/>
      <c r="G51" s="396"/>
      <c r="H51" s="396"/>
      <c r="I51" s="396"/>
      <c r="J51" s="396"/>
      <c r="K51" s="396"/>
      <c r="L51" s="396"/>
      <c r="M51" s="396"/>
      <c r="N51" s="396"/>
      <c r="O51" s="396"/>
      <c r="P51" s="396"/>
      <c r="Q51" s="396"/>
      <c r="R51" s="7"/>
    </row>
    <row r="52" spans="1:18" ht="18" customHeight="1" x14ac:dyDescent="0.25">
      <c r="A52" s="5"/>
      <c r="B52" s="5"/>
      <c r="C52" s="5"/>
      <c r="D52" s="5"/>
      <c r="E52" s="11"/>
      <c r="F52" s="11" t="s">
        <v>2</v>
      </c>
      <c r="G52" s="12"/>
      <c r="H52" s="12"/>
      <c r="I52" s="12"/>
      <c r="J52" s="12"/>
      <c r="K52" s="12"/>
      <c r="L52" s="12"/>
      <c r="M52" s="12"/>
      <c r="N52" s="12"/>
      <c r="O52" s="12"/>
      <c r="P52" s="431"/>
      <c r="Q52" s="432"/>
      <c r="R52" s="7"/>
    </row>
    <row r="53" spans="1:18" ht="15" x14ac:dyDescent="0.25">
      <c r="A53" s="14"/>
      <c r="B53" s="14"/>
      <c r="C53" s="14"/>
      <c r="D53" s="14"/>
      <c r="E53" s="15" t="s">
        <v>3</v>
      </c>
      <c r="F53" s="433" t="str">
        <f>F5</f>
        <v>FEBRERO</v>
      </c>
      <c r="G53" s="433"/>
      <c r="H53" s="16" t="s">
        <v>5</v>
      </c>
      <c r="I53" s="434">
        <f>I5</f>
        <v>43132</v>
      </c>
      <c r="J53" s="434"/>
      <c r="K53" s="17" t="s">
        <v>6</v>
      </c>
      <c r="L53" s="435">
        <f>L5</f>
        <v>43159</v>
      </c>
      <c r="M53" s="435"/>
      <c r="N53" s="18"/>
      <c r="O53" s="14"/>
      <c r="P53" s="14"/>
      <c r="Q53" s="14"/>
      <c r="R53" s="7"/>
    </row>
    <row r="54" spans="1:18" ht="15" x14ac:dyDescent="0.25">
      <c r="A54" s="365" t="s">
        <v>9</v>
      </c>
      <c r="B54" s="366"/>
      <c r="C54" s="366"/>
      <c r="D54" s="367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7"/>
    </row>
    <row r="55" spans="1:18" ht="5.25" customHeight="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7"/>
    </row>
    <row r="56" spans="1:18" ht="15" customHeight="1" x14ac:dyDescent="0.25">
      <c r="A56" s="369" t="s">
        <v>10</v>
      </c>
      <c r="B56" s="371"/>
      <c r="C56" s="369" t="s">
        <v>11</v>
      </c>
      <c r="D56" s="370"/>
      <c r="E56" s="370"/>
      <c r="F56" s="371"/>
      <c r="G56" s="369" t="s">
        <v>12</v>
      </c>
      <c r="H56" s="370"/>
      <c r="I56" s="370"/>
      <c r="J56" s="370"/>
      <c r="K56" s="371"/>
      <c r="L56" s="369" t="s">
        <v>13</v>
      </c>
      <c r="M56" s="370"/>
      <c r="N56" s="370"/>
      <c r="O56" s="370"/>
      <c r="P56" s="370"/>
      <c r="Q56" s="371"/>
      <c r="R56" s="7"/>
    </row>
    <row r="57" spans="1:18" ht="15" customHeight="1" x14ac:dyDescent="0.2">
      <c r="A57" s="391">
        <f>A9</f>
        <v>20427712959</v>
      </c>
      <c r="B57" s="392"/>
      <c r="C57" s="402" t="str">
        <f>+C9</f>
        <v>INGENIERIA Y DESARROLLO DEL CAUCHO S.A.C.</v>
      </c>
      <c r="D57" s="403"/>
      <c r="E57" s="403"/>
      <c r="F57" s="404"/>
      <c r="G57" s="402" t="str">
        <f>+I9</f>
        <v>INDUSTRIAL</v>
      </c>
      <c r="H57" s="403"/>
      <c r="I57" s="403"/>
      <c r="J57" s="403"/>
      <c r="K57" s="404"/>
      <c r="L57" s="393" t="str">
        <f>+L9</f>
        <v>CAL.SANTA ISABEL NRO. 194 URB. LOS SAUCES LIMA - LIMA - ATE</v>
      </c>
      <c r="M57" s="394"/>
      <c r="N57" s="394"/>
      <c r="O57" s="394"/>
      <c r="P57" s="394"/>
      <c r="Q57" s="395"/>
      <c r="R57" s="7"/>
    </row>
    <row r="58" spans="1:18" ht="3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7"/>
    </row>
    <row r="59" spans="1:18" ht="15" x14ac:dyDescent="0.25">
      <c r="A59" s="365" t="s">
        <v>14</v>
      </c>
      <c r="B59" s="366"/>
      <c r="C59" s="366"/>
      <c r="D59" s="367"/>
      <c r="E59" s="20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7"/>
    </row>
    <row r="60" spans="1:18" ht="3.75" customHeight="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7"/>
    </row>
    <row r="61" spans="1:18" ht="22.5" customHeight="1" x14ac:dyDescent="0.2">
      <c r="A61" s="21" t="s">
        <v>15</v>
      </c>
      <c r="B61" s="365" t="s">
        <v>208</v>
      </c>
      <c r="C61" s="366"/>
      <c r="D61" s="366"/>
      <c r="E61" s="366"/>
      <c r="F61" s="366"/>
      <c r="G61" s="366"/>
      <c r="H61" s="367"/>
      <c r="I61" s="365" t="s">
        <v>16</v>
      </c>
      <c r="J61" s="367"/>
      <c r="K61" s="22" t="s">
        <v>17</v>
      </c>
      <c r="L61" s="21" t="s">
        <v>18</v>
      </c>
      <c r="M61" s="368"/>
      <c r="N61" s="368"/>
      <c r="O61" s="95"/>
      <c r="P61" s="368"/>
      <c r="Q61" s="368"/>
      <c r="R61" s="7"/>
    </row>
    <row r="62" spans="1:18" ht="15" x14ac:dyDescent="0.25">
      <c r="A62" s="25">
        <f>+CODIGO</f>
        <v>16</v>
      </c>
      <c r="B62" s="393" t="str">
        <f>+B14</f>
        <v>VELASQUEZ CAMPOS DAVIS JONATHAN</v>
      </c>
      <c r="C62" s="394"/>
      <c r="D62" s="394"/>
      <c r="E62" s="394"/>
      <c r="F62" s="394"/>
      <c r="G62" s="394"/>
      <c r="H62" s="395"/>
      <c r="I62" s="379" t="str">
        <f>+I14</f>
        <v>VENTAS</v>
      </c>
      <c r="J62" s="380"/>
      <c r="K62" s="26">
        <f>+K14</f>
        <v>29391</v>
      </c>
      <c r="L62" s="28" t="str">
        <f>+L14</f>
        <v>NO</v>
      </c>
      <c r="M62" s="381"/>
      <c r="N62" s="381"/>
      <c r="O62" s="94"/>
      <c r="P62" s="381"/>
      <c r="Q62" s="381"/>
      <c r="R62" s="7"/>
    </row>
    <row r="63" spans="1:18" ht="4.5" customHeight="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7"/>
    </row>
    <row r="64" spans="1:18" ht="14.25" customHeight="1" x14ac:dyDescent="0.2">
      <c r="A64" s="382" t="s">
        <v>19</v>
      </c>
      <c r="B64" s="383"/>
      <c r="C64" s="383"/>
      <c r="D64" s="383"/>
      <c r="E64" s="383"/>
      <c r="F64" s="383"/>
      <c r="G64" s="383"/>
      <c r="H64" s="383"/>
      <c r="I64" s="383"/>
      <c r="J64" s="383"/>
      <c r="K64" s="384"/>
      <c r="L64" s="9"/>
      <c r="M64" s="9"/>
      <c r="N64" s="9"/>
      <c r="O64" s="9"/>
      <c r="P64" s="9"/>
      <c r="Q64" s="9"/>
      <c r="R64" s="29"/>
    </row>
    <row r="65" spans="1:18" ht="4.5" customHeight="1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5"/>
      <c r="N65" s="5"/>
      <c r="O65" s="5"/>
      <c r="P65" s="5"/>
      <c r="Q65" s="5"/>
      <c r="R65" s="7"/>
    </row>
    <row r="66" spans="1:18" ht="29.25" customHeight="1" x14ac:dyDescent="0.25">
      <c r="A66" s="369" t="s">
        <v>20</v>
      </c>
      <c r="B66" s="370"/>
      <c r="C66" s="371"/>
      <c r="D66" s="31" t="s">
        <v>21</v>
      </c>
      <c r="E66" s="31" t="s">
        <v>22</v>
      </c>
      <c r="F66" s="369" t="s">
        <v>209</v>
      </c>
      <c r="G66" s="370"/>
      <c r="H66" s="370"/>
      <c r="I66" s="371"/>
      <c r="J66" s="372" t="s">
        <v>24</v>
      </c>
      <c r="K66" s="372"/>
      <c r="L66" s="31" t="s">
        <v>25</v>
      </c>
      <c r="M66" s="31" t="s">
        <v>26</v>
      </c>
      <c r="N66" s="369" t="s">
        <v>27</v>
      </c>
      <c r="O66" s="371"/>
      <c r="P66" s="31" t="s">
        <v>28</v>
      </c>
      <c r="Q66" s="32" t="s">
        <v>29</v>
      </c>
      <c r="R66" s="7"/>
    </row>
    <row r="67" spans="1:18" ht="18.75" customHeight="1" x14ac:dyDescent="0.2">
      <c r="A67" s="373" t="str">
        <f>+A19</f>
        <v>GERENTE  VENTAS</v>
      </c>
      <c r="B67" s="374"/>
      <c r="C67" s="375"/>
      <c r="D67" s="28" t="str">
        <f>+D19</f>
        <v>EMPLEADO</v>
      </c>
      <c r="E67" s="28" t="str">
        <f>+E19</f>
        <v>MENSUAL</v>
      </c>
      <c r="F67" s="402" t="str">
        <f>+F19</f>
        <v xml:space="preserve"> SNP ONP</v>
      </c>
      <c r="G67" s="403"/>
      <c r="H67" s="403"/>
      <c r="I67" s="404"/>
      <c r="J67" s="376">
        <f>+J19</f>
        <v>0</v>
      </c>
      <c r="K67" s="376"/>
      <c r="L67" s="33">
        <f>+L19</f>
        <v>38565</v>
      </c>
      <c r="M67" s="33" t="str">
        <f>+M19</f>
        <v/>
      </c>
      <c r="N67" s="377" t="str">
        <f>+N19</f>
        <v/>
      </c>
      <c r="O67" s="378"/>
      <c r="P67" s="34" t="str">
        <f>+P19</f>
        <v/>
      </c>
      <c r="Q67" s="35" t="str">
        <f>+Q19</f>
        <v/>
      </c>
      <c r="R67" s="7"/>
    </row>
    <row r="68" spans="1:18" ht="4.5" customHeight="1" x14ac:dyDescent="0.25">
      <c r="A68" s="5"/>
      <c r="B68" s="5"/>
      <c r="C68" s="5"/>
      <c r="D68" s="36"/>
      <c r="E68" s="36"/>
      <c r="F68" s="5"/>
      <c r="G68" s="5"/>
      <c r="H68" s="5"/>
      <c r="I68" s="5"/>
      <c r="J68" s="5"/>
      <c r="K68" s="5"/>
      <c r="L68" s="5"/>
      <c r="M68" s="37"/>
      <c r="N68" s="37"/>
      <c r="O68" s="37"/>
      <c r="P68" s="37"/>
      <c r="Q68" s="5"/>
      <c r="R68" s="7"/>
    </row>
    <row r="69" spans="1:18" ht="12.75" customHeight="1" x14ac:dyDescent="0.2">
      <c r="A69" s="420" t="s">
        <v>32</v>
      </c>
      <c r="B69" s="385" t="s">
        <v>33</v>
      </c>
      <c r="C69" s="421"/>
      <c r="D69" s="423"/>
      <c r="E69" s="423" t="s">
        <v>34</v>
      </c>
      <c r="F69" s="385" t="s">
        <v>211</v>
      </c>
      <c r="G69" s="386"/>
      <c r="H69" s="385" t="s">
        <v>35</v>
      </c>
      <c r="I69" s="386"/>
      <c r="J69" s="385" t="s">
        <v>213</v>
      </c>
      <c r="K69" s="386"/>
      <c r="L69" s="389" t="s">
        <v>210</v>
      </c>
      <c r="M69" s="405" t="s">
        <v>36</v>
      </c>
      <c r="N69" s="406"/>
      <c r="O69" s="406"/>
      <c r="P69" s="406"/>
      <c r="Q69" s="407"/>
      <c r="R69" s="7"/>
    </row>
    <row r="70" spans="1:18" ht="25.5" customHeight="1" x14ac:dyDescent="0.2">
      <c r="A70" s="420"/>
      <c r="B70" s="387"/>
      <c r="C70" s="422"/>
      <c r="D70" s="423"/>
      <c r="E70" s="423"/>
      <c r="F70" s="387"/>
      <c r="G70" s="388"/>
      <c r="H70" s="387"/>
      <c r="I70" s="388"/>
      <c r="J70" s="387"/>
      <c r="K70" s="388"/>
      <c r="L70" s="390"/>
      <c r="M70" s="408"/>
      <c r="N70" s="409"/>
      <c r="O70" s="409"/>
      <c r="P70" s="409"/>
      <c r="Q70" s="410"/>
      <c r="R70" s="7"/>
    </row>
    <row r="71" spans="1:18" ht="15" x14ac:dyDescent="0.25">
      <c r="A71" s="38">
        <f>+A23</f>
        <v>30</v>
      </c>
      <c r="B71" s="411">
        <f>+B23</f>
        <v>240</v>
      </c>
      <c r="C71" s="411"/>
      <c r="D71" s="40"/>
      <c r="E71" s="39">
        <f>+E23</f>
        <v>0</v>
      </c>
      <c r="F71" s="412">
        <f>+F23</f>
        <v>0</v>
      </c>
      <c r="G71" s="413"/>
      <c r="H71" s="414">
        <f>+H23</f>
        <v>6000</v>
      </c>
      <c r="I71" s="414"/>
      <c r="J71" s="415">
        <f>+J23</f>
        <v>0</v>
      </c>
      <c r="K71" s="416"/>
      <c r="L71" s="40">
        <f>+L23</f>
        <v>0</v>
      </c>
      <c r="M71" s="417" t="str">
        <f>+M23</f>
        <v xml:space="preserve">BCP </v>
      </c>
      <c r="N71" s="418"/>
      <c r="O71" s="418"/>
      <c r="P71" s="418"/>
      <c r="Q71" s="419"/>
      <c r="R71" s="7"/>
    </row>
    <row r="72" spans="1:18" ht="6.75" customHeight="1" x14ac:dyDescent="0.25">
      <c r="A72" s="5" t="s">
        <v>37</v>
      </c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7"/>
    </row>
    <row r="73" spans="1:18" ht="15" customHeight="1" x14ac:dyDescent="0.2">
      <c r="A73" s="427" t="s">
        <v>38</v>
      </c>
      <c r="B73" s="428"/>
      <c r="C73" s="428"/>
      <c r="D73" s="428"/>
      <c r="E73" s="429"/>
      <c r="F73" s="428" t="s">
        <v>39</v>
      </c>
      <c r="G73" s="428"/>
      <c r="H73" s="428"/>
      <c r="I73" s="428"/>
      <c r="J73" s="428"/>
      <c r="K73" s="428"/>
      <c r="L73" s="428"/>
      <c r="M73" s="427" t="s">
        <v>40</v>
      </c>
      <c r="N73" s="428"/>
      <c r="O73" s="428"/>
      <c r="P73" s="428"/>
      <c r="Q73" s="429"/>
      <c r="R73" s="43"/>
    </row>
    <row r="74" spans="1:18" ht="12.75" customHeight="1" x14ac:dyDescent="0.25">
      <c r="A74" s="45" t="str">
        <f>+A26</f>
        <v>Sueldo computable</v>
      </c>
      <c r="B74" s="37"/>
      <c r="C74" s="37"/>
      <c r="D74" s="46"/>
      <c r="E74" s="47">
        <f>+E26</f>
        <v>6000</v>
      </c>
      <c r="F74" s="37"/>
      <c r="G74" s="37" t="str">
        <f>+G26</f>
        <v>AFP Obligatorio.</v>
      </c>
      <c r="H74" s="37"/>
      <c r="I74" s="37"/>
      <c r="J74" s="37"/>
      <c r="K74" s="48">
        <f>+K26</f>
        <v>0</v>
      </c>
      <c r="L74" s="37"/>
      <c r="M74" s="45"/>
      <c r="N74" s="37"/>
      <c r="O74" s="37"/>
      <c r="P74" s="37"/>
      <c r="Q74" s="49"/>
      <c r="R74" s="7"/>
    </row>
    <row r="75" spans="1:18" ht="15" x14ac:dyDescent="0.25">
      <c r="A75" s="45" t="str">
        <f t="shared" ref="A75:A82" si="0">+A27</f>
        <v>Asignación Familiar</v>
      </c>
      <c r="B75" s="37"/>
      <c r="C75" s="37"/>
      <c r="D75" s="46"/>
      <c r="E75" s="47">
        <f t="shared" ref="E75:E82" si="1">+E27</f>
        <v>0</v>
      </c>
      <c r="F75" s="52"/>
      <c r="G75" s="37" t="str">
        <f t="shared" ref="G75:G81" si="2">+G27</f>
        <v>AFP Seguro.</v>
      </c>
      <c r="H75" s="37"/>
      <c r="I75" s="37"/>
      <c r="J75" s="37"/>
      <c r="K75" s="48">
        <f t="shared" ref="K75:K81" si="3">+K27</f>
        <v>0</v>
      </c>
      <c r="L75" s="57"/>
      <c r="M75" s="424" t="s">
        <v>45</v>
      </c>
      <c r="N75" s="425"/>
      <c r="O75" s="58"/>
      <c r="P75" s="48">
        <f>+P27</f>
        <v>540</v>
      </c>
      <c r="Q75" s="59"/>
      <c r="R75" s="7"/>
    </row>
    <row r="76" spans="1:18" ht="15" x14ac:dyDescent="0.25">
      <c r="A76" s="45" t="str">
        <f t="shared" si="0"/>
        <v>Asignación Transporte Movilidad</v>
      </c>
      <c r="B76" s="37"/>
      <c r="C76" s="37"/>
      <c r="D76" s="46"/>
      <c r="E76" s="47">
        <f t="shared" si="1"/>
        <v>399.99999999999898</v>
      </c>
      <c r="F76" s="52"/>
      <c r="G76" s="37" t="str">
        <f t="shared" si="2"/>
        <v>AFP Comisión.</v>
      </c>
      <c r="H76" s="37"/>
      <c r="I76" s="37"/>
      <c r="J76" s="37"/>
      <c r="K76" s="48">
        <f t="shared" si="3"/>
        <v>0</v>
      </c>
      <c r="L76" s="57"/>
      <c r="M76" s="424"/>
      <c r="N76" s="425"/>
      <c r="O76" s="58"/>
      <c r="P76" s="55"/>
      <c r="Q76" s="59"/>
      <c r="R76" s="7"/>
    </row>
    <row r="77" spans="1:18" ht="15" x14ac:dyDescent="0.25">
      <c r="A77" s="45" t="str">
        <f t="shared" si="0"/>
        <v>Asignación Educación</v>
      </c>
      <c r="B77" s="37"/>
      <c r="C77" s="37"/>
      <c r="D77" s="46"/>
      <c r="E77" s="47">
        <f t="shared" si="1"/>
        <v>500.00000000000102</v>
      </c>
      <c r="F77" s="52"/>
      <c r="G77" s="37" t="str">
        <f t="shared" si="2"/>
        <v>ONP</v>
      </c>
      <c r="H77" s="37"/>
      <c r="I77" s="37"/>
      <c r="J77" s="37"/>
      <c r="K77" s="48">
        <f t="shared" si="3"/>
        <v>780</v>
      </c>
      <c r="L77" s="57"/>
      <c r="M77" s="424"/>
      <c r="N77" s="425"/>
      <c r="O77" s="53"/>
      <c r="P77" s="55"/>
      <c r="Q77" s="59"/>
      <c r="R77" s="7"/>
    </row>
    <row r="78" spans="1:18" ht="12.75" customHeight="1" x14ac:dyDescent="0.25">
      <c r="A78" s="45" t="str">
        <f t="shared" si="0"/>
        <v>Bono Producción</v>
      </c>
      <c r="B78" s="37"/>
      <c r="C78" s="37"/>
      <c r="D78" s="46"/>
      <c r="E78" s="47">
        <f t="shared" si="1"/>
        <v>0</v>
      </c>
      <c r="F78" s="52"/>
      <c r="G78" s="37" t="str">
        <f t="shared" si="2"/>
        <v>Retenciones 5ta</v>
      </c>
      <c r="H78" s="37"/>
      <c r="I78" s="37"/>
      <c r="J78" s="37"/>
      <c r="K78" s="48">
        <f t="shared" si="3"/>
        <v>675.93333333333339</v>
      </c>
      <c r="L78" s="62"/>
      <c r="M78" s="424"/>
      <c r="N78" s="425"/>
      <c r="O78" s="61"/>
      <c r="P78" s="55"/>
      <c r="Q78" s="59"/>
      <c r="R78" s="7"/>
    </row>
    <row r="79" spans="1:18" ht="15" x14ac:dyDescent="0.25">
      <c r="A79" s="45" t="str">
        <f t="shared" si="0"/>
        <v>Subsidios, Des.Medico o Otros</v>
      </c>
      <c r="B79" s="37"/>
      <c r="C79" s="37"/>
      <c r="D79" s="46"/>
      <c r="E79" s="47">
        <f t="shared" si="1"/>
        <v>0</v>
      </c>
      <c r="F79" s="52"/>
      <c r="G79" s="37" t="str">
        <f t="shared" si="2"/>
        <v>Adelanto Quincena</v>
      </c>
      <c r="H79" s="37"/>
      <c r="I79" s="37"/>
      <c r="J79" s="37"/>
      <c r="K79" s="48">
        <f t="shared" si="3"/>
        <v>0</v>
      </c>
      <c r="L79" s="63"/>
      <c r="M79" s="64"/>
      <c r="N79" s="61"/>
      <c r="O79" s="61"/>
      <c r="P79" s="53"/>
      <c r="Q79" s="59"/>
      <c r="R79" s="7"/>
    </row>
    <row r="80" spans="1:18" ht="15" x14ac:dyDescent="0.25">
      <c r="A80" s="45" t="str">
        <f t="shared" si="0"/>
        <v>Vacaciones</v>
      </c>
      <c r="B80" s="37"/>
      <c r="C80" s="37"/>
      <c r="D80" s="46"/>
      <c r="E80" s="47">
        <f t="shared" si="1"/>
        <v>0</v>
      </c>
      <c r="F80" s="52"/>
      <c r="G80" s="37" t="str">
        <f t="shared" si="2"/>
        <v>Descuentos por faltas</v>
      </c>
      <c r="H80" s="37"/>
      <c r="I80" s="37"/>
      <c r="J80" s="37"/>
      <c r="K80" s="48">
        <f t="shared" si="3"/>
        <v>0</v>
      </c>
      <c r="L80" s="65"/>
      <c r="M80" s="66"/>
      <c r="N80" s="56"/>
      <c r="O80" s="61"/>
      <c r="P80" s="53"/>
      <c r="Q80" s="59"/>
      <c r="R80" s="7"/>
    </row>
    <row r="81" spans="1:18" ht="15" x14ac:dyDescent="0.25">
      <c r="A81" s="45" t="str">
        <f t="shared" si="0"/>
        <v>Gratificaciones</v>
      </c>
      <c r="B81" s="37"/>
      <c r="C81" s="37"/>
      <c r="D81" s="46"/>
      <c r="E81" s="47">
        <f t="shared" si="1"/>
        <v>0</v>
      </c>
      <c r="F81" s="52"/>
      <c r="G81" s="37" t="str">
        <f t="shared" si="2"/>
        <v>Otros descuentos</v>
      </c>
      <c r="H81" s="37"/>
      <c r="I81" s="37"/>
      <c r="J81" s="37"/>
      <c r="K81" s="48">
        <f t="shared" si="3"/>
        <v>0</v>
      </c>
      <c r="L81" s="55"/>
      <c r="M81" s="67"/>
      <c r="N81" s="55"/>
      <c r="O81" s="55"/>
      <c r="P81" s="55"/>
      <c r="Q81" s="59"/>
      <c r="R81" s="7"/>
    </row>
    <row r="82" spans="1:18" ht="15" x14ac:dyDescent="0.25">
      <c r="A82" s="45" t="str">
        <f t="shared" si="0"/>
        <v>Reintegro</v>
      </c>
      <c r="B82" s="37"/>
      <c r="C82" s="37"/>
      <c r="D82" s="46"/>
      <c r="E82" s="47">
        <f t="shared" si="1"/>
        <v>0</v>
      </c>
      <c r="F82" s="52"/>
      <c r="G82" s="52"/>
      <c r="H82" s="54"/>
      <c r="I82" s="54"/>
      <c r="J82" s="54"/>
      <c r="K82" s="48">
        <v>0</v>
      </c>
      <c r="L82" s="55"/>
      <c r="M82" s="67"/>
      <c r="N82" s="55"/>
      <c r="O82" s="55"/>
      <c r="P82" s="55"/>
      <c r="Q82" s="59"/>
      <c r="R82" s="7"/>
    </row>
    <row r="83" spans="1:18" ht="15" x14ac:dyDescent="0.25">
      <c r="A83" s="45"/>
      <c r="B83" s="37"/>
      <c r="C83" s="37"/>
      <c r="D83" s="46"/>
      <c r="E83" s="47"/>
      <c r="F83" s="52"/>
      <c r="G83" s="53"/>
      <c r="H83" s="54"/>
      <c r="I83" s="54"/>
      <c r="J83" s="54"/>
      <c r="K83" s="46"/>
      <c r="L83" s="55"/>
      <c r="M83" s="67"/>
      <c r="N83" s="55"/>
      <c r="O83" s="55"/>
      <c r="P83" s="55"/>
      <c r="Q83" s="59"/>
      <c r="R83" s="7"/>
    </row>
    <row r="84" spans="1:18" ht="15" x14ac:dyDescent="0.25">
      <c r="A84" s="50"/>
      <c r="B84" s="37"/>
      <c r="C84" s="37"/>
      <c r="D84" s="55"/>
      <c r="E84" s="47"/>
      <c r="F84" s="52"/>
      <c r="G84" s="52"/>
      <c r="H84" s="52"/>
      <c r="I84" s="52"/>
      <c r="J84" s="52"/>
      <c r="K84" s="52"/>
      <c r="L84" s="55"/>
      <c r="M84" s="67"/>
      <c r="N84" s="55"/>
      <c r="O84" s="55"/>
      <c r="P84" s="55"/>
      <c r="Q84" s="59"/>
      <c r="R84" s="7"/>
    </row>
    <row r="85" spans="1:18" ht="17.25" customHeight="1" x14ac:dyDescent="0.2">
      <c r="A85" s="426" t="s">
        <v>56</v>
      </c>
      <c r="B85" s="426"/>
      <c r="C85" s="426"/>
      <c r="D85" s="426"/>
      <c r="E85" s="68">
        <f>+SUM(E74:E84)</f>
        <v>6900</v>
      </c>
      <c r="F85" s="426" t="s">
        <v>57</v>
      </c>
      <c r="G85" s="426"/>
      <c r="H85" s="426"/>
      <c r="I85" s="426"/>
      <c r="J85" s="426"/>
      <c r="K85" s="426"/>
      <c r="L85" s="69">
        <f>+SUM(K74:K84)</f>
        <v>1455.9333333333334</v>
      </c>
      <c r="M85" s="426" t="s">
        <v>58</v>
      </c>
      <c r="N85" s="426"/>
      <c r="O85" s="426"/>
      <c r="P85" s="426"/>
      <c r="Q85" s="69">
        <f>+E85-L85</f>
        <v>5444.0666666666666</v>
      </c>
      <c r="R85" s="7"/>
    </row>
    <row r="86" spans="1:18" ht="12.75" customHeight="1" x14ac:dyDescent="0.25">
      <c r="A86" s="5"/>
      <c r="B86" s="5"/>
      <c r="C86" s="5"/>
      <c r="D86" s="5"/>
      <c r="E86" s="72"/>
      <c r="F86" s="5"/>
      <c r="G86" s="5"/>
      <c r="H86" s="5"/>
      <c r="I86" s="5"/>
      <c r="J86" s="5"/>
      <c r="K86" s="5"/>
      <c r="L86" s="52"/>
      <c r="M86" s="5"/>
      <c r="N86" s="5"/>
      <c r="O86" s="5"/>
      <c r="P86" s="5"/>
      <c r="Q86" s="5"/>
      <c r="R86" s="70"/>
    </row>
    <row r="87" spans="1:18" ht="12.75" customHeight="1" x14ac:dyDescent="0.25">
      <c r="A87" s="5"/>
      <c r="B87" s="5"/>
      <c r="C87" s="5"/>
      <c r="D87" s="5"/>
      <c r="E87" s="73"/>
      <c r="F87" s="5"/>
      <c r="G87" s="5"/>
      <c r="H87" s="358"/>
      <c r="I87" s="358"/>
      <c r="J87" s="5"/>
      <c r="K87" s="73"/>
      <c r="L87" s="74"/>
      <c r="M87" s="5"/>
      <c r="N87" s="5"/>
      <c r="O87" s="5"/>
      <c r="P87" s="52"/>
      <c r="Q87" s="52"/>
      <c r="R87" s="70"/>
    </row>
    <row r="88" spans="1:18" ht="12.75" customHeight="1" x14ac:dyDescent="0.25">
      <c r="A88" s="5"/>
      <c r="B88" s="5"/>
      <c r="C88" s="5"/>
      <c r="D88" s="5"/>
      <c r="E88" s="52"/>
      <c r="F88" s="5"/>
      <c r="G88" s="5"/>
      <c r="H88" s="5"/>
      <c r="I88" s="5"/>
      <c r="J88" s="5"/>
      <c r="K88" s="52"/>
      <c r="L88" s="5"/>
      <c r="M88" s="5"/>
      <c r="N88" s="5"/>
      <c r="O88" s="5"/>
      <c r="P88" s="5"/>
      <c r="Q88" s="52"/>
      <c r="R88" s="70"/>
    </row>
    <row r="89" spans="1:18" ht="11.25" customHeight="1" x14ac:dyDescent="0.25">
      <c r="A89" s="5"/>
      <c r="B89" s="5"/>
      <c r="C89" s="5"/>
      <c r="D89" s="5"/>
      <c r="E89" s="76"/>
      <c r="F89" s="77"/>
      <c r="G89" s="5"/>
      <c r="H89" s="5"/>
      <c r="I89" s="5"/>
      <c r="J89" s="5"/>
      <c r="K89" s="73"/>
      <c r="L89" s="5"/>
      <c r="M89" s="5"/>
      <c r="N89" s="5"/>
      <c r="O89" s="5"/>
      <c r="P89" s="5"/>
      <c r="Q89" s="5"/>
      <c r="R89" s="7"/>
    </row>
    <row r="90" spans="1:18" ht="12.75" customHeight="1" x14ac:dyDescent="0.25">
      <c r="A90" s="5"/>
      <c r="B90" s="359"/>
      <c r="C90" s="359"/>
      <c r="D90" s="359"/>
      <c r="E90" s="359"/>
      <c r="F90" s="359"/>
      <c r="G90" s="5"/>
      <c r="H90" s="5"/>
      <c r="I90" s="5"/>
      <c r="J90" s="360"/>
      <c r="K90" s="360"/>
      <c r="L90" s="5"/>
      <c r="M90" s="78"/>
      <c r="N90" s="78"/>
      <c r="O90" s="78"/>
      <c r="P90" s="78"/>
      <c r="Q90" s="78"/>
      <c r="R90" s="7"/>
    </row>
    <row r="91" spans="1:18" ht="15" customHeight="1" x14ac:dyDescent="0.25">
      <c r="A91" s="6"/>
      <c r="B91" s="361" t="s">
        <v>59</v>
      </c>
      <c r="C91" s="361"/>
      <c r="D91" s="361"/>
      <c r="E91" s="361"/>
      <c r="F91" s="361"/>
      <c r="G91" s="6"/>
      <c r="H91" s="6"/>
      <c r="I91" s="6"/>
      <c r="J91" s="6"/>
      <c r="K91" s="6"/>
      <c r="L91" s="361"/>
      <c r="M91" s="361"/>
      <c r="N91" s="362" t="s">
        <v>60</v>
      </c>
      <c r="O91" s="362"/>
      <c r="P91" s="362"/>
      <c r="Q91" s="6"/>
      <c r="R91" s="7"/>
    </row>
    <row r="92" spans="1:18" ht="15" x14ac:dyDescent="0.25">
      <c r="A92" s="5"/>
      <c r="B92" s="436"/>
      <c r="C92" s="436"/>
      <c r="D92" s="436"/>
      <c r="E92" s="436"/>
      <c r="F92" s="436"/>
      <c r="G92" s="5"/>
      <c r="H92" s="81"/>
      <c r="I92" s="81"/>
      <c r="J92" s="81"/>
      <c r="K92" s="81"/>
      <c r="L92" s="81"/>
      <c r="M92" s="363" t="str">
        <f>CONCATENATE(E62,"  ",B62)</f>
        <v xml:space="preserve">  VELASQUEZ CAMPOS DAVIS JONATHAN</v>
      </c>
      <c r="N92" s="363"/>
      <c r="O92" s="363"/>
      <c r="P92" s="363"/>
      <c r="Q92" s="363"/>
      <c r="R92" s="7"/>
    </row>
    <row r="93" spans="1:18" ht="13.5" customHeight="1" x14ac:dyDescent="0.25">
      <c r="A93" s="5"/>
      <c r="B93" s="5"/>
      <c r="C93" s="5"/>
      <c r="D93" s="30"/>
      <c r="E93" s="30"/>
      <c r="F93" s="5"/>
      <c r="G93" s="5"/>
      <c r="H93" s="30"/>
      <c r="I93" s="30"/>
      <c r="J93" s="30"/>
      <c r="K93" s="30"/>
      <c r="L93" s="30"/>
      <c r="M93" s="364" t="str">
        <f>CONCATENATE(I61," ",I62)</f>
        <v>D.N.I. VENTAS</v>
      </c>
      <c r="N93" s="364"/>
      <c r="O93" s="364"/>
      <c r="P93" s="364"/>
      <c r="Q93" s="364"/>
      <c r="R93" s="7"/>
    </row>
    <row r="94" spans="1:18" ht="3" customHeight="1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7"/>
    </row>
    <row r="95" spans="1:18" x14ac:dyDescent="0.2"/>
    <row r="96" spans="1:18" x14ac:dyDescent="0.2"/>
    <row r="97" spans="1:17" x14ac:dyDescent="0.2">
      <c r="H97" s="86"/>
    </row>
    <row r="98" spans="1:17" x14ac:dyDescent="0.2"/>
    <row r="99" spans="1:17" x14ac:dyDescent="0.2"/>
    <row r="100" spans="1:17" x14ac:dyDescent="0.2"/>
    <row r="101" spans="1:17" x14ac:dyDescent="0.2"/>
    <row r="102" spans="1:17" s="2" customForma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</row>
    <row r="103" spans="1:17" s="2" customForma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</row>
    <row r="104" spans="1:17" s="2" customForma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</row>
    <row r="105" spans="1:17" s="2" customForma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</row>
    <row r="106" spans="1:17" s="2" customForma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</row>
    <row r="107" spans="1:17" x14ac:dyDescent="0.2"/>
    <row r="108" spans="1:17" x14ac:dyDescent="0.2"/>
  </sheetData>
  <mergeCells count="131">
    <mergeCell ref="B13:H13"/>
    <mergeCell ref="B14:H14"/>
    <mergeCell ref="F18:I18"/>
    <mergeCell ref="F19:I19"/>
    <mergeCell ref="B92:F92"/>
    <mergeCell ref="M78:N78"/>
    <mergeCell ref="A85:D85"/>
    <mergeCell ref="F85:K85"/>
    <mergeCell ref="M85:P85"/>
    <mergeCell ref="A73:E73"/>
    <mergeCell ref="M75:N75"/>
    <mergeCell ref="M76:N76"/>
    <mergeCell ref="M77:N77"/>
    <mergeCell ref="J69:K70"/>
    <mergeCell ref="L69:L70"/>
    <mergeCell ref="M69:Q70"/>
    <mergeCell ref="B71:C71"/>
    <mergeCell ref="F71:G71"/>
    <mergeCell ref="H71:I71"/>
    <mergeCell ref="J71:K71"/>
    <mergeCell ref="M71:Q71"/>
    <mergeCell ref="A69:A70"/>
    <mergeCell ref="B69:C70"/>
    <mergeCell ref="D69:D70"/>
    <mergeCell ref="E69:E70"/>
    <mergeCell ref="F69:G70"/>
    <mergeCell ref="H69:I70"/>
    <mergeCell ref="A66:C66"/>
    <mergeCell ref="F73:L73"/>
    <mergeCell ref="M73:Q73"/>
    <mergeCell ref="J66:K66"/>
    <mergeCell ref="N66:O66"/>
    <mergeCell ref="A67:C67"/>
    <mergeCell ref="J67:K67"/>
    <mergeCell ref="N67:O67"/>
    <mergeCell ref="I62:J62"/>
    <mergeCell ref="M62:N62"/>
    <mergeCell ref="F66:I66"/>
    <mergeCell ref="F67:I67"/>
    <mergeCell ref="P62:Q62"/>
    <mergeCell ref="A64:K64"/>
    <mergeCell ref="A59:D59"/>
    <mergeCell ref="I61:J61"/>
    <mergeCell ref="M61:N61"/>
    <mergeCell ref="P61:Q61"/>
    <mergeCell ref="B61:H61"/>
    <mergeCell ref="B62:H62"/>
    <mergeCell ref="A54:D54"/>
    <mergeCell ref="A56:B56"/>
    <mergeCell ref="C56:F56"/>
    <mergeCell ref="G56:K56"/>
    <mergeCell ref="L56:Q56"/>
    <mergeCell ref="A57:B57"/>
    <mergeCell ref="C57:F57"/>
    <mergeCell ref="G57:K57"/>
    <mergeCell ref="L57:Q57"/>
    <mergeCell ref="A49:Q49"/>
    <mergeCell ref="A51:Q51"/>
    <mergeCell ref="P52:Q52"/>
    <mergeCell ref="F53:G53"/>
    <mergeCell ref="I53:J53"/>
    <mergeCell ref="L53:M53"/>
    <mergeCell ref="B43:F43"/>
    <mergeCell ref="L43:M43"/>
    <mergeCell ref="N43:P43"/>
    <mergeCell ref="B44:F44"/>
    <mergeCell ref="M44:Q44"/>
    <mergeCell ref="M45:Q45"/>
    <mergeCell ref="M30:N30"/>
    <mergeCell ref="A37:D37"/>
    <mergeCell ref="F37:K37"/>
    <mergeCell ref="M37:P37"/>
    <mergeCell ref="H39:I39"/>
    <mergeCell ref="B42:F42"/>
    <mergeCell ref="J42:K42"/>
    <mergeCell ref="A25:E25"/>
    <mergeCell ref="F25:L25"/>
    <mergeCell ref="M25:Q25"/>
    <mergeCell ref="M27:N27"/>
    <mergeCell ref="M28:N28"/>
    <mergeCell ref="M29:N29"/>
    <mergeCell ref="M21:Q22"/>
    <mergeCell ref="B23:C23"/>
    <mergeCell ref="F23:G23"/>
    <mergeCell ref="H23:I23"/>
    <mergeCell ref="J23:K23"/>
    <mergeCell ref="M23:Q23"/>
    <mergeCell ref="A21:A22"/>
    <mergeCell ref="B21:C22"/>
    <mergeCell ref="D21:D22"/>
    <mergeCell ref="E21:E22"/>
    <mergeCell ref="F21:G22"/>
    <mergeCell ref="H21:I22"/>
    <mergeCell ref="A8:B8"/>
    <mergeCell ref="L8:Q8"/>
    <mergeCell ref="A9:B9"/>
    <mergeCell ref="L9:Q9"/>
    <mergeCell ref="F3:L3"/>
    <mergeCell ref="P3:Q3"/>
    <mergeCell ref="F5:G5"/>
    <mergeCell ref="I5:J5"/>
    <mergeCell ref="L5:M5"/>
    <mergeCell ref="A6:D6"/>
    <mergeCell ref="I8:K8"/>
    <mergeCell ref="C8:H8"/>
    <mergeCell ref="C9:H9"/>
    <mergeCell ref="I9:K9"/>
    <mergeCell ref="H87:I87"/>
    <mergeCell ref="B90:F90"/>
    <mergeCell ref="J90:K90"/>
    <mergeCell ref="B91:F91"/>
    <mergeCell ref="L91:M91"/>
    <mergeCell ref="N91:P91"/>
    <mergeCell ref="M92:Q92"/>
    <mergeCell ref="M93:Q93"/>
    <mergeCell ref="A11:D11"/>
    <mergeCell ref="I13:J13"/>
    <mergeCell ref="M13:N13"/>
    <mergeCell ref="P13:Q13"/>
    <mergeCell ref="A18:C18"/>
    <mergeCell ref="J18:K18"/>
    <mergeCell ref="N18:O18"/>
    <mergeCell ref="A19:C19"/>
    <mergeCell ref="J19:K19"/>
    <mergeCell ref="N19:O19"/>
    <mergeCell ref="I14:J14"/>
    <mergeCell ref="M14:N14"/>
    <mergeCell ref="P14:Q14"/>
    <mergeCell ref="A16:K16"/>
    <mergeCell ref="J21:K22"/>
    <mergeCell ref="L21:L22"/>
  </mergeCells>
  <pageMargins left="0.51181102362204722" right="0.27559055118110237" top="0.35433070866141736" bottom="0.19685039370078741" header="0.31496062992125984" footer="0.19685039370078741"/>
  <pageSetup paperSize="5" scale="63" orientation="portrait" r:id="rId1"/>
  <ignoredErrors>
    <ignoredError sqref="I5 L5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TABLA!$C$1:$C$12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S28"/>
  <sheetViews>
    <sheetView workbookViewId="0">
      <pane xSplit="3" ySplit="4" topLeftCell="AB5" activePane="bottomRight" state="frozen"/>
      <selection pane="topRight" activeCell="D1" sqref="D1"/>
      <selection pane="bottomLeft" activeCell="A5" sqref="A5"/>
      <selection pane="bottomRight" activeCell="AG21" sqref="AG21"/>
    </sheetView>
  </sheetViews>
  <sheetFormatPr defaultColWidth="11.42578125" defaultRowHeight="15" x14ac:dyDescent="0.25"/>
  <cols>
    <col min="1" max="1" width="10.140625" customWidth="1"/>
    <col min="2" max="2" width="38.42578125" customWidth="1"/>
    <col min="3" max="3" width="12.5703125" customWidth="1"/>
    <col min="4" max="4" width="12.7109375" customWidth="1"/>
    <col min="5" max="6" width="16.140625" customWidth="1"/>
    <col min="7" max="8" width="15.28515625" customWidth="1"/>
    <col min="9" max="9" width="12" customWidth="1"/>
    <col min="10" max="10" width="10.42578125" customWidth="1"/>
    <col min="27" max="27" width="10.28515625" customWidth="1"/>
    <col min="28" max="28" width="10.85546875" customWidth="1"/>
    <col min="29" max="31" width="10.28515625" customWidth="1"/>
    <col min="32" max="32" width="13.28515625" customWidth="1"/>
    <col min="35" max="35" width="2.7109375" hidden="1" customWidth="1"/>
    <col min="36" max="37" width="11.42578125" hidden="1" customWidth="1"/>
    <col min="38" max="38" width="6.5703125" hidden="1" customWidth="1"/>
    <col min="39" max="39" width="2.42578125" hidden="1" customWidth="1"/>
    <col min="40" max="40" width="13.7109375" hidden="1" customWidth="1"/>
    <col min="41" max="41" width="11.42578125" hidden="1" customWidth="1"/>
    <col min="42" max="43" width="2" hidden="1" customWidth="1"/>
    <col min="44" max="44" width="1.28515625" hidden="1" customWidth="1"/>
    <col min="45" max="45" width="11.42578125" hidden="1" customWidth="1"/>
  </cols>
  <sheetData>
    <row r="1" spans="1:44" ht="15.75" customHeight="1" thickBot="1" x14ac:dyDescent="0.3"/>
    <row r="2" spans="1:44" ht="15.75" customHeight="1" x14ac:dyDescent="0.25">
      <c r="A2">
        <v>1</v>
      </c>
      <c r="B2">
        <f t="shared" ref="B2:AG2" si="0">+A2+1</f>
        <v>2</v>
      </c>
      <c r="D2">
        <f>+B2+1</f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ref="H2" si="1">+G2+1</f>
        <v>7</v>
      </c>
      <c r="I2">
        <f t="shared" ref="I2" si="2">+H2+1</f>
        <v>8</v>
      </c>
      <c r="J2">
        <f t="shared" si="0"/>
        <v>9</v>
      </c>
      <c r="K2">
        <f t="shared" si="0"/>
        <v>10</v>
      </c>
      <c r="L2">
        <f t="shared" si="0"/>
        <v>11</v>
      </c>
      <c r="M2">
        <f t="shared" si="0"/>
        <v>12</v>
      </c>
      <c r="N2">
        <f t="shared" si="0"/>
        <v>13</v>
      </c>
      <c r="O2">
        <f t="shared" si="0"/>
        <v>14</v>
      </c>
      <c r="P2">
        <f t="shared" si="0"/>
        <v>15</v>
      </c>
      <c r="Q2">
        <f t="shared" si="0"/>
        <v>16</v>
      </c>
      <c r="R2">
        <f t="shared" si="0"/>
        <v>17</v>
      </c>
      <c r="S2">
        <f t="shared" si="0"/>
        <v>18</v>
      </c>
      <c r="T2">
        <f t="shared" si="0"/>
        <v>19</v>
      </c>
      <c r="U2">
        <f t="shared" si="0"/>
        <v>20</v>
      </c>
      <c r="V2">
        <f t="shared" si="0"/>
        <v>21</v>
      </c>
      <c r="W2">
        <f t="shared" si="0"/>
        <v>22</v>
      </c>
      <c r="X2">
        <f t="shared" si="0"/>
        <v>23</v>
      </c>
      <c r="Y2">
        <f t="shared" si="0"/>
        <v>24</v>
      </c>
      <c r="Z2">
        <f t="shared" si="0"/>
        <v>25</v>
      </c>
      <c r="AA2">
        <f t="shared" si="0"/>
        <v>26</v>
      </c>
      <c r="AB2">
        <f t="shared" si="0"/>
        <v>27</v>
      </c>
      <c r="AC2">
        <f t="shared" si="0"/>
        <v>28</v>
      </c>
      <c r="AD2">
        <f t="shared" si="0"/>
        <v>29</v>
      </c>
      <c r="AE2">
        <f t="shared" si="0"/>
        <v>30</v>
      </c>
      <c r="AF2">
        <f t="shared" si="0"/>
        <v>31</v>
      </c>
      <c r="AG2">
        <f t="shared" si="0"/>
        <v>32</v>
      </c>
      <c r="AI2" s="446" t="s">
        <v>201</v>
      </c>
      <c r="AJ2" s="447"/>
      <c r="AK2" s="447"/>
      <c r="AL2" s="447"/>
      <c r="AM2" s="447"/>
      <c r="AN2" s="447"/>
      <c r="AO2" s="447"/>
      <c r="AP2" s="447"/>
      <c r="AQ2" s="447"/>
      <c r="AR2" s="448"/>
    </row>
    <row r="3" spans="1:44" ht="15.75" customHeight="1" x14ac:dyDescent="0.25">
      <c r="A3" s="439" t="s">
        <v>200</v>
      </c>
      <c r="B3" s="439" t="s">
        <v>199</v>
      </c>
      <c r="C3" s="439" t="s">
        <v>219</v>
      </c>
      <c r="D3" s="437" t="s">
        <v>198</v>
      </c>
      <c r="E3" s="437" t="s">
        <v>197</v>
      </c>
      <c r="F3" s="437" t="s">
        <v>196</v>
      </c>
      <c r="G3" s="437" t="s">
        <v>122</v>
      </c>
      <c r="H3" s="437" t="s">
        <v>262</v>
      </c>
      <c r="I3" s="439" t="s">
        <v>195</v>
      </c>
      <c r="J3" s="440" t="s">
        <v>194</v>
      </c>
      <c r="K3" s="441"/>
      <c r="L3" s="441"/>
      <c r="M3" s="441"/>
      <c r="N3" s="441"/>
      <c r="O3" s="441"/>
      <c r="P3" s="441"/>
      <c r="Q3" s="441"/>
      <c r="R3" s="441"/>
      <c r="S3" s="441"/>
      <c r="T3" s="441"/>
      <c r="U3" s="441"/>
      <c r="V3" s="441"/>
      <c r="W3" s="441"/>
      <c r="X3" s="442"/>
      <c r="Y3" s="437" t="s">
        <v>193</v>
      </c>
      <c r="Z3" s="437" t="s">
        <v>192</v>
      </c>
      <c r="AA3" s="444" t="s">
        <v>191</v>
      </c>
      <c r="AB3" s="444" t="s">
        <v>190</v>
      </c>
      <c r="AC3" s="444" t="s">
        <v>189</v>
      </c>
      <c r="AD3" s="444" t="s">
        <v>188</v>
      </c>
      <c r="AE3" s="444" t="s">
        <v>187</v>
      </c>
      <c r="AF3" s="444" t="s">
        <v>186</v>
      </c>
      <c r="AG3" s="444" t="s">
        <v>185</v>
      </c>
      <c r="AI3" s="449"/>
      <c r="AJ3" s="450"/>
      <c r="AK3" s="450"/>
      <c r="AL3" s="450"/>
      <c r="AM3" s="450"/>
      <c r="AN3" s="450"/>
      <c r="AO3" s="450"/>
      <c r="AP3" s="450"/>
      <c r="AQ3" s="450"/>
      <c r="AR3" s="451"/>
    </row>
    <row r="4" spans="1:44" x14ac:dyDescent="0.25">
      <c r="A4" s="439"/>
      <c r="B4" s="439"/>
      <c r="C4" s="439"/>
      <c r="D4" s="438"/>
      <c r="E4" s="438"/>
      <c r="F4" s="438"/>
      <c r="G4" s="438"/>
      <c r="H4" s="438"/>
      <c r="I4" s="439"/>
      <c r="J4" s="92" t="s">
        <v>184</v>
      </c>
      <c r="K4" s="92" t="s">
        <v>183</v>
      </c>
      <c r="L4" s="92" t="s">
        <v>182</v>
      </c>
      <c r="M4" s="92" t="s">
        <v>181</v>
      </c>
      <c r="N4" s="92" t="s">
        <v>180</v>
      </c>
      <c r="O4" s="92" t="s">
        <v>179</v>
      </c>
      <c r="P4" s="92" t="s">
        <v>178</v>
      </c>
      <c r="Q4" s="92" t="s">
        <v>173</v>
      </c>
      <c r="R4" s="92" t="s">
        <v>177</v>
      </c>
      <c r="S4" s="92" t="s">
        <v>176</v>
      </c>
      <c r="T4" s="92" t="s">
        <v>175</v>
      </c>
      <c r="U4" s="92" t="s">
        <v>174</v>
      </c>
      <c r="V4" s="92" t="s">
        <v>4</v>
      </c>
      <c r="W4" s="92" t="s">
        <v>173</v>
      </c>
      <c r="X4" s="92" t="s">
        <v>131</v>
      </c>
      <c r="Y4" s="438"/>
      <c r="Z4" s="438"/>
      <c r="AA4" s="445"/>
      <c r="AB4" s="445"/>
      <c r="AC4" s="445"/>
      <c r="AD4" s="445"/>
      <c r="AE4" s="445"/>
      <c r="AF4" s="445"/>
      <c r="AG4" s="445"/>
      <c r="AI4" s="449"/>
      <c r="AJ4" s="450"/>
      <c r="AK4" s="450"/>
      <c r="AL4" s="450"/>
      <c r="AM4" s="450"/>
      <c r="AN4" s="450"/>
      <c r="AO4" s="450"/>
      <c r="AP4" s="450"/>
      <c r="AQ4" s="450"/>
      <c r="AR4" s="451"/>
    </row>
    <row r="5" spans="1:44" s="283" customFormat="1" ht="12.75" customHeight="1" x14ac:dyDescent="0.2">
      <c r="A5" s="274">
        <v>9117942</v>
      </c>
      <c r="B5" s="275" t="str">
        <f>IFERROR(VLOOKUP(A5,'PLLA PARA EL SISTEMA'!$B$15:$AK$42,2,0),"")</f>
        <v>AYUDANTE SULCA LOURDES ISABEL</v>
      </c>
      <c r="C5" s="276">
        <f>IFERROR(VLOOKUP(A5,'PLLA PARA EL SISTEMA'!$B$15:$AK$42,7,0),"")</f>
        <v>39818</v>
      </c>
      <c r="D5" s="277">
        <f>IFERROR(VLOOKUP(A5,'PLLA PARA EL SISTEMA'!$B$15:$AK$42,20,0),"")</f>
        <v>2310</v>
      </c>
      <c r="E5" s="277">
        <f>IFERROR(VLOOKUP(A5,'PLLA PARA EL SISTEMA'!$B$15:$AK$42,22,0),"")</f>
        <v>85</v>
      </c>
      <c r="F5" s="277">
        <f>IFERROR(VLOOKUP(A5,'PLLA PARA EL SISTEMA'!$B$15:$AK$42,35,0),"")</f>
        <v>405</v>
      </c>
      <c r="G5" s="277">
        <f>IFERROR(VLOOKUP(A5,'PLLA PARA EL SISTEMA'!$B$15:$AK$42,36,0),"")</f>
        <v>0</v>
      </c>
      <c r="H5" s="277">
        <f>IFERROR(VLOOKUP(A5,'PLLA PARA EL SISTEMA'!$B$15:$AK$42,23,0),"")</f>
        <v>0</v>
      </c>
      <c r="I5" s="278">
        <f>SUM(D5:H5)</f>
        <v>2800</v>
      </c>
      <c r="J5" s="279">
        <f t="shared" ref="J5:J26" si="3">+I5</f>
        <v>2800</v>
      </c>
      <c r="K5" s="279">
        <f t="shared" ref="K5:K26" si="4">+I5</f>
        <v>2800</v>
      </c>
      <c r="L5" s="279">
        <f t="shared" ref="L5:L26" si="5">+I5</f>
        <v>2800</v>
      </c>
      <c r="M5" s="279">
        <f t="shared" ref="M5:M26" si="6">+I5</f>
        <v>2800</v>
      </c>
      <c r="N5" s="279">
        <f t="shared" ref="N5:N26" si="7">+I5</f>
        <v>2800</v>
      </c>
      <c r="O5" s="279">
        <f t="shared" ref="O5:O26" si="8">+I5</f>
        <v>2800</v>
      </c>
      <c r="P5" s="279">
        <f t="shared" ref="P5:P26" si="9">+I5</f>
        <v>2800</v>
      </c>
      <c r="Q5" s="279">
        <f t="shared" ref="Q5:Q26" si="10">IFERROR((D5+E5)*1.09,"")</f>
        <v>2610.5500000000002</v>
      </c>
      <c r="R5" s="279">
        <f t="shared" ref="R5:R26" si="11">+I5</f>
        <v>2800</v>
      </c>
      <c r="S5" s="279">
        <f t="shared" ref="S5:S26" si="12">+I5</f>
        <v>2800</v>
      </c>
      <c r="T5" s="279">
        <f t="shared" ref="T5:T26" si="13">+I5</f>
        <v>2800</v>
      </c>
      <c r="U5" s="279">
        <f t="shared" ref="U5:U26" si="14">+I5</f>
        <v>2800</v>
      </c>
      <c r="V5" s="279">
        <f t="shared" ref="V5:V26" si="15">+I5</f>
        <v>2800</v>
      </c>
      <c r="W5" s="279">
        <f t="shared" ref="W5:W26" si="16">IFERROR((D5+E5)*1.09,"")</f>
        <v>2610.5500000000002</v>
      </c>
      <c r="X5" s="279">
        <f t="shared" ref="X5:X26" si="17">SUM(J5:W5)</f>
        <v>38821.100000000006</v>
      </c>
      <c r="Y5" s="280">
        <f>-7*$AK$6</f>
        <v>-29050</v>
      </c>
      <c r="Z5" s="280">
        <f t="shared" ref="Z5" si="18">IF(+X5+Y5&gt;0,+X5+Y5,0)</f>
        <v>9771.1000000000058</v>
      </c>
      <c r="AA5" s="281">
        <f t="shared" ref="AA5" si="19">IF(Z5&lt;=$AN$10,Z5*$AO$9,$AN$9*$AO$9)</f>
        <v>781.68800000000044</v>
      </c>
      <c r="AB5" s="281">
        <f t="shared" ref="AB5" si="20">(IF(AND((Z5)&gt;$AN$10,(Z5)&lt;=$AN$11)=TRUE,Z5-SUM($AN$10),IF(Z5&gt;$AN$11,$AN$11-SUM(AN10),0)))*$AO$10</f>
        <v>0</v>
      </c>
      <c r="AC5" s="282">
        <f t="shared" ref="AC5" si="21">(IF(AND((Z5)&gt;$AN$12,(Z5)&lt;=$AN$13)=TRUE,Z5-SUM($AN$12),IF(Z5&gt;$AN$13,$AN$13-SUM($AN$12),0)))*$AO$12</f>
        <v>0</v>
      </c>
      <c r="AD5" s="282">
        <f t="shared" ref="AD5" si="22">(IF(AND((Z5)&gt;$AN$14,(Z5)&lt;=$AN$15)=TRUE,Z5-SUM($AN$14),IF(Z5&gt;$AN$15,$AN$15-SUM($AN$14),0)))*$AO$14</f>
        <v>0</v>
      </c>
      <c r="AE5" s="282">
        <f t="shared" ref="AE5" si="23">(IF(Z5&gt;$AN$16,Z5-$AN$16,0))*$AO$16</f>
        <v>0</v>
      </c>
      <c r="AF5" s="282">
        <f>SUM(AA5:AE5)</f>
        <v>781.68800000000044</v>
      </c>
      <c r="AG5" s="282">
        <f t="shared" ref="AG5" si="24">AF5/12</f>
        <v>65.140666666666704</v>
      </c>
      <c r="AI5" s="284"/>
      <c r="AN5" s="285"/>
      <c r="AO5" s="285"/>
      <c r="AP5" s="285"/>
      <c r="AQ5" s="285"/>
      <c r="AR5" s="286"/>
    </row>
    <row r="6" spans="1:44" s="283" customFormat="1" ht="12.75" customHeight="1" x14ac:dyDescent="0.2">
      <c r="A6" s="287">
        <v>73672954</v>
      </c>
      <c r="B6" s="275" t="str">
        <f>IFERROR(VLOOKUP(A6,'PLLA PARA EL SISTEMA'!$B$15:$AK$42,2,0),"")</f>
        <v>CAMPOS RODRIGUEZ RONY ROGGER</v>
      </c>
      <c r="C6" s="276">
        <f>IFERROR(VLOOKUP(A6,'PLLA PARA EL SISTEMA'!$B$15:$AK$42,7,0),"")</f>
        <v>43024</v>
      </c>
      <c r="D6" s="277">
        <f>IFERROR(VLOOKUP(A6,'PLLA PARA EL SISTEMA'!$B$15:$AK$42,20,0),"")</f>
        <v>1085</v>
      </c>
      <c r="E6" s="277">
        <f>IFERROR(VLOOKUP(A6,'PLLA PARA EL SISTEMA'!$B$15:$AK$42,22,0),"")</f>
        <v>0</v>
      </c>
      <c r="F6" s="277">
        <f>IFERROR(VLOOKUP(A6,'PLLA PARA EL SISTEMA'!$B$15:$AK$42,35,0),"")</f>
        <v>115</v>
      </c>
      <c r="G6" s="277">
        <f>IFERROR(VLOOKUP(A6,'PLLA PARA EL SISTEMA'!$B$15:$AK$42,36,0),"")</f>
        <v>0</v>
      </c>
      <c r="H6" s="277">
        <f>IFERROR(VLOOKUP(A6,'PLLA PARA EL SISTEMA'!$B$15:$AK$42,23,0),"")</f>
        <v>100</v>
      </c>
      <c r="I6" s="278">
        <f t="shared" ref="I6:I26" si="25">SUM(D6:H6)</f>
        <v>1300</v>
      </c>
      <c r="J6" s="279">
        <f t="shared" si="3"/>
        <v>1300</v>
      </c>
      <c r="K6" s="279">
        <f t="shared" si="4"/>
        <v>1300</v>
      </c>
      <c r="L6" s="279">
        <f t="shared" si="5"/>
        <v>1300</v>
      </c>
      <c r="M6" s="279">
        <f t="shared" si="6"/>
        <v>1300</v>
      </c>
      <c r="N6" s="279">
        <f t="shared" si="7"/>
        <v>1300</v>
      </c>
      <c r="O6" s="279">
        <f t="shared" si="8"/>
        <v>1300</v>
      </c>
      <c r="P6" s="279">
        <f t="shared" si="9"/>
        <v>1300</v>
      </c>
      <c r="Q6" s="279">
        <f t="shared" si="10"/>
        <v>1182.6500000000001</v>
      </c>
      <c r="R6" s="279">
        <f t="shared" si="11"/>
        <v>1300</v>
      </c>
      <c r="S6" s="279">
        <f t="shared" si="12"/>
        <v>1300</v>
      </c>
      <c r="T6" s="279">
        <f t="shared" si="13"/>
        <v>1300</v>
      </c>
      <c r="U6" s="279">
        <f t="shared" si="14"/>
        <v>1300</v>
      </c>
      <c r="V6" s="279">
        <f t="shared" si="15"/>
        <v>1300</v>
      </c>
      <c r="W6" s="279">
        <f t="shared" si="16"/>
        <v>1182.6500000000001</v>
      </c>
      <c r="X6" s="279">
        <f t="shared" si="17"/>
        <v>17965.300000000003</v>
      </c>
      <c r="Y6" s="280">
        <f t="shared" ref="Y6:Y26" si="26">-7*$AK$6</f>
        <v>-29050</v>
      </c>
      <c r="Z6" s="280">
        <f t="shared" ref="Z6:Z26" si="27">IF(+X6+Y6&gt;0,+X6+Y6,0)</f>
        <v>0</v>
      </c>
      <c r="AA6" s="281">
        <f t="shared" ref="AA6:AA26" si="28">IF(Z6&lt;=$AN$10,Z6*$AO$9,$AN$9*$AO$9)</f>
        <v>0</v>
      </c>
      <c r="AB6" s="281">
        <f t="shared" ref="AB6:AB26" si="29">(IF(AND((Z6)&gt;$AN$10,(Z6)&lt;=$AN$11)=TRUE,Z6-SUM($AN$10),IF(Z6&gt;$AN$11,$AN$11-SUM(AN11),0)))*$AO$10</f>
        <v>0</v>
      </c>
      <c r="AC6" s="282">
        <f t="shared" ref="AC6:AC26" si="30">(IF(AND((Z6)&gt;$AN$12,(Z6)&lt;=$AN$13)=TRUE,Z6-SUM($AN$12),IF(Z6&gt;$AN$13,$AN$13-SUM($AN$12),0)))*$AO$12</f>
        <v>0</v>
      </c>
      <c r="AD6" s="282">
        <f t="shared" ref="AD6:AD26" si="31">(IF(AND((Z6)&gt;$AN$14,(Z6)&lt;=$AN$15)=TRUE,Z6-SUM($AN$14),IF(Z6&gt;$AN$15,$AN$15-SUM($AN$14),0)))*$AO$14</f>
        <v>0</v>
      </c>
      <c r="AE6" s="282">
        <f t="shared" ref="AE6:AE26" si="32">(IF(Z6&gt;$AN$16,Z6-$AN$16,0))*$AO$16</f>
        <v>0</v>
      </c>
      <c r="AF6" s="282">
        <f t="shared" ref="AF6:AF26" si="33">SUM(AA6:AE6)</f>
        <v>0</v>
      </c>
      <c r="AG6" s="282">
        <f t="shared" ref="AG6:AG26" si="34">AF6/12</f>
        <v>0</v>
      </c>
      <c r="AI6" s="284"/>
      <c r="AJ6" s="288" t="s">
        <v>172</v>
      </c>
      <c r="AK6" s="453">
        <v>4150</v>
      </c>
      <c r="AL6" s="453"/>
      <c r="AM6" s="454"/>
      <c r="AN6" s="289"/>
      <c r="AO6" s="289"/>
      <c r="AP6" s="289"/>
      <c r="AQ6" s="289"/>
      <c r="AR6" s="286"/>
    </row>
    <row r="7" spans="1:44" s="283" customFormat="1" ht="12.75" customHeight="1" x14ac:dyDescent="0.2">
      <c r="A7" s="274">
        <v>6067588</v>
      </c>
      <c r="B7" s="275" t="str">
        <f>IFERROR(VLOOKUP(A7,'PLLA PARA EL SISTEMA'!$B$15:$AK$42,2,0),"")</f>
        <v>CAMPOS ROLDAN JULIA  APOLINAR</v>
      </c>
      <c r="C7" s="276">
        <f>IFERROR(VLOOKUP(A7,'PLLA PARA EL SISTEMA'!$B$15:$AK$42,7,0),"")</f>
        <v>38565</v>
      </c>
      <c r="D7" s="277">
        <f>IFERROR(VLOOKUP(A7,'PLLA PARA EL SISTEMA'!$B$15:$AK$42,20,0),"")</f>
        <v>3850</v>
      </c>
      <c r="E7" s="277">
        <f>IFERROR(VLOOKUP(A7,'PLLA PARA EL SISTEMA'!$B$15:$AK$42,22,0),"")</f>
        <v>0</v>
      </c>
      <c r="F7" s="277">
        <f>IFERROR(VLOOKUP(A7,'PLLA PARA EL SISTEMA'!$B$15:$AK$42,35,0),"")</f>
        <v>399.99999999999898</v>
      </c>
      <c r="G7" s="277">
        <f>IFERROR(VLOOKUP(A7,'PLLA PARA EL SISTEMA'!$B$15:$AK$42,36,0),"")</f>
        <v>0</v>
      </c>
      <c r="H7" s="277">
        <f>IFERROR(VLOOKUP(A7,'PLLA PARA EL SISTEMA'!$B$15:$AK$42,23,0),"")</f>
        <v>0</v>
      </c>
      <c r="I7" s="278">
        <f t="shared" si="25"/>
        <v>4249.9999999999991</v>
      </c>
      <c r="J7" s="279">
        <f t="shared" si="3"/>
        <v>4249.9999999999991</v>
      </c>
      <c r="K7" s="279">
        <f t="shared" si="4"/>
        <v>4249.9999999999991</v>
      </c>
      <c r="L7" s="279">
        <f t="shared" si="5"/>
        <v>4249.9999999999991</v>
      </c>
      <c r="M7" s="279">
        <f t="shared" si="6"/>
        <v>4249.9999999999991</v>
      </c>
      <c r="N7" s="279">
        <f t="shared" si="7"/>
        <v>4249.9999999999991</v>
      </c>
      <c r="O7" s="279">
        <f t="shared" si="8"/>
        <v>4249.9999999999991</v>
      </c>
      <c r="P7" s="279">
        <f t="shared" si="9"/>
        <v>4249.9999999999991</v>
      </c>
      <c r="Q7" s="279">
        <f t="shared" si="10"/>
        <v>4196.5</v>
      </c>
      <c r="R7" s="279">
        <f t="shared" si="11"/>
        <v>4249.9999999999991</v>
      </c>
      <c r="S7" s="279">
        <f t="shared" si="12"/>
        <v>4249.9999999999991</v>
      </c>
      <c r="T7" s="279">
        <f t="shared" si="13"/>
        <v>4249.9999999999991</v>
      </c>
      <c r="U7" s="279">
        <f t="shared" si="14"/>
        <v>4249.9999999999991</v>
      </c>
      <c r="V7" s="279">
        <f t="shared" si="15"/>
        <v>4249.9999999999991</v>
      </c>
      <c r="W7" s="279">
        <f t="shared" si="16"/>
        <v>4196.5</v>
      </c>
      <c r="X7" s="279">
        <f t="shared" si="17"/>
        <v>59393</v>
      </c>
      <c r="Y7" s="280">
        <f t="shared" si="26"/>
        <v>-29050</v>
      </c>
      <c r="Z7" s="280">
        <f t="shared" si="27"/>
        <v>30343</v>
      </c>
      <c r="AA7" s="281">
        <f t="shared" si="28"/>
        <v>1660</v>
      </c>
      <c r="AB7" s="281">
        <f t="shared" si="29"/>
        <v>1343.0200000000002</v>
      </c>
      <c r="AC7" s="282">
        <f t="shared" si="30"/>
        <v>0</v>
      </c>
      <c r="AD7" s="282">
        <f t="shared" si="31"/>
        <v>0</v>
      </c>
      <c r="AE7" s="282">
        <f t="shared" si="32"/>
        <v>0</v>
      </c>
      <c r="AF7" s="282">
        <f t="shared" si="33"/>
        <v>3003.0200000000004</v>
      </c>
      <c r="AG7" s="282">
        <f t="shared" si="34"/>
        <v>250.25166666666669</v>
      </c>
      <c r="AI7" s="284"/>
      <c r="AP7" s="289"/>
      <c r="AQ7" s="289"/>
      <c r="AR7" s="286"/>
    </row>
    <row r="8" spans="1:44" s="283" customFormat="1" ht="12.75" customHeight="1" x14ac:dyDescent="0.2">
      <c r="A8" s="274">
        <v>9929599</v>
      </c>
      <c r="B8" s="275" t="str">
        <f>IFERROR(VLOOKUP(A8,'PLLA PARA EL SISTEMA'!$B$15:$AK$42,2,0),"")</f>
        <v>CERRON FLORES JORGE ALBERTO</v>
      </c>
      <c r="C8" s="276">
        <f>IFERROR(VLOOKUP(A8,'PLLA PARA EL SISTEMA'!$B$15:$AK$42,7,0),"")</f>
        <v>42644</v>
      </c>
      <c r="D8" s="277">
        <f>IFERROR(VLOOKUP(A8,'PLLA PARA EL SISTEMA'!$B$15:$AK$42,20,0),"")</f>
        <v>1415</v>
      </c>
      <c r="E8" s="277">
        <f>IFERROR(VLOOKUP(A8,'PLLA PARA EL SISTEMA'!$B$15:$AK$42,22,0),"")</f>
        <v>85</v>
      </c>
      <c r="F8" s="277">
        <f>IFERROR(VLOOKUP(A8,'PLLA PARA EL SISTEMA'!$B$15:$AK$42,35,0),"")</f>
        <v>300</v>
      </c>
      <c r="G8" s="277">
        <f>IFERROR(VLOOKUP(A8,'PLLA PARA EL SISTEMA'!$B$15:$AK$42,36,0),"")</f>
        <v>0</v>
      </c>
      <c r="H8" s="277">
        <f>IFERROR(VLOOKUP(A8,'PLLA PARA EL SISTEMA'!$B$15:$AK$42,23,0),"")</f>
        <v>0</v>
      </c>
      <c r="I8" s="278">
        <f t="shared" si="25"/>
        <v>1800</v>
      </c>
      <c r="J8" s="279">
        <f t="shared" si="3"/>
        <v>1800</v>
      </c>
      <c r="K8" s="279">
        <f t="shared" si="4"/>
        <v>1800</v>
      </c>
      <c r="L8" s="279">
        <f t="shared" si="5"/>
        <v>1800</v>
      </c>
      <c r="M8" s="279">
        <f t="shared" si="6"/>
        <v>1800</v>
      </c>
      <c r="N8" s="279">
        <f t="shared" si="7"/>
        <v>1800</v>
      </c>
      <c r="O8" s="279">
        <f t="shared" si="8"/>
        <v>1800</v>
      </c>
      <c r="P8" s="279">
        <f t="shared" si="9"/>
        <v>1800</v>
      </c>
      <c r="Q8" s="279">
        <f t="shared" si="10"/>
        <v>1635.0000000000002</v>
      </c>
      <c r="R8" s="279">
        <f t="shared" si="11"/>
        <v>1800</v>
      </c>
      <c r="S8" s="279">
        <f t="shared" si="12"/>
        <v>1800</v>
      </c>
      <c r="T8" s="279">
        <f t="shared" si="13"/>
        <v>1800</v>
      </c>
      <c r="U8" s="279">
        <f t="shared" si="14"/>
        <v>1800</v>
      </c>
      <c r="V8" s="279">
        <f t="shared" si="15"/>
        <v>1800</v>
      </c>
      <c r="W8" s="279">
        <f t="shared" si="16"/>
        <v>1635.0000000000002</v>
      </c>
      <c r="X8" s="279">
        <f t="shared" si="17"/>
        <v>24870</v>
      </c>
      <c r="Y8" s="280">
        <f t="shared" si="26"/>
        <v>-29050</v>
      </c>
      <c r="Z8" s="280">
        <f t="shared" si="27"/>
        <v>0</v>
      </c>
      <c r="AA8" s="281">
        <f t="shared" si="28"/>
        <v>0</v>
      </c>
      <c r="AB8" s="281">
        <f t="shared" si="29"/>
        <v>0</v>
      </c>
      <c r="AC8" s="282">
        <f t="shared" si="30"/>
        <v>0</v>
      </c>
      <c r="AD8" s="282">
        <f t="shared" si="31"/>
        <v>0</v>
      </c>
      <c r="AE8" s="282">
        <f t="shared" si="32"/>
        <v>0</v>
      </c>
      <c r="AF8" s="282">
        <f t="shared" si="33"/>
        <v>0</v>
      </c>
      <c r="AG8" s="282">
        <f t="shared" si="34"/>
        <v>0</v>
      </c>
      <c r="AI8" s="284"/>
      <c r="AJ8" s="452" t="s">
        <v>171</v>
      </c>
      <c r="AK8" s="452"/>
      <c r="AL8" s="452"/>
      <c r="AM8" s="452"/>
      <c r="AN8" s="452"/>
      <c r="AO8" s="290" t="s">
        <v>170</v>
      </c>
      <c r="AP8" s="289"/>
      <c r="AQ8" s="289"/>
      <c r="AR8" s="286"/>
    </row>
    <row r="9" spans="1:44" s="283" customFormat="1" ht="12.75" customHeight="1" x14ac:dyDescent="0.2">
      <c r="A9" s="274">
        <v>8569186</v>
      </c>
      <c r="B9" s="275" t="str">
        <f>IFERROR(VLOOKUP(A9,'PLLA PARA EL SISTEMA'!$B$15:$AK$42,2,0),"")</f>
        <v>CHAVEZ DIAZ SEGUNDO FRANKLIN</v>
      </c>
      <c r="C9" s="276">
        <f>IFERROR(VLOOKUP(A9,'PLLA PARA EL SISTEMA'!$B$15:$AK$42,7,0),"")</f>
        <v>37104</v>
      </c>
      <c r="D9" s="277">
        <f>IFERROR(VLOOKUP(A9,'PLLA PARA EL SISTEMA'!$B$15:$AK$42,20,0),"")</f>
        <v>2315</v>
      </c>
      <c r="E9" s="277">
        <f>IFERROR(VLOOKUP(A9,'PLLA PARA EL SISTEMA'!$B$15:$AK$42,22,0),"")</f>
        <v>85</v>
      </c>
      <c r="F9" s="277">
        <f>IFERROR(VLOOKUP(A9,'PLLA PARA EL SISTEMA'!$B$15:$AK$42,35,0),"")</f>
        <v>300</v>
      </c>
      <c r="G9" s="277">
        <f>IFERROR(VLOOKUP(A9,'PLLA PARA EL SISTEMA'!$B$15:$AK$42,36,0),"")</f>
        <v>0</v>
      </c>
      <c r="H9" s="277">
        <f>IFERROR(VLOOKUP(A9,'PLLA PARA EL SISTEMA'!$B$15:$AK$42,23,0),"")</f>
        <v>0</v>
      </c>
      <c r="I9" s="278">
        <f t="shared" si="25"/>
        <v>2700</v>
      </c>
      <c r="J9" s="279">
        <f t="shared" si="3"/>
        <v>2700</v>
      </c>
      <c r="K9" s="279">
        <f t="shared" si="4"/>
        <v>2700</v>
      </c>
      <c r="L9" s="279">
        <f t="shared" si="5"/>
        <v>2700</v>
      </c>
      <c r="M9" s="279">
        <f t="shared" si="6"/>
        <v>2700</v>
      </c>
      <c r="N9" s="279">
        <f t="shared" si="7"/>
        <v>2700</v>
      </c>
      <c r="O9" s="279">
        <f t="shared" si="8"/>
        <v>2700</v>
      </c>
      <c r="P9" s="279">
        <f t="shared" si="9"/>
        <v>2700</v>
      </c>
      <c r="Q9" s="279">
        <f t="shared" si="10"/>
        <v>2616</v>
      </c>
      <c r="R9" s="279">
        <f t="shared" si="11"/>
        <v>2700</v>
      </c>
      <c r="S9" s="279">
        <f t="shared" si="12"/>
        <v>2700</v>
      </c>
      <c r="T9" s="279">
        <f t="shared" si="13"/>
        <v>2700</v>
      </c>
      <c r="U9" s="279">
        <f t="shared" si="14"/>
        <v>2700</v>
      </c>
      <c r="V9" s="279">
        <f t="shared" si="15"/>
        <v>2700</v>
      </c>
      <c r="W9" s="279">
        <f t="shared" si="16"/>
        <v>2616</v>
      </c>
      <c r="X9" s="279">
        <f t="shared" si="17"/>
        <v>37632</v>
      </c>
      <c r="Y9" s="280">
        <f t="shared" si="26"/>
        <v>-29050</v>
      </c>
      <c r="Z9" s="280">
        <f t="shared" si="27"/>
        <v>8582</v>
      </c>
      <c r="AA9" s="281">
        <f t="shared" si="28"/>
        <v>686.56000000000006</v>
      </c>
      <c r="AB9" s="281">
        <f t="shared" si="29"/>
        <v>0</v>
      </c>
      <c r="AC9" s="282">
        <f t="shared" si="30"/>
        <v>0</v>
      </c>
      <c r="AD9" s="282">
        <f t="shared" si="31"/>
        <v>0</v>
      </c>
      <c r="AE9" s="282">
        <f t="shared" si="32"/>
        <v>0</v>
      </c>
      <c r="AF9" s="282">
        <f t="shared" si="33"/>
        <v>686.56000000000006</v>
      </c>
      <c r="AG9" s="282">
        <f t="shared" si="34"/>
        <v>57.213333333333338</v>
      </c>
      <c r="AI9" s="284"/>
      <c r="AJ9" s="291" t="s">
        <v>169</v>
      </c>
      <c r="AK9" s="292">
        <v>5</v>
      </c>
      <c r="AL9" s="293" t="s">
        <v>166</v>
      </c>
      <c r="AM9" s="293" t="s">
        <v>165</v>
      </c>
      <c r="AN9" s="294">
        <f t="shared" ref="AN9:AN16" si="35">+AK9*$AK$6</f>
        <v>20750</v>
      </c>
      <c r="AO9" s="295">
        <v>0.08</v>
      </c>
      <c r="AP9" s="289"/>
      <c r="AQ9" s="289"/>
      <c r="AR9" s="286"/>
    </row>
    <row r="10" spans="1:44" s="283" customFormat="1" ht="12.75" customHeight="1" x14ac:dyDescent="0.2">
      <c r="A10" s="296">
        <v>47974615</v>
      </c>
      <c r="B10" s="275" t="str">
        <f>IFERROR(VLOOKUP(A10,'PLLA PARA EL SISTEMA'!$B$15:$AK$42,2,0),"")</f>
        <v>DUPA RAMIREZ FRANCISCO NEMECIO</v>
      </c>
      <c r="C10" s="276">
        <f>IFERROR(VLOOKUP(A10,'PLLA PARA EL SISTEMA'!$B$15:$AK$42,7,0),"")</f>
        <v>42842</v>
      </c>
      <c r="D10" s="277">
        <f>IFERROR(VLOOKUP(A10,'PLLA PARA EL SISTEMA'!$B$15:$AK$42,20,0),"")</f>
        <v>1115</v>
      </c>
      <c r="E10" s="277">
        <f>IFERROR(VLOOKUP(A10,'PLLA PARA EL SISTEMA'!$B$15:$AK$42,22,0),"")</f>
        <v>85</v>
      </c>
      <c r="F10" s="277">
        <f>IFERROR(VLOOKUP(A10,'PLLA PARA EL SISTEMA'!$B$15:$AK$42,35,0),"")</f>
        <v>300</v>
      </c>
      <c r="G10" s="277">
        <f>IFERROR(VLOOKUP(A10,'PLLA PARA EL SISTEMA'!$B$15:$AK$42,36,0),"")</f>
        <v>0</v>
      </c>
      <c r="H10" s="277">
        <f>IFERROR(VLOOKUP(A10,'PLLA PARA EL SISTEMA'!$B$15:$AK$42,23,0),"")</f>
        <v>0</v>
      </c>
      <c r="I10" s="278">
        <f t="shared" si="25"/>
        <v>1500</v>
      </c>
      <c r="J10" s="279">
        <f t="shared" si="3"/>
        <v>1500</v>
      </c>
      <c r="K10" s="279">
        <f t="shared" si="4"/>
        <v>1500</v>
      </c>
      <c r="L10" s="279">
        <f t="shared" si="5"/>
        <v>1500</v>
      </c>
      <c r="M10" s="279">
        <f t="shared" si="6"/>
        <v>1500</v>
      </c>
      <c r="N10" s="279">
        <f t="shared" si="7"/>
        <v>1500</v>
      </c>
      <c r="O10" s="279">
        <f t="shared" si="8"/>
        <v>1500</v>
      </c>
      <c r="P10" s="279">
        <f t="shared" si="9"/>
        <v>1500</v>
      </c>
      <c r="Q10" s="279">
        <f t="shared" si="10"/>
        <v>1308</v>
      </c>
      <c r="R10" s="279">
        <f t="shared" si="11"/>
        <v>1500</v>
      </c>
      <c r="S10" s="279">
        <f t="shared" si="12"/>
        <v>1500</v>
      </c>
      <c r="T10" s="279">
        <f t="shared" si="13"/>
        <v>1500</v>
      </c>
      <c r="U10" s="279">
        <f t="shared" si="14"/>
        <v>1500</v>
      </c>
      <c r="V10" s="279">
        <f t="shared" si="15"/>
        <v>1500</v>
      </c>
      <c r="W10" s="279">
        <f t="shared" si="16"/>
        <v>1308</v>
      </c>
      <c r="X10" s="279">
        <f t="shared" si="17"/>
        <v>20616</v>
      </c>
      <c r="Y10" s="280">
        <f t="shared" si="26"/>
        <v>-29050</v>
      </c>
      <c r="Z10" s="280">
        <f t="shared" si="27"/>
        <v>0</v>
      </c>
      <c r="AA10" s="281">
        <f t="shared" si="28"/>
        <v>0</v>
      </c>
      <c r="AB10" s="281">
        <f t="shared" si="29"/>
        <v>0</v>
      </c>
      <c r="AC10" s="282">
        <f t="shared" si="30"/>
        <v>0</v>
      </c>
      <c r="AD10" s="282">
        <f t="shared" si="31"/>
        <v>0</v>
      </c>
      <c r="AE10" s="282">
        <f t="shared" si="32"/>
        <v>0</v>
      </c>
      <c r="AF10" s="282">
        <f t="shared" si="33"/>
        <v>0</v>
      </c>
      <c r="AG10" s="282">
        <f t="shared" si="34"/>
        <v>0</v>
      </c>
      <c r="AI10" s="284"/>
      <c r="AJ10" s="291" t="s">
        <v>167</v>
      </c>
      <c r="AK10" s="292">
        <v>5</v>
      </c>
      <c r="AL10" s="293" t="s">
        <v>166</v>
      </c>
      <c r="AM10" s="293" t="s">
        <v>165</v>
      </c>
      <c r="AN10" s="294">
        <f t="shared" si="35"/>
        <v>20750</v>
      </c>
      <c r="AO10" s="443">
        <v>0.14000000000000001</v>
      </c>
      <c r="AP10" s="289"/>
      <c r="AQ10" s="289"/>
      <c r="AR10" s="286"/>
    </row>
    <row r="11" spans="1:44" s="283" customFormat="1" ht="12.75" customHeight="1" x14ac:dyDescent="0.2">
      <c r="A11" s="275">
        <v>80677912</v>
      </c>
      <c r="B11" s="275" t="str">
        <f>IFERROR(VLOOKUP(A11,'PLLA PARA EL SISTEMA'!$B$15:$AK$42,2,0),"")</f>
        <v>FARFAN COLINA JOSE FRANCISCO</v>
      </c>
      <c r="C11" s="276">
        <f>IFERROR(VLOOKUP(A11,'PLLA PARA EL SISTEMA'!$B$15:$AK$42,7,0),"")</f>
        <v>42614</v>
      </c>
      <c r="D11" s="277">
        <f>IFERROR(VLOOKUP(A11,'PLLA PARA EL SISTEMA'!$B$15:$AK$42,20,0),"")</f>
        <v>1200</v>
      </c>
      <c r="E11" s="277">
        <f>IFERROR(VLOOKUP(A11,'PLLA PARA EL SISTEMA'!$B$15:$AK$42,22,0),"")</f>
        <v>0</v>
      </c>
      <c r="F11" s="277">
        <f>IFERROR(VLOOKUP(A11,'PLLA PARA EL SISTEMA'!$B$15:$AK$42,35,0),"")</f>
        <v>300</v>
      </c>
      <c r="G11" s="277">
        <f>IFERROR(VLOOKUP(A11,'PLLA PARA EL SISTEMA'!$B$15:$AK$42,36,0),"")</f>
        <v>0</v>
      </c>
      <c r="H11" s="277">
        <f>IFERROR(VLOOKUP(A11,'PLLA PARA EL SISTEMA'!$B$15:$AK$42,23,0),"")</f>
        <v>0</v>
      </c>
      <c r="I11" s="278">
        <f t="shared" si="25"/>
        <v>1500</v>
      </c>
      <c r="J11" s="279">
        <f t="shared" si="3"/>
        <v>1500</v>
      </c>
      <c r="K11" s="279">
        <f t="shared" si="4"/>
        <v>1500</v>
      </c>
      <c r="L11" s="279">
        <f t="shared" si="5"/>
        <v>1500</v>
      </c>
      <c r="M11" s="279">
        <f t="shared" si="6"/>
        <v>1500</v>
      </c>
      <c r="N11" s="279">
        <f t="shared" si="7"/>
        <v>1500</v>
      </c>
      <c r="O11" s="279">
        <f t="shared" si="8"/>
        <v>1500</v>
      </c>
      <c r="P11" s="279">
        <f t="shared" si="9"/>
        <v>1500</v>
      </c>
      <c r="Q11" s="279">
        <f t="shared" si="10"/>
        <v>1308</v>
      </c>
      <c r="R11" s="279">
        <f t="shared" si="11"/>
        <v>1500</v>
      </c>
      <c r="S11" s="279">
        <f t="shared" si="12"/>
        <v>1500</v>
      </c>
      <c r="T11" s="279">
        <f t="shared" si="13"/>
        <v>1500</v>
      </c>
      <c r="U11" s="279">
        <f t="shared" si="14"/>
        <v>1500</v>
      </c>
      <c r="V11" s="279">
        <f t="shared" si="15"/>
        <v>1500</v>
      </c>
      <c r="W11" s="279">
        <f t="shared" si="16"/>
        <v>1308</v>
      </c>
      <c r="X11" s="279">
        <f t="shared" si="17"/>
        <v>20616</v>
      </c>
      <c r="Y11" s="280">
        <f t="shared" si="26"/>
        <v>-29050</v>
      </c>
      <c r="Z11" s="280">
        <f t="shared" si="27"/>
        <v>0</v>
      </c>
      <c r="AA11" s="281">
        <f t="shared" si="28"/>
        <v>0</v>
      </c>
      <c r="AB11" s="281">
        <f t="shared" si="29"/>
        <v>0</v>
      </c>
      <c r="AC11" s="282">
        <f t="shared" si="30"/>
        <v>0</v>
      </c>
      <c r="AD11" s="282">
        <f t="shared" si="31"/>
        <v>0</v>
      </c>
      <c r="AE11" s="282">
        <f t="shared" si="32"/>
        <v>0</v>
      </c>
      <c r="AF11" s="282">
        <f t="shared" si="33"/>
        <v>0</v>
      </c>
      <c r="AG11" s="282">
        <f t="shared" si="34"/>
        <v>0</v>
      </c>
      <c r="AI11" s="284"/>
      <c r="AJ11" s="291" t="s">
        <v>168</v>
      </c>
      <c r="AK11" s="292">
        <v>20</v>
      </c>
      <c r="AL11" s="293" t="s">
        <v>166</v>
      </c>
      <c r="AM11" s="293" t="s">
        <v>165</v>
      </c>
      <c r="AN11" s="294">
        <f t="shared" si="35"/>
        <v>83000</v>
      </c>
      <c r="AO11" s="443"/>
      <c r="AP11" s="289"/>
      <c r="AQ11" s="289"/>
      <c r="AR11" s="297"/>
    </row>
    <row r="12" spans="1:44" s="283" customFormat="1" ht="12.75" customHeight="1" x14ac:dyDescent="0.2">
      <c r="A12" s="298">
        <v>44112775</v>
      </c>
      <c r="B12" s="275" t="str">
        <f>IFERROR(VLOOKUP(A12,'PLLA PARA EL SISTEMA'!$B$15:$AK$42,2,0),"")</f>
        <v>HUAMANI CASAVILCA ROBERT WILLIAM</v>
      </c>
      <c r="C12" s="276">
        <f>IFERROR(VLOOKUP(A12,'PLLA PARA EL SISTEMA'!$B$15:$AK$42,7,0),"")</f>
        <v>42644</v>
      </c>
      <c r="D12" s="277">
        <f>IFERROR(VLOOKUP(A12,'PLLA PARA EL SISTEMA'!$B$15:$AK$42,20,0),"")</f>
        <v>1415</v>
      </c>
      <c r="E12" s="277">
        <f>IFERROR(VLOOKUP(A12,'PLLA PARA EL SISTEMA'!$B$15:$AK$42,22,0),"")</f>
        <v>85</v>
      </c>
      <c r="F12" s="277">
        <f>IFERROR(VLOOKUP(A12,'PLLA PARA EL SISTEMA'!$B$15:$AK$42,35,0),"")</f>
        <v>300</v>
      </c>
      <c r="G12" s="277">
        <f>IFERROR(VLOOKUP(A12,'PLLA PARA EL SISTEMA'!$B$15:$AK$42,36,0),"")</f>
        <v>0</v>
      </c>
      <c r="H12" s="277">
        <f>IFERROR(VLOOKUP(A12,'PLLA PARA EL SISTEMA'!$B$15:$AK$42,23,0),"")</f>
        <v>0</v>
      </c>
      <c r="I12" s="278">
        <f t="shared" si="25"/>
        <v>1800</v>
      </c>
      <c r="J12" s="279">
        <f t="shared" si="3"/>
        <v>1800</v>
      </c>
      <c r="K12" s="279">
        <f t="shared" si="4"/>
        <v>1800</v>
      </c>
      <c r="L12" s="279">
        <f t="shared" si="5"/>
        <v>1800</v>
      </c>
      <c r="M12" s="279">
        <f t="shared" si="6"/>
        <v>1800</v>
      </c>
      <c r="N12" s="279">
        <f t="shared" si="7"/>
        <v>1800</v>
      </c>
      <c r="O12" s="279">
        <f t="shared" si="8"/>
        <v>1800</v>
      </c>
      <c r="P12" s="279">
        <f t="shared" si="9"/>
        <v>1800</v>
      </c>
      <c r="Q12" s="279">
        <f t="shared" si="10"/>
        <v>1635.0000000000002</v>
      </c>
      <c r="R12" s="279">
        <f t="shared" si="11"/>
        <v>1800</v>
      </c>
      <c r="S12" s="279">
        <f t="shared" si="12"/>
        <v>1800</v>
      </c>
      <c r="T12" s="279">
        <f t="shared" si="13"/>
        <v>1800</v>
      </c>
      <c r="U12" s="279">
        <f t="shared" si="14"/>
        <v>1800</v>
      </c>
      <c r="V12" s="279">
        <f t="shared" si="15"/>
        <v>1800</v>
      </c>
      <c r="W12" s="279">
        <f t="shared" si="16"/>
        <v>1635.0000000000002</v>
      </c>
      <c r="X12" s="279">
        <f t="shared" si="17"/>
        <v>24870</v>
      </c>
      <c r="Y12" s="280">
        <f t="shared" si="26"/>
        <v>-29050</v>
      </c>
      <c r="Z12" s="280">
        <f t="shared" si="27"/>
        <v>0</v>
      </c>
      <c r="AA12" s="281">
        <f t="shared" si="28"/>
        <v>0</v>
      </c>
      <c r="AB12" s="281">
        <f t="shared" si="29"/>
        <v>0</v>
      </c>
      <c r="AC12" s="282">
        <f t="shared" si="30"/>
        <v>0</v>
      </c>
      <c r="AD12" s="282">
        <f t="shared" si="31"/>
        <v>0</v>
      </c>
      <c r="AE12" s="282">
        <f t="shared" si="32"/>
        <v>0</v>
      </c>
      <c r="AF12" s="282">
        <f t="shared" si="33"/>
        <v>0</v>
      </c>
      <c r="AG12" s="282">
        <f t="shared" si="34"/>
        <v>0</v>
      </c>
      <c r="AI12" s="284"/>
      <c r="AJ12" s="291" t="s">
        <v>167</v>
      </c>
      <c r="AK12" s="292">
        <v>20</v>
      </c>
      <c r="AL12" s="293" t="s">
        <v>166</v>
      </c>
      <c r="AM12" s="293" t="s">
        <v>165</v>
      </c>
      <c r="AN12" s="294">
        <f t="shared" si="35"/>
        <v>83000</v>
      </c>
      <c r="AO12" s="443">
        <v>0.17</v>
      </c>
      <c r="AP12" s="289"/>
      <c r="AQ12" s="289"/>
      <c r="AR12" s="286"/>
    </row>
    <row r="13" spans="1:44" s="283" customFormat="1" ht="12.75" customHeight="1" x14ac:dyDescent="0.2">
      <c r="A13" s="275">
        <v>10533675</v>
      </c>
      <c r="B13" s="275" t="str">
        <f>IFERROR(VLOOKUP(A13,'PLLA PARA EL SISTEMA'!$B$15:$AK$42,2,0),"")</f>
        <v>JARA LEON SAMUEL BERNALDO</v>
      </c>
      <c r="C13" s="276">
        <f>IFERROR(VLOOKUP(A13,'PLLA PARA EL SISTEMA'!$B$15:$AK$42,7,0),"")</f>
        <v>41655</v>
      </c>
      <c r="D13" s="277">
        <f>IFERROR(VLOOKUP(A13,'PLLA PARA EL SISTEMA'!$B$15:$AK$42,20,0),"")</f>
        <v>1815</v>
      </c>
      <c r="E13" s="277">
        <f>IFERROR(VLOOKUP(A13,'PLLA PARA EL SISTEMA'!$B$15:$AK$42,22,0),"")</f>
        <v>85</v>
      </c>
      <c r="F13" s="277">
        <f>IFERROR(VLOOKUP(A13,'PLLA PARA EL SISTEMA'!$B$15:$AK$42,35,0),"")</f>
        <v>300</v>
      </c>
      <c r="G13" s="277">
        <f>IFERROR(VLOOKUP(A13,'PLLA PARA EL SISTEMA'!$B$15:$AK$42,36,0),"")</f>
        <v>0</v>
      </c>
      <c r="H13" s="277">
        <f>IFERROR(VLOOKUP(A13,'PLLA PARA EL SISTEMA'!$B$15:$AK$42,23,0),"")</f>
        <v>0</v>
      </c>
      <c r="I13" s="278">
        <f t="shared" si="25"/>
        <v>2200</v>
      </c>
      <c r="J13" s="279">
        <f t="shared" si="3"/>
        <v>2200</v>
      </c>
      <c r="K13" s="279">
        <f t="shared" si="4"/>
        <v>2200</v>
      </c>
      <c r="L13" s="279">
        <f t="shared" si="5"/>
        <v>2200</v>
      </c>
      <c r="M13" s="279">
        <f t="shared" si="6"/>
        <v>2200</v>
      </c>
      <c r="N13" s="279">
        <f t="shared" si="7"/>
        <v>2200</v>
      </c>
      <c r="O13" s="279">
        <f t="shared" si="8"/>
        <v>2200</v>
      </c>
      <c r="P13" s="279">
        <f t="shared" si="9"/>
        <v>2200</v>
      </c>
      <c r="Q13" s="279">
        <f t="shared" si="10"/>
        <v>2071</v>
      </c>
      <c r="R13" s="279">
        <f t="shared" si="11"/>
        <v>2200</v>
      </c>
      <c r="S13" s="279">
        <f t="shared" si="12"/>
        <v>2200</v>
      </c>
      <c r="T13" s="279">
        <f t="shared" si="13"/>
        <v>2200</v>
      </c>
      <c r="U13" s="279">
        <f t="shared" si="14"/>
        <v>2200</v>
      </c>
      <c r="V13" s="279">
        <f t="shared" si="15"/>
        <v>2200</v>
      </c>
      <c r="W13" s="279">
        <f t="shared" si="16"/>
        <v>2071</v>
      </c>
      <c r="X13" s="279">
        <f t="shared" si="17"/>
        <v>30542</v>
      </c>
      <c r="Y13" s="280">
        <f t="shared" si="26"/>
        <v>-29050</v>
      </c>
      <c r="Z13" s="280">
        <f t="shared" si="27"/>
        <v>1492</v>
      </c>
      <c r="AA13" s="281">
        <f t="shared" si="28"/>
        <v>119.36</v>
      </c>
      <c r="AB13" s="281">
        <f t="shared" si="29"/>
        <v>0</v>
      </c>
      <c r="AC13" s="282">
        <f t="shared" si="30"/>
        <v>0</v>
      </c>
      <c r="AD13" s="282">
        <f t="shared" si="31"/>
        <v>0</v>
      </c>
      <c r="AE13" s="282">
        <f t="shared" si="32"/>
        <v>0</v>
      </c>
      <c r="AF13" s="282">
        <f t="shared" si="33"/>
        <v>119.36</v>
      </c>
      <c r="AG13" s="282">
        <f t="shared" si="34"/>
        <v>9.9466666666666672</v>
      </c>
      <c r="AI13" s="284"/>
      <c r="AJ13" s="291" t="s">
        <v>168</v>
      </c>
      <c r="AK13" s="292">
        <v>35</v>
      </c>
      <c r="AL13" s="293" t="s">
        <v>166</v>
      </c>
      <c r="AM13" s="293" t="s">
        <v>165</v>
      </c>
      <c r="AN13" s="294">
        <f t="shared" si="35"/>
        <v>145250</v>
      </c>
      <c r="AO13" s="443"/>
      <c r="AP13" s="289"/>
      <c r="AQ13" s="289"/>
      <c r="AR13" s="297"/>
    </row>
    <row r="14" spans="1:44" s="283" customFormat="1" ht="12.75" customHeight="1" x14ac:dyDescent="0.2">
      <c r="A14" s="296">
        <v>48140763</v>
      </c>
      <c r="B14" s="275" t="str">
        <f>IFERROR(VLOOKUP(A14,'PLLA PARA EL SISTEMA'!$B$15:$AK$42,2,0),"")</f>
        <v>NOLASCO PRINCIPE RONAL JACINTO</v>
      </c>
      <c r="C14" s="276">
        <f>IFERROR(VLOOKUP(A14,'PLLA PARA EL SISTEMA'!$B$15:$AK$42,7,0),"")</f>
        <v>42644</v>
      </c>
      <c r="D14" s="277">
        <f>IFERROR(VLOOKUP(A14,'PLLA PARA EL SISTEMA'!$B$15:$AK$42,20,0),"")</f>
        <v>1000</v>
      </c>
      <c r="E14" s="277">
        <f>IFERROR(VLOOKUP(A14,'PLLA PARA EL SISTEMA'!$B$15:$AK$42,22,0),"")</f>
        <v>0</v>
      </c>
      <c r="F14" s="277">
        <f>IFERROR(VLOOKUP(A14,'PLLA PARA EL SISTEMA'!$B$15:$AK$42,35,0),"")</f>
        <v>200.00000000000009</v>
      </c>
      <c r="G14" s="277">
        <f>IFERROR(VLOOKUP(A14,'PLLA PARA EL SISTEMA'!$B$15:$AK$42,36,0),"")</f>
        <v>0</v>
      </c>
      <c r="H14" s="277">
        <f>IFERROR(VLOOKUP(A14,'PLLA PARA EL SISTEMA'!$B$15:$AK$42,23,0),"")</f>
        <v>0</v>
      </c>
      <c r="I14" s="278">
        <f t="shared" si="25"/>
        <v>1200</v>
      </c>
      <c r="J14" s="279">
        <f t="shared" si="3"/>
        <v>1200</v>
      </c>
      <c r="K14" s="279">
        <f t="shared" si="4"/>
        <v>1200</v>
      </c>
      <c r="L14" s="279">
        <f t="shared" si="5"/>
        <v>1200</v>
      </c>
      <c r="M14" s="279">
        <f t="shared" si="6"/>
        <v>1200</v>
      </c>
      <c r="N14" s="279">
        <f t="shared" si="7"/>
        <v>1200</v>
      </c>
      <c r="O14" s="279">
        <f t="shared" si="8"/>
        <v>1200</v>
      </c>
      <c r="P14" s="279">
        <f t="shared" si="9"/>
        <v>1200</v>
      </c>
      <c r="Q14" s="279">
        <f t="shared" si="10"/>
        <v>1090</v>
      </c>
      <c r="R14" s="279">
        <f t="shared" si="11"/>
        <v>1200</v>
      </c>
      <c r="S14" s="279">
        <f t="shared" si="12"/>
        <v>1200</v>
      </c>
      <c r="T14" s="279">
        <f t="shared" si="13"/>
        <v>1200</v>
      </c>
      <c r="U14" s="279">
        <f t="shared" si="14"/>
        <v>1200</v>
      </c>
      <c r="V14" s="279">
        <f t="shared" si="15"/>
        <v>1200</v>
      </c>
      <c r="W14" s="279">
        <f t="shared" si="16"/>
        <v>1090</v>
      </c>
      <c r="X14" s="279">
        <f t="shared" si="17"/>
        <v>16580</v>
      </c>
      <c r="Y14" s="280">
        <f t="shared" si="26"/>
        <v>-29050</v>
      </c>
      <c r="Z14" s="280">
        <f t="shared" si="27"/>
        <v>0</v>
      </c>
      <c r="AA14" s="281">
        <f t="shared" si="28"/>
        <v>0</v>
      </c>
      <c r="AB14" s="281">
        <f t="shared" si="29"/>
        <v>0</v>
      </c>
      <c r="AC14" s="282">
        <f t="shared" si="30"/>
        <v>0</v>
      </c>
      <c r="AD14" s="282">
        <f t="shared" si="31"/>
        <v>0</v>
      </c>
      <c r="AE14" s="282">
        <f t="shared" si="32"/>
        <v>0</v>
      </c>
      <c r="AF14" s="282">
        <f t="shared" si="33"/>
        <v>0</v>
      </c>
      <c r="AG14" s="282">
        <f t="shared" si="34"/>
        <v>0</v>
      </c>
      <c r="AI14" s="284"/>
      <c r="AJ14" s="291" t="s">
        <v>167</v>
      </c>
      <c r="AK14" s="292">
        <v>35</v>
      </c>
      <c r="AL14" s="293" t="s">
        <v>166</v>
      </c>
      <c r="AM14" s="293" t="s">
        <v>165</v>
      </c>
      <c r="AN14" s="294">
        <f t="shared" si="35"/>
        <v>145250</v>
      </c>
      <c r="AO14" s="443">
        <v>0.2</v>
      </c>
      <c r="AP14" s="289"/>
      <c r="AQ14" s="289"/>
      <c r="AR14" s="286"/>
    </row>
    <row r="15" spans="1:44" s="283" customFormat="1" ht="12.75" customHeight="1" x14ac:dyDescent="0.2">
      <c r="A15" s="296">
        <v>44443243</v>
      </c>
      <c r="B15" s="275" t="str">
        <f>IFERROR(VLOOKUP(A15,'PLLA PARA EL SISTEMA'!$B$15:$AK$42,2,0),"")</f>
        <v>PARCO CASTILLON SAUL</v>
      </c>
      <c r="C15" s="276">
        <f>IFERROR(VLOOKUP(A15,'PLLA PARA EL SISTEMA'!$B$15:$AK$42,7,0),"")</f>
        <v>42644</v>
      </c>
      <c r="D15" s="277">
        <f>IFERROR(VLOOKUP(A15,'PLLA PARA EL SISTEMA'!$B$15:$AK$42,20,0),"")</f>
        <v>1415</v>
      </c>
      <c r="E15" s="277">
        <f>IFERROR(VLOOKUP(A15,'PLLA PARA EL SISTEMA'!$B$15:$AK$42,22,0),"")</f>
        <v>85</v>
      </c>
      <c r="F15" s="277">
        <f>IFERROR(VLOOKUP(A15,'PLLA PARA EL SISTEMA'!$B$15:$AK$42,35,0),"")</f>
        <v>300</v>
      </c>
      <c r="G15" s="277">
        <f>IFERROR(VLOOKUP(A15,'PLLA PARA EL SISTEMA'!$B$15:$AK$42,36,0),"")</f>
        <v>0</v>
      </c>
      <c r="H15" s="277">
        <f>IFERROR(VLOOKUP(A15,'PLLA PARA EL SISTEMA'!$B$15:$AK$42,23,0),"")</f>
        <v>0</v>
      </c>
      <c r="I15" s="278">
        <f t="shared" si="25"/>
        <v>1800</v>
      </c>
      <c r="J15" s="279">
        <f t="shared" si="3"/>
        <v>1800</v>
      </c>
      <c r="K15" s="279">
        <f t="shared" si="4"/>
        <v>1800</v>
      </c>
      <c r="L15" s="279">
        <f t="shared" si="5"/>
        <v>1800</v>
      </c>
      <c r="M15" s="279">
        <f t="shared" si="6"/>
        <v>1800</v>
      </c>
      <c r="N15" s="279">
        <f t="shared" si="7"/>
        <v>1800</v>
      </c>
      <c r="O15" s="279">
        <f t="shared" si="8"/>
        <v>1800</v>
      </c>
      <c r="P15" s="279">
        <f t="shared" si="9"/>
        <v>1800</v>
      </c>
      <c r="Q15" s="279">
        <f t="shared" si="10"/>
        <v>1635.0000000000002</v>
      </c>
      <c r="R15" s="279">
        <f t="shared" si="11"/>
        <v>1800</v>
      </c>
      <c r="S15" s="279">
        <f t="shared" si="12"/>
        <v>1800</v>
      </c>
      <c r="T15" s="279">
        <f t="shared" si="13"/>
        <v>1800</v>
      </c>
      <c r="U15" s="279">
        <f t="shared" si="14"/>
        <v>1800</v>
      </c>
      <c r="V15" s="279">
        <f t="shared" si="15"/>
        <v>1800</v>
      </c>
      <c r="W15" s="279">
        <f t="shared" si="16"/>
        <v>1635.0000000000002</v>
      </c>
      <c r="X15" s="279">
        <f t="shared" si="17"/>
        <v>24870</v>
      </c>
      <c r="Y15" s="280">
        <f t="shared" si="26"/>
        <v>-29050</v>
      </c>
      <c r="Z15" s="280">
        <f t="shared" si="27"/>
        <v>0</v>
      </c>
      <c r="AA15" s="281">
        <f t="shared" si="28"/>
        <v>0</v>
      </c>
      <c r="AB15" s="281">
        <f t="shared" si="29"/>
        <v>0</v>
      </c>
      <c r="AC15" s="282">
        <f t="shared" si="30"/>
        <v>0</v>
      </c>
      <c r="AD15" s="282">
        <f t="shared" si="31"/>
        <v>0</v>
      </c>
      <c r="AE15" s="282">
        <f t="shared" si="32"/>
        <v>0</v>
      </c>
      <c r="AF15" s="282">
        <f t="shared" si="33"/>
        <v>0</v>
      </c>
      <c r="AG15" s="282">
        <f t="shared" si="34"/>
        <v>0</v>
      </c>
      <c r="AI15" s="284"/>
      <c r="AJ15" s="291" t="s">
        <v>168</v>
      </c>
      <c r="AK15" s="292">
        <v>45</v>
      </c>
      <c r="AL15" s="293" t="s">
        <v>166</v>
      </c>
      <c r="AM15" s="293" t="s">
        <v>165</v>
      </c>
      <c r="AN15" s="294">
        <f t="shared" si="35"/>
        <v>186750</v>
      </c>
      <c r="AO15" s="443"/>
      <c r="AP15" s="289"/>
      <c r="AQ15" s="289"/>
      <c r="AR15" s="297"/>
    </row>
    <row r="16" spans="1:44" s="283" customFormat="1" ht="12.75" customHeight="1" x14ac:dyDescent="0.2">
      <c r="A16" s="275">
        <v>41991289</v>
      </c>
      <c r="B16" s="275" t="str">
        <f>IFERROR(VLOOKUP(A16,'PLLA PARA EL SISTEMA'!$B$15:$AK$42,2,0),"")</f>
        <v>RODRIGUEZ ROSAS REYNALDO GERMAN</v>
      </c>
      <c r="C16" s="276">
        <f>IFERROR(VLOOKUP(A16,'PLLA PARA EL SISTEMA'!$B$15:$AK$42,7,0),"")</f>
        <v>39818</v>
      </c>
      <c r="D16" s="277">
        <f>IFERROR(VLOOKUP(A16,'PLLA PARA EL SISTEMA'!$B$15:$AK$42,20,0),"")</f>
        <v>2310</v>
      </c>
      <c r="E16" s="277">
        <f>IFERROR(VLOOKUP(A16,'PLLA PARA EL SISTEMA'!$B$15:$AK$42,22,0),"")</f>
        <v>85</v>
      </c>
      <c r="F16" s="277">
        <f>IFERROR(VLOOKUP(A16,'PLLA PARA EL SISTEMA'!$B$15:$AK$42,35,0),"")</f>
        <v>405</v>
      </c>
      <c r="G16" s="277">
        <f>IFERROR(VLOOKUP(A16,'PLLA PARA EL SISTEMA'!$B$15:$AK$42,36,0),"")</f>
        <v>0</v>
      </c>
      <c r="H16" s="277">
        <f>IFERROR(VLOOKUP(A16,'PLLA PARA EL SISTEMA'!$B$15:$AK$42,23,0),"")</f>
        <v>0</v>
      </c>
      <c r="I16" s="278">
        <f t="shared" si="25"/>
        <v>2800</v>
      </c>
      <c r="J16" s="279">
        <f t="shared" si="3"/>
        <v>2800</v>
      </c>
      <c r="K16" s="279">
        <f t="shared" si="4"/>
        <v>2800</v>
      </c>
      <c r="L16" s="279">
        <f t="shared" si="5"/>
        <v>2800</v>
      </c>
      <c r="M16" s="279">
        <f t="shared" si="6"/>
        <v>2800</v>
      </c>
      <c r="N16" s="279">
        <f t="shared" si="7"/>
        <v>2800</v>
      </c>
      <c r="O16" s="279">
        <f t="shared" si="8"/>
        <v>2800</v>
      </c>
      <c r="P16" s="279">
        <f t="shared" si="9"/>
        <v>2800</v>
      </c>
      <c r="Q16" s="279">
        <f t="shared" si="10"/>
        <v>2610.5500000000002</v>
      </c>
      <c r="R16" s="279">
        <f t="shared" si="11"/>
        <v>2800</v>
      </c>
      <c r="S16" s="279">
        <f t="shared" si="12"/>
        <v>2800</v>
      </c>
      <c r="T16" s="279">
        <f t="shared" si="13"/>
        <v>2800</v>
      </c>
      <c r="U16" s="279">
        <f t="shared" si="14"/>
        <v>2800</v>
      </c>
      <c r="V16" s="279">
        <f t="shared" si="15"/>
        <v>2800</v>
      </c>
      <c r="W16" s="279">
        <f t="shared" si="16"/>
        <v>2610.5500000000002</v>
      </c>
      <c r="X16" s="279">
        <f t="shared" si="17"/>
        <v>38821.100000000006</v>
      </c>
      <c r="Y16" s="280">
        <f t="shared" si="26"/>
        <v>-29050</v>
      </c>
      <c r="Z16" s="280">
        <f t="shared" si="27"/>
        <v>9771.1000000000058</v>
      </c>
      <c r="AA16" s="281">
        <f t="shared" si="28"/>
        <v>781.68800000000044</v>
      </c>
      <c r="AB16" s="281">
        <f t="shared" si="29"/>
        <v>0</v>
      </c>
      <c r="AC16" s="282">
        <f t="shared" si="30"/>
        <v>0</v>
      </c>
      <c r="AD16" s="282">
        <f t="shared" si="31"/>
        <v>0</v>
      </c>
      <c r="AE16" s="282">
        <f t="shared" si="32"/>
        <v>0</v>
      </c>
      <c r="AF16" s="282">
        <f t="shared" si="33"/>
        <v>781.68800000000044</v>
      </c>
      <c r="AG16" s="282">
        <f t="shared" si="34"/>
        <v>65.140666666666704</v>
      </c>
      <c r="AI16" s="284"/>
      <c r="AJ16" s="291" t="s">
        <v>167</v>
      </c>
      <c r="AK16" s="292">
        <v>45</v>
      </c>
      <c r="AL16" s="293" t="s">
        <v>166</v>
      </c>
      <c r="AM16" s="293" t="s">
        <v>165</v>
      </c>
      <c r="AN16" s="294">
        <f t="shared" si="35"/>
        <v>186750</v>
      </c>
      <c r="AO16" s="295">
        <v>0.3</v>
      </c>
      <c r="AP16" s="289"/>
      <c r="AQ16" s="289"/>
      <c r="AR16" s="286"/>
    </row>
    <row r="17" spans="1:44" s="283" customFormat="1" ht="12.75" customHeight="1" thickBot="1" x14ac:dyDescent="0.25">
      <c r="A17" s="275">
        <v>10619175</v>
      </c>
      <c r="B17" s="275" t="str">
        <f>IFERROR(VLOOKUP(A17,'PLLA PARA EL SISTEMA'!$B$15:$AK$42,2,0),"")</f>
        <v>SARMIENTO AURIS SONIA LIZ</v>
      </c>
      <c r="C17" s="276">
        <f>IFERROR(VLOOKUP(A17,'PLLA PARA EL SISTEMA'!$B$15:$AK$42,7,0),"")</f>
        <v>39083</v>
      </c>
      <c r="D17" s="277">
        <f>IFERROR(VLOOKUP(A17,'PLLA PARA EL SISTEMA'!$B$15:$AK$42,20,0),"")</f>
        <v>1615</v>
      </c>
      <c r="E17" s="277">
        <f>IFERROR(VLOOKUP(A17,'PLLA PARA EL SISTEMA'!$B$15:$AK$42,22,0),"")</f>
        <v>85</v>
      </c>
      <c r="F17" s="277">
        <f>IFERROR(VLOOKUP(A17,'PLLA PARA EL SISTEMA'!$B$15:$AK$42,35,0),"")</f>
        <v>300</v>
      </c>
      <c r="G17" s="277">
        <f>IFERROR(VLOOKUP(A17,'PLLA PARA EL SISTEMA'!$B$15:$AK$42,36,0),"")</f>
        <v>0</v>
      </c>
      <c r="H17" s="277">
        <f>IFERROR(VLOOKUP(A17,'PLLA PARA EL SISTEMA'!$B$15:$AK$42,23,0),"")</f>
        <v>0</v>
      </c>
      <c r="I17" s="278">
        <f t="shared" si="25"/>
        <v>2000</v>
      </c>
      <c r="J17" s="279">
        <f t="shared" si="3"/>
        <v>2000</v>
      </c>
      <c r="K17" s="279">
        <f t="shared" si="4"/>
        <v>2000</v>
      </c>
      <c r="L17" s="279">
        <f t="shared" si="5"/>
        <v>2000</v>
      </c>
      <c r="M17" s="279">
        <f t="shared" si="6"/>
        <v>2000</v>
      </c>
      <c r="N17" s="279">
        <f t="shared" si="7"/>
        <v>2000</v>
      </c>
      <c r="O17" s="279">
        <f t="shared" si="8"/>
        <v>2000</v>
      </c>
      <c r="P17" s="279">
        <f t="shared" si="9"/>
        <v>2000</v>
      </c>
      <c r="Q17" s="279">
        <f t="shared" si="10"/>
        <v>1853.0000000000002</v>
      </c>
      <c r="R17" s="279">
        <f t="shared" si="11"/>
        <v>2000</v>
      </c>
      <c r="S17" s="279">
        <f t="shared" si="12"/>
        <v>2000</v>
      </c>
      <c r="T17" s="279">
        <f t="shared" si="13"/>
        <v>2000</v>
      </c>
      <c r="U17" s="279">
        <f t="shared" si="14"/>
        <v>2000</v>
      </c>
      <c r="V17" s="279">
        <f t="shared" si="15"/>
        <v>2000</v>
      </c>
      <c r="W17" s="279">
        <f t="shared" si="16"/>
        <v>1853.0000000000002</v>
      </c>
      <c r="X17" s="279">
        <f t="shared" si="17"/>
        <v>27706</v>
      </c>
      <c r="Y17" s="280">
        <f t="shared" si="26"/>
        <v>-29050</v>
      </c>
      <c r="Z17" s="280">
        <f t="shared" si="27"/>
        <v>0</v>
      </c>
      <c r="AA17" s="281">
        <f t="shared" si="28"/>
        <v>0</v>
      </c>
      <c r="AB17" s="281">
        <f t="shared" si="29"/>
        <v>0</v>
      </c>
      <c r="AC17" s="282">
        <f t="shared" si="30"/>
        <v>0</v>
      </c>
      <c r="AD17" s="282">
        <f t="shared" si="31"/>
        <v>0</v>
      </c>
      <c r="AE17" s="282">
        <f t="shared" si="32"/>
        <v>0</v>
      </c>
      <c r="AF17" s="282">
        <f t="shared" si="33"/>
        <v>0</v>
      </c>
      <c r="AG17" s="282">
        <f t="shared" si="34"/>
        <v>0</v>
      </c>
      <c r="AI17" s="299"/>
      <c r="AJ17" s="300"/>
      <c r="AK17" s="300"/>
      <c r="AL17" s="300"/>
      <c r="AM17" s="300"/>
      <c r="AN17" s="300"/>
      <c r="AO17" s="300"/>
      <c r="AP17" s="300"/>
      <c r="AQ17" s="300"/>
      <c r="AR17" s="301"/>
    </row>
    <row r="18" spans="1:44" s="283" customFormat="1" ht="12.75" customHeight="1" x14ac:dyDescent="0.2">
      <c r="A18" s="296">
        <v>10750131</v>
      </c>
      <c r="B18" s="275" t="str">
        <f>IFERROR(VLOOKUP(A18,'PLLA PARA EL SISTEMA'!$B$15:$AK$42,2,0),"")</f>
        <v>VEGA ROSALES JOB EZEQUIEL</v>
      </c>
      <c r="C18" s="276">
        <f>IFERROR(VLOOKUP(A18,'PLLA PARA EL SISTEMA'!$B$15:$AK$42,7,0),"")</f>
        <v>42917</v>
      </c>
      <c r="D18" s="277">
        <f>IFERROR(VLOOKUP(A18,'PLLA PARA EL SISTEMA'!$B$15:$AK$42,20,0),"")</f>
        <v>1115</v>
      </c>
      <c r="E18" s="277">
        <f>IFERROR(VLOOKUP(A18,'PLLA PARA EL SISTEMA'!$B$15:$AK$42,22,0),"")</f>
        <v>85</v>
      </c>
      <c r="F18" s="277">
        <f>IFERROR(VLOOKUP(A18,'PLLA PARA EL SISTEMA'!$B$15:$AK$42,35,0),"")</f>
        <v>300</v>
      </c>
      <c r="G18" s="277">
        <f>IFERROR(VLOOKUP(A18,'PLLA PARA EL SISTEMA'!$B$15:$AK$42,36,0),"")</f>
        <v>0</v>
      </c>
      <c r="H18" s="277">
        <f>IFERROR(VLOOKUP(A18,'PLLA PARA EL SISTEMA'!$B$15:$AK$42,23,0),"")</f>
        <v>0</v>
      </c>
      <c r="I18" s="278">
        <f t="shared" si="25"/>
        <v>1500</v>
      </c>
      <c r="J18" s="279">
        <f t="shared" si="3"/>
        <v>1500</v>
      </c>
      <c r="K18" s="279">
        <f t="shared" si="4"/>
        <v>1500</v>
      </c>
      <c r="L18" s="279">
        <f t="shared" si="5"/>
        <v>1500</v>
      </c>
      <c r="M18" s="279">
        <f t="shared" si="6"/>
        <v>1500</v>
      </c>
      <c r="N18" s="279">
        <f t="shared" si="7"/>
        <v>1500</v>
      </c>
      <c r="O18" s="279">
        <f t="shared" si="8"/>
        <v>1500</v>
      </c>
      <c r="P18" s="279">
        <f t="shared" si="9"/>
        <v>1500</v>
      </c>
      <c r="Q18" s="279">
        <f t="shared" si="10"/>
        <v>1308</v>
      </c>
      <c r="R18" s="279">
        <f t="shared" si="11"/>
        <v>1500</v>
      </c>
      <c r="S18" s="279">
        <f t="shared" si="12"/>
        <v>1500</v>
      </c>
      <c r="T18" s="279">
        <f t="shared" si="13"/>
        <v>1500</v>
      </c>
      <c r="U18" s="279">
        <f t="shared" si="14"/>
        <v>1500</v>
      </c>
      <c r="V18" s="279">
        <f t="shared" si="15"/>
        <v>1500</v>
      </c>
      <c r="W18" s="279">
        <f t="shared" si="16"/>
        <v>1308</v>
      </c>
      <c r="X18" s="279">
        <f t="shared" si="17"/>
        <v>20616</v>
      </c>
      <c r="Y18" s="280">
        <f t="shared" si="26"/>
        <v>-29050</v>
      </c>
      <c r="Z18" s="280">
        <f t="shared" si="27"/>
        <v>0</v>
      </c>
      <c r="AA18" s="281">
        <f t="shared" si="28"/>
        <v>0</v>
      </c>
      <c r="AB18" s="281">
        <f t="shared" si="29"/>
        <v>0</v>
      </c>
      <c r="AC18" s="282">
        <f t="shared" si="30"/>
        <v>0</v>
      </c>
      <c r="AD18" s="282">
        <f t="shared" si="31"/>
        <v>0</v>
      </c>
      <c r="AE18" s="282">
        <f t="shared" si="32"/>
        <v>0</v>
      </c>
      <c r="AF18" s="282">
        <f t="shared" si="33"/>
        <v>0</v>
      </c>
      <c r="AG18" s="282">
        <f t="shared" si="34"/>
        <v>0</v>
      </c>
    </row>
    <row r="19" spans="1:44" s="283" customFormat="1" ht="12.75" customHeight="1" x14ac:dyDescent="0.2">
      <c r="A19" s="275">
        <v>47547622</v>
      </c>
      <c r="B19" s="275" t="str">
        <f>IFERROR(VLOOKUP(A19,'PLLA PARA EL SISTEMA'!$B$15:$AK$42,2,0),"")</f>
        <v>VELASQUEZ CAMPOS ABIGAIL NOEMI</v>
      </c>
      <c r="C19" s="276">
        <f>IFERROR(VLOOKUP(A19,'PLLA PARA EL SISTEMA'!$B$15:$AK$42,7,0),"")</f>
        <v>42795</v>
      </c>
      <c r="D19" s="277">
        <f>IFERROR(VLOOKUP(A19,'PLLA PARA EL SISTEMA'!$B$15:$AK$42,20,0),"")</f>
        <v>1000</v>
      </c>
      <c r="E19" s="277">
        <f>IFERROR(VLOOKUP(A19,'PLLA PARA EL SISTEMA'!$B$15:$AK$42,22,0),"")</f>
        <v>0</v>
      </c>
      <c r="F19" s="277">
        <f>IFERROR(VLOOKUP(A19,'PLLA PARA EL SISTEMA'!$B$15:$AK$42,35,0),"")</f>
        <v>117.4</v>
      </c>
      <c r="G19" s="277">
        <f>IFERROR(VLOOKUP(A19,'PLLA PARA EL SISTEMA'!$B$15:$AK$42,36,0),"")</f>
        <v>0</v>
      </c>
      <c r="H19" s="277">
        <f>IFERROR(VLOOKUP(A19,'PLLA PARA EL SISTEMA'!$B$15:$AK$42,23,0),"")</f>
        <v>0</v>
      </c>
      <c r="I19" s="278">
        <f t="shared" si="25"/>
        <v>1117.4000000000001</v>
      </c>
      <c r="J19" s="279">
        <f t="shared" si="3"/>
        <v>1117.4000000000001</v>
      </c>
      <c r="K19" s="279">
        <f t="shared" si="4"/>
        <v>1117.4000000000001</v>
      </c>
      <c r="L19" s="279">
        <f t="shared" si="5"/>
        <v>1117.4000000000001</v>
      </c>
      <c r="M19" s="279">
        <f t="shared" si="6"/>
        <v>1117.4000000000001</v>
      </c>
      <c r="N19" s="279">
        <f t="shared" si="7"/>
        <v>1117.4000000000001</v>
      </c>
      <c r="O19" s="279">
        <f t="shared" si="8"/>
        <v>1117.4000000000001</v>
      </c>
      <c r="P19" s="279">
        <f t="shared" si="9"/>
        <v>1117.4000000000001</v>
      </c>
      <c r="Q19" s="279">
        <f t="shared" si="10"/>
        <v>1090</v>
      </c>
      <c r="R19" s="279">
        <f t="shared" si="11"/>
        <v>1117.4000000000001</v>
      </c>
      <c r="S19" s="279">
        <f t="shared" si="12"/>
        <v>1117.4000000000001</v>
      </c>
      <c r="T19" s="279">
        <f t="shared" si="13"/>
        <v>1117.4000000000001</v>
      </c>
      <c r="U19" s="279">
        <f t="shared" si="14"/>
        <v>1117.4000000000001</v>
      </c>
      <c r="V19" s="279">
        <f t="shared" si="15"/>
        <v>1117.4000000000001</v>
      </c>
      <c r="W19" s="279">
        <f t="shared" si="16"/>
        <v>1090</v>
      </c>
      <c r="X19" s="279">
        <f t="shared" si="17"/>
        <v>15588.799999999997</v>
      </c>
      <c r="Y19" s="280">
        <f t="shared" si="26"/>
        <v>-29050</v>
      </c>
      <c r="Z19" s="280">
        <f t="shared" si="27"/>
        <v>0</v>
      </c>
      <c r="AA19" s="281">
        <f t="shared" si="28"/>
        <v>0</v>
      </c>
      <c r="AB19" s="281">
        <f t="shared" si="29"/>
        <v>0</v>
      </c>
      <c r="AC19" s="282">
        <f t="shared" si="30"/>
        <v>0</v>
      </c>
      <c r="AD19" s="282">
        <f t="shared" si="31"/>
        <v>0</v>
      </c>
      <c r="AE19" s="282">
        <f t="shared" si="32"/>
        <v>0</v>
      </c>
      <c r="AF19" s="282">
        <f t="shared" si="33"/>
        <v>0</v>
      </c>
      <c r="AG19" s="282">
        <f t="shared" si="34"/>
        <v>0</v>
      </c>
    </row>
    <row r="20" spans="1:44" s="283" customFormat="1" ht="12.75" customHeight="1" x14ac:dyDescent="0.2">
      <c r="A20" s="275">
        <v>40709623</v>
      </c>
      <c r="B20" s="275" t="str">
        <f>IFERROR(VLOOKUP(A20,'PLLA PARA EL SISTEMA'!$B$15:$AK$42,2,0),"")</f>
        <v>VELASQUEZ CAMPOS DAVIS JONATHAN</v>
      </c>
      <c r="C20" s="276">
        <f>IFERROR(VLOOKUP(A20,'PLLA PARA EL SISTEMA'!$B$15:$AK$42,7,0),"")</f>
        <v>38565</v>
      </c>
      <c r="D20" s="277">
        <f>IFERROR(VLOOKUP(A20,'PLLA PARA EL SISTEMA'!$B$15:$AK$42,20,0),"")</f>
        <v>6000</v>
      </c>
      <c r="E20" s="277">
        <f>IFERROR(VLOOKUP(A20,'PLLA PARA EL SISTEMA'!$B$15:$AK$42,22,0),"")</f>
        <v>0</v>
      </c>
      <c r="F20" s="277">
        <f>IFERROR(VLOOKUP(A20,'PLLA PARA EL SISTEMA'!$B$15:$AK$42,35,0),"")</f>
        <v>399.99999999999898</v>
      </c>
      <c r="G20" s="277">
        <f>IFERROR(VLOOKUP(A20,'PLLA PARA EL SISTEMA'!$B$15:$AK$42,36,0),"")</f>
        <v>500.00000000000102</v>
      </c>
      <c r="H20" s="277">
        <f>IFERROR(VLOOKUP(A20,'PLLA PARA EL SISTEMA'!$B$15:$AK$42,23,0),"")</f>
        <v>0</v>
      </c>
      <c r="I20" s="278">
        <f t="shared" si="25"/>
        <v>6900</v>
      </c>
      <c r="J20" s="279">
        <f t="shared" si="3"/>
        <v>6900</v>
      </c>
      <c r="K20" s="279">
        <f t="shared" si="4"/>
        <v>6900</v>
      </c>
      <c r="L20" s="279">
        <f t="shared" si="5"/>
        <v>6900</v>
      </c>
      <c r="M20" s="279">
        <f t="shared" si="6"/>
        <v>6900</v>
      </c>
      <c r="N20" s="279">
        <f t="shared" si="7"/>
        <v>6900</v>
      </c>
      <c r="O20" s="279">
        <f t="shared" si="8"/>
        <v>6900</v>
      </c>
      <c r="P20" s="279">
        <f t="shared" si="9"/>
        <v>6900</v>
      </c>
      <c r="Q20" s="279">
        <f t="shared" si="10"/>
        <v>6540.0000000000009</v>
      </c>
      <c r="R20" s="279">
        <f t="shared" si="11"/>
        <v>6900</v>
      </c>
      <c r="S20" s="279">
        <f t="shared" si="12"/>
        <v>6900</v>
      </c>
      <c r="T20" s="279">
        <f t="shared" si="13"/>
        <v>6900</v>
      </c>
      <c r="U20" s="279">
        <f t="shared" si="14"/>
        <v>6900</v>
      </c>
      <c r="V20" s="279">
        <f t="shared" si="15"/>
        <v>6900</v>
      </c>
      <c r="W20" s="279">
        <f t="shared" si="16"/>
        <v>6540.0000000000009</v>
      </c>
      <c r="X20" s="279">
        <f t="shared" si="17"/>
        <v>95880</v>
      </c>
      <c r="Y20" s="280">
        <f t="shared" si="26"/>
        <v>-29050</v>
      </c>
      <c r="Z20" s="280">
        <f t="shared" si="27"/>
        <v>66830</v>
      </c>
      <c r="AA20" s="281">
        <f t="shared" si="28"/>
        <v>1660</v>
      </c>
      <c r="AB20" s="281">
        <f t="shared" si="29"/>
        <v>6451.2000000000007</v>
      </c>
      <c r="AC20" s="282">
        <f t="shared" si="30"/>
        <v>0</v>
      </c>
      <c r="AD20" s="282">
        <f t="shared" si="31"/>
        <v>0</v>
      </c>
      <c r="AE20" s="282">
        <f t="shared" si="32"/>
        <v>0</v>
      </c>
      <c r="AF20" s="282">
        <f t="shared" si="33"/>
        <v>8111.2000000000007</v>
      </c>
      <c r="AG20" s="282">
        <f t="shared" si="34"/>
        <v>675.93333333333339</v>
      </c>
    </row>
    <row r="21" spans="1:44" s="283" customFormat="1" ht="12.75" customHeight="1" x14ac:dyDescent="0.2">
      <c r="A21" s="275">
        <v>46287416</v>
      </c>
      <c r="B21" s="275" t="str">
        <f>IFERROR(VLOOKUP(A21,'PLLA PARA EL SISTEMA'!$B$15:$AK$42,2,0),"")</f>
        <v>CALLACNA VALENCIA JOSE JOSE</v>
      </c>
      <c r="C21" s="276">
        <f>IFERROR(VLOOKUP(A21,'PLLA PARA EL SISTEMA'!$B$15:$AK$42,7,0),"")</f>
        <v>43108</v>
      </c>
      <c r="D21" s="277">
        <f>IFERROR(VLOOKUP(A21,'PLLA PARA EL SISTEMA'!$B$15:$AK$42,20,0),"")</f>
        <v>1000</v>
      </c>
      <c r="E21" s="277">
        <f>IFERROR(VLOOKUP(A21,'PLLA PARA EL SISTEMA'!$B$15:$AK$42,22,0),"")</f>
        <v>0</v>
      </c>
      <c r="F21" s="277">
        <f>IFERROR(VLOOKUP(A21,'PLLA PARA EL SISTEMA'!$B$15:$AK$42,35,0),"")</f>
        <v>117.4</v>
      </c>
      <c r="G21" s="277">
        <f>IFERROR(VLOOKUP(A21,'PLLA PARA EL SISTEMA'!$B$15:$AK$42,36,0),"")</f>
        <v>0</v>
      </c>
      <c r="H21" s="277">
        <f>IFERROR(VLOOKUP(A21,'PLLA PARA EL SISTEMA'!$B$15:$AK$42,23,0),"")</f>
        <v>0</v>
      </c>
      <c r="I21" s="278">
        <f t="shared" si="25"/>
        <v>1117.4000000000001</v>
      </c>
      <c r="J21" s="279">
        <f t="shared" si="3"/>
        <v>1117.4000000000001</v>
      </c>
      <c r="K21" s="279">
        <f t="shared" si="4"/>
        <v>1117.4000000000001</v>
      </c>
      <c r="L21" s="279">
        <f t="shared" si="5"/>
        <v>1117.4000000000001</v>
      </c>
      <c r="M21" s="279">
        <f t="shared" si="6"/>
        <v>1117.4000000000001</v>
      </c>
      <c r="N21" s="279">
        <f t="shared" si="7"/>
        <v>1117.4000000000001</v>
      </c>
      <c r="O21" s="279">
        <f t="shared" si="8"/>
        <v>1117.4000000000001</v>
      </c>
      <c r="P21" s="279">
        <f t="shared" si="9"/>
        <v>1117.4000000000001</v>
      </c>
      <c r="Q21" s="279">
        <f t="shared" si="10"/>
        <v>1090</v>
      </c>
      <c r="R21" s="279">
        <f t="shared" si="11"/>
        <v>1117.4000000000001</v>
      </c>
      <c r="S21" s="279">
        <f t="shared" si="12"/>
        <v>1117.4000000000001</v>
      </c>
      <c r="T21" s="279">
        <f t="shared" si="13"/>
        <v>1117.4000000000001</v>
      </c>
      <c r="U21" s="279">
        <f t="shared" si="14"/>
        <v>1117.4000000000001</v>
      </c>
      <c r="V21" s="279">
        <f t="shared" si="15"/>
        <v>1117.4000000000001</v>
      </c>
      <c r="W21" s="279">
        <f t="shared" si="16"/>
        <v>1090</v>
      </c>
      <c r="X21" s="279">
        <f t="shared" si="17"/>
        <v>15588.799999999997</v>
      </c>
      <c r="Y21" s="280">
        <f t="shared" si="26"/>
        <v>-29050</v>
      </c>
      <c r="Z21" s="280">
        <f t="shared" si="27"/>
        <v>0</v>
      </c>
      <c r="AA21" s="281">
        <f t="shared" si="28"/>
        <v>0</v>
      </c>
      <c r="AB21" s="281">
        <f t="shared" si="29"/>
        <v>0</v>
      </c>
      <c r="AC21" s="282">
        <f t="shared" si="30"/>
        <v>0</v>
      </c>
      <c r="AD21" s="282">
        <f t="shared" si="31"/>
        <v>0</v>
      </c>
      <c r="AE21" s="282">
        <f t="shared" si="32"/>
        <v>0</v>
      </c>
      <c r="AF21" s="282">
        <f t="shared" si="33"/>
        <v>0</v>
      </c>
      <c r="AG21" s="282">
        <f t="shared" si="34"/>
        <v>0</v>
      </c>
    </row>
    <row r="22" spans="1:44" s="283" customFormat="1" ht="12.75" customHeight="1" x14ac:dyDescent="0.2">
      <c r="A22" s="275">
        <v>41593805</v>
      </c>
      <c r="B22" s="275" t="str">
        <f>IFERROR(VLOOKUP(A22,'PLLA PARA EL SISTEMA'!$B$15:$AK$42,2,0),"")</f>
        <v>CALLIRGOS URBIZAGASTEGUI KARINA ROCIO</v>
      </c>
      <c r="C22" s="276">
        <f>IFERROR(VLOOKUP(A22,'PLLA PARA EL SISTEMA'!$B$15:$AK$42,7,0),"")</f>
        <v>43108</v>
      </c>
      <c r="D22" s="277">
        <f>IFERROR(VLOOKUP(A22,'PLLA PARA EL SISTEMA'!$B$15:$AK$42,20,0),"")</f>
        <v>850</v>
      </c>
      <c r="E22" s="277">
        <f>IFERROR(VLOOKUP(A22,'PLLA PARA EL SISTEMA'!$B$15:$AK$42,22,0),"")</f>
        <v>85</v>
      </c>
      <c r="F22" s="277">
        <f>IFERROR(VLOOKUP(A22,'PLLA PARA EL SISTEMA'!$B$15:$AK$42,35,0),"")</f>
        <v>86.55</v>
      </c>
      <c r="G22" s="277">
        <f>IFERROR(VLOOKUP(A22,'PLLA PARA EL SISTEMA'!$B$15:$AK$42,36,0),"")</f>
        <v>0</v>
      </c>
      <c r="H22" s="277">
        <f>IFERROR(VLOOKUP(A22,'PLLA PARA EL SISTEMA'!$B$15:$AK$42,23,0),"")</f>
        <v>0</v>
      </c>
      <c r="I22" s="278">
        <f t="shared" si="25"/>
        <v>1021.55</v>
      </c>
      <c r="J22" s="279">
        <f t="shared" si="3"/>
        <v>1021.55</v>
      </c>
      <c r="K22" s="279">
        <f t="shared" si="4"/>
        <v>1021.55</v>
      </c>
      <c r="L22" s="279">
        <f t="shared" si="5"/>
        <v>1021.55</v>
      </c>
      <c r="M22" s="279">
        <f t="shared" si="6"/>
        <v>1021.55</v>
      </c>
      <c r="N22" s="279">
        <f t="shared" si="7"/>
        <v>1021.55</v>
      </c>
      <c r="O22" s="279">
        <f t="shared" si="8"/>
        <v>1021.55</v>
      </c>
      <c r="P22" s="279">
        <f t="shared" si="9"/>
        <v>1021.55</v>
      </c>
      <c r="Q22" s="279">
        <f t="shared" si="10"/>
        <v>1019.1500000000001</v>
      </c>
      <c r="R22" s="279">
        <f t="shared" si="11"/>
        <v>1021.55</v>
      </c>
      <c r="S22" s="279">
        <f t="shared" si="12"/>
        <v>1021.55</v>
      </c>
      <c r="T22" s="279">
        <f t="shared" si="13"/>
        <v>1021.55</v>
      </c>
      <c r="U22" s="279">
        <f t="shared" si="14"/>
        <v>1021.55</v>
      </c>
      <c r="V22" s="279">
        <f t="shared" si="15"/>
        <v>1021.55</v>
      </c>
      <c r="W22" s="279">
        <f t="shared" si="16"/>
        <v>1019.1500000000001</v>
      </c>
      <c r="X22" s="279">
        <f t="shared" si="17"/>
        <v>14296.899999999996</v>
      </c>
      <c r="Y22" s="280">
        <f t="shared" si="26"/>
        <v>-29050</v>
      </c>
      <c r="Z22" s="280">
        <f t="shared" si="27"/>
        <v>0</v>
      </c>
      <c r="AA22" s="281">
        <f t="shared" si="28"/>
        <v>0</v>
      </c>
      <c r="AB22" s="281">
        <f t="shared" si="29"/>
        <v>0</v>
      </c>
      <c r="AC22" s="282">
        <f t="shared" si="30"/>
        <v>0</v>
      </c>
      <c r="AD22" s="282">
        <f t="shared" si="31"/>
        <v>0</v>
      </c>
      <c r="AE22" s="282">
        <f t="shared" si="32"/>
        <v>0</v>
      </c>
      <c r="AF22" s="282">
        <f t="shared" si="33"/>
        <v>0</v>
      </c>
      <c r="AG22" s="282">
        <f t="shared" si="34"/>
        <v>0</v>
      </c>
    </row>
    <row r="23" spans="1:44" s="283" customFormat="1" ht="12.75" customHeight="1" x14ac:dyDescent="0.2">
      <c r="A23" s="275">
        <v>10611183</v>
      </c>
      <c r="B23" s="275" t="str">
        <f>IFERROR(VLOOKUP(A23,'PLLA PARA EL SISTEMA'!$B$15:$AK$42,2,0),"")</f>
        <v xml:space="preserve">FLORES TORRE ANDREA SEGUNDINA </v>
      </c>
      <c r="C23" s="276">
        <f>IFERROR(VLOOKUP(A23,'PLLA PARA EL SISTEMA'!$B$15:$AK$42,7,0),"")</f>
        <v>43108</v>
      </c>
      <c r="D23" s="277">
        <f>IFERROR(VLOOKUP(A23,'PLLA PARA EL SISTEMA'!$B$15:$AK$42,20,0),"")</f>
        <v>915</v>
      </c>
      <c r="E23" s="277">
        <f>IFERROR(VLOOKUP(A23,'PLLA PARA EL SISTEMA'!$B$15:$AK$42,22,0),"")</f>
        <v>85</v>
      </c>
      <c r="F23" s="277">
        <f>IFERROR(VLOOKUP(A23,'PLLA PARA EL SISTEMA'!$B$15:$AK$42,35,0),"")</f>
        <v>130</v>
      </c>
      <c r="G23" s="277">
        <f>IFERROR(VLOOKUP(A23,'PLLA PARA EL SISTEMA'!$B$15:$AK$42,36,0),"")</f>
        <v>0</v>
      </c>
      <c r="H23" s="277">
        <f>IFERROR(VLOOKUP(A23,'PLLA PARA EL SISTEMA'!$B$15:$AK$42,23,0),"")</f>
        <v>0</v>
      </c>
      <c r="I23" s="278">
        <f t="shared" si="25"/>
        <v>1130</v>
      </c>
      <c r="J23" s="279">
        <f t="shared" ref="J23:J24" si="36">+I23</f>
        <v>1130</v>
      </c>
      <c r="K23" s="279">
        <f t="shared" ref="K23:K24" si="37">+I23</f>
        <v>1130</v>
      </c>
      <c r="L23" s="279">
        <f t="shared" ref="L23:L24" si="38">+I23</f>
        <v>1130</v>
      </c>
      <c r="M23" s="279">
        <f t="shared" ref="M23:M24" si="39">+I23</f>
        <v>1130</v>
      </c>
      <c r="N23" s="279">
        <f t="shared" ref="N23:N24" si="40">+I23</f>
        <v>1130</v>
      </c>
      <c r="O23" s="279">
        <f t="shared" ref="O23:O24" si="41">+I23</f>
        <v>1130</v>
      </c>
      <c r="P23" s="279">
        <f t="shared" ref="P23:P24" si="42">+I23</f>
        <v>1130</v>
      </c>
      <c r="Q23" s="279">
        <f t="shared" ref="Q23:Q24" si="43">IFERROR((D23+E23)*1.09,"")</f>
        <v>1090</v>
      </c>
      <c r="R23" s="279">
        <f t="shared" ref="R23:R24" si="44">+I23</f>
        <v>1130</v>
      </c>
      <c r="S23" s="279">
        <f t="shared" ref="S23:S24" si="45">+I23</f>
        <v>1130</v>
      </c>
      <c r="T23" s="279">
        <f t="shared" ref="T23:T24" si="46">+I23</f>
        <v>1130</v>
      </c>
      <c r="U23" s="279">
        <f t="shared" ref="U23:U24" si="47">+I23</f>
        <v>1130</v>
      </c>
      <c r="V23" s="279">
        <f t="shared" ref="V23:V24" si="48">+I23</f>
        <v>1130</v>
      </c>
      <c r="W23" s="279">
        <f t="shared" ref="W23:W24" si="49">IFERROR((D23+E23)*1.09,"")</f>
        <v>1090</v>
      </c>
      <c r="X23" s="279">
        <f t="shared" ref="X23:X24" si="50">SUM(J23:W23)</f>
        <v>15740</v>
      </c>
      <c r="Y23" s="280">
        <f t="shared" si="26"/>
        <v>-29050</v>
      </c>
      <c r="Z23" s="280">
        <f t="shared" si="27"/>
        <v>0</v>
      </c>
      <c r="AA23" s="281">
        <f t="shared" si="28"/>
        <v>0</v>
      </c>
      <c r="AB23" s="281">
        <f t="shared" si="29"/>
        <v>0</v>
      </c>
      <c r="AC23" s="282">
        <f t="shared" si="30"/>
        <v>0</v>
      </c>
      <c r="AD23" s="282">
        <f t="shared" si="31"/>
        <v>0</v>
      </c>
      <c r="AE23" s="282">
        <f t="shared" si="32"/>
        <v>0</v>
      </c>
      <c r="AF23" s="282">
        <f t="shared" si="33"/>
        <v>0</v>
      </c>
      <c r="AG23" s="282">
        <f t="shared" si="34"/>
        <v>0</v>
      </c>
    </row>
    <row r="24" spans="1:44" s="283" customFormat="1" ht="12.75" customHeight="1" x14ac:dyDescent="0.2">
      <c r="A24" s="275">
        <v>41237709</v>
      </c>
      <c r="B24" s="275" t="str">
        <f>IFERROR(VLOOKUP(A24,'PLLA PARA EL SISTEMA'!$B$15:$AK$42,2,0),"")</f>
        <v>QUISPE TITO BETTY  CARMEN</v>
      </c>
      <c r="C24" s="276">
        <f>IFERROR(VLOOKUP(A24,'PLLA PARA EL SISTEMA'!$B$15:$AK$42,7,0),"")</f>
        <v>43108</v>
      </c>
      <c r="D24" s="277">
        <f>IFERROR(VLOOKUP(A24,'PLLA PARA EL SISTEMA'!$B$15:$AK$42,20,0),"")</f>
        <v>850</v>
      </c>
      <c r="E24" s="277">
        <f>IFERROR(VLOOKUP(A24,'PLLA PARA EL SISTEMA'!$B$15:$AK$42,22,0),"")</f>
        <v>85</v>
      </c>
      <c r="F24" s="277">
        <f>IFERROR(VLOOKUP(A24,'PLLA PARA EL SISTEMA'!$B$15:$AK$42,35,0),"")</f>
        <v>86.550000000000097</v>
      </c>
      <c r="G24" s="277">
        <f>IFERROR(VLOOKUP(A24,'PLLA PARA EL SISTEMA'!$B$15:$AK$42,36,0),"")</f>
        <v>0</v>
      </c>
      <c r="H24" s="277">
        <f>IFERROR(VLOOKUP(A24,'PLLA PARA EL SISTEMA'!$B$15:$AK$42,23,0),"")</f>
        <v>0</v>
      </c>
      <c r="I24" s="278">
        <f t="shared" si="25"/>
        <v>1021.5500000000001</v>
      </c>
      <c r="J24" s="279">
        <f t="shared" si="36"/>
        <v>1021.5500000000001</v>
      </c>
      <c r="K24" s="279">
        <f t="shared" si="37"/>
        <v>1021.5500000000001</v>
      </c>
      <c r="L24" s="279">
        <f t="shared" si="38"/>
        <v>1021.5500000000001</v>
      </c>
      <c r="M24" s="279">
        <f t="shared" si="39"/>
        <v>1021.5500000000001</v>
      </c>
      <c r="N24" s="279">
        <f t="shared" si="40"/>
        <v>1021.5500000000001</v>
      </c>
      <c r="O24" s="279">
        <f t="shared" si="41"/>
        <v>1021.5500000000001</v>
      </c>
      <c r="P24" s="279">
        <f t="shared" si="42"/>
        <v>1021.5500000000001</v>
      </c>
      <c r="Q24" s="279">
        <f t="shared" si="43"/>
        <v>1019.1500000000001</v>
      </c>
      <c r="R24" s="279">
        <f t="shared" si="44"/>
        <v>1021.5500000000001</v>
      </c>
      <c r="S24" s="279">
        <f t="shared" si="45"/>
        <v>1021.5500000000001</v>
      </c>
      <c r="T24" s="279">
        <f t="shared" si="46"/>
        <v>1021.5500000000001</v>
      </c>
      <c r="U24" s="279">
        <f t="shared" si="47"/>
        <v>1021.5500000000001</v>
      </c>
      <c r="V24" s="279">
        <f t="shared" si="48"/>
        <v>1021.5500000000001</v>
      </c>
      <c r="W24" s="279">
        <f t="shared" si="49"/>
        <v>1019.1500000000001</v>
      </c>
      <c r="X24" s="279">
        <f t="shared" si="50"/>
        <v>14296.899999999996</v>
      </c>
      <c r="Y24" s="280">
        <f t="shared" si="26"/>
        <v>-29050</v>
      </c>
      <c r="Z24" s="280">
        <f t="shared" si="27"/>
        <v>0</v>
      </c>
      <c r="AA24" s="281">
        <f t="shared" si="28"/>
        <v>0</v>
      </c>
      <c r="AB24" s="281">
        <f t="shared" si="29"/>
        <v>0</v>
      </c>
      <c r="AC24" s="282">
        <f t="shared" si="30"/>
        <v>0</v>
      </c>
      <c r="AD24" s="282">
        <f t="shared" si="31"/>
        <v>0</v>
      </c>
      <c r="AE24" s="282">
        <f t="shared" si="32"/>
        <v>0</v>
      </c>
      <c r="AF24" s="282">
        <f t="shared" si="33"/>
        <v>0</v>
      </c>
      <c r="AG24" s="282">
        <f t="shared" si="34"/>
        <v>0</v>
      </c>
    </row>
    <row r="25" spans="1:44" s="283" customFormat="1" ht="12.75" customHeight="1" x14ac:dyDescent="0.2">
      <c r="A25" s="302">
        <v>74446267</v>
      </c>
      <c r="B25" s="275" t="str">
        <f>IFERROR(VLOOKUP(A25,'PLLA PARA EL SISTEMA'!$B$15:$AK$42,2,0),"")</f>
        <v>AURES PEREZ DANITZA NELLY</v>
      </c>
      <c r="C25" s="276">
        <f>IFERROR(VLOOKUP(A25,'PLLA PARA EL SISTEMA'!$B$15:$AK$42,7,0),"")</f>
        <v>43108</v>
      </c>
      <c r="D25" s="277">
        <f>IFERROR(VLOOKUP(A25,'PLLA PARA EL SISTEMA'!$B$15:$AK$42,20,0),"")</f>
        <v>935</v>
      </c>
      <c r="E25" s="277">
        <f>IFERROR(VLOOKUP(A25,'PLLA PARA EL SISTEMA'!$B$15:$AK$42,22,0),"")</f>
        <v>0</v>
      </c>
      <c r="F25" s="277">
        <f>IFERROR(VLOOKUP(A25,'PLLA PARA EL SISTEMA'!$B$15:$AK$42,35,0),"")</f>
        <v>72.900000000000091</v>
      </c>
      <c r="G25" s="277">
        <f>IFERROR(VLOOKUP(A25,'PLLA PARA EL SISTEMA'!$B$15:$AK$42,36,0),"")</f>
        <v>0</v>
      </c>
      <c r="H25" s="277">
        <f>IFERROR(VLOOKUP(A25,'PLLA PARA EL SISTEMA'!$B$15:$AK$42,23,0),"")</f>
        <v>0</v>
      </c>
      <c r="I25" s="278">
        <f t="shared" si="25"/>
        <v>1007.9000000000001</v>
      </c>
      <c r="J25" s="279">
        <f t="shared" si="3"/>
        <v>1007.9000000000001</v>
      </c>
      <c r="K25" s="279">
        <f t="shared" si="4"/>
        <v>1007.9000000000001</v>
      </c>
      <c r="L25" s="279">
        <f t="shared" si="5"/>
        <v>1007.9000000000001</v>
      </c>
      <c r="M25" s="279">
        <f t="shared" si="6"/>
        <v>1007.9000000000001</v>
      </c>
      <c r="N25" s="279">
        <f t="shared" si="7"/>
        <v>1007.9000000000001</v>
      </c>
      <c r="O25" s="279">
        <f t="shared" si="8"/>
        <v>1007.9000000000001</v>
      </c>
      <c r="P25" s="279">
        <f t="shared" si="9"/>
        <v>1007.9000000000001</v>
      </c>
      <c r="Q25" s="279">
        <f t="shared" si="10"/>
        <v>1019.1500000000001</v>
      </c>
      <c r="R25" s="279">
        <f t="shared" si="11"/>
        <v>1007.9000000000001</v>
      </c>
      <c r="S25" s="279">
        <f t="shared" si="12"/>
        <v>1007.9000000000001</v>
      </c>
      <c r="T25" s="279">
        <f t="shared" si="13"/>
        <v>1007.9000000000001</v>
      </c>
      <c r="U25" s="279">
        <f t="shared" si="14"/>
        <v>1007.9000000000001</v>
      </c>
      <c r="V25" s="279">
        <f t="shared" si="15"/>
        <v>1007.9000000000001</v>
      </c>
      <c r="W25" s="279">
        <f t="shared" si="16"/>
        <v>1019.1500000000001</v>
      </c>
      <c r="X25" s="279">
        <f t="shared" si="17"/>
        <v>14133.099999999997</v>
      </c>
      <c r="Y25" s="280">
        <f t="shared" si="26"/>
        <v>-29050</v>
      </c>
      <c r="Z25" s="280">
        <f t="shared" si="27"/>
        <v>0</v>
      </c>
      <c r="AA25" s="281">
        <f t="shared" si="28"/>
        <v>0</v>
      </c>
      <c r="AB25" s="281">
        <f t="shared" si="29"/>
        <v>0</v>
      </c>
      <c r="AC25" s="282">
        <f t="shared" si="30"/>
        <v>0</v>
      </c>
      <c r="AD25" s="282">
        <f t="shared" si="31"/>
        <v>0</v>
      </c>
      <c r="AE25" s="282">
        <f t="shared" si="32"/>
        <v>0</v>
      </c>
      <c r="AF25" s="282">
        <f t="shared" si="33"/>
        <v>0</v>
      </c>
      <c r="AG25" s="282">
        <f t="shared" si="34"/>
        <v>0</v>
      </c>
    </row>
    <row r="26" spans="1:44" s="283" customFormat="1" ht="12.75" customHeight="1" x14ac:dyDescent="0.2">
      <c r="A26" s="275"/>
      <c r="B26" s="275" t="str">
        <f>IFERROR(VLOOKUP(A26,'PLLA PARA EL SISTEMA'!$B$15:$AK$42,2,0),"")</f>
        <v/>
      </c>
      <c r="C26" s="276" t="str">
        <f>IFERROR(VLOOKUP(A26,'PLLA PARA EL SISTEMA'!$B$15:$AK$42,7,0),"")</f>
        <v/>
      </c>
      <c r="D26" s="277" t="s">
        <v>218</v>
      </c>
      <c r="E26" s="277" t="str">
        <f>IFERROR(VLOOKUP(A26,'PLLA PARA EL SISTEMA'!$B$15:$AK$42,22,0),"")</f>
        <v/>
      </c>
      <c r="F26" s="277" t="str">
        <f>IFERROR(VLOOKUP(A26,'PLLA PARA EL SISTEMA'!$B$15:$AK$42,35,0),"")</f>
        <v/>
      </c>
      <c r="G26" s="277" t="str">
        <f>IFERROR(VLOOKUP(A26,'PLLA PARA EL SISTEMA'!$B$15:$AK$42,36,0),"")</f>
        <v/>
      </c>
      <c r="H26" s="277"/>
      <c r="I26" s="278">
        <f t="shared" si="25"/>
        <v>0</v>
      </c>
      <c r="J26" s="279">
        <f t="shared" si="3"/>
        <v>0</v>
      </c>
      <c r="K26" s="279">
        <f t="shared" si="4"/>
        <v>0</v>
      </c>
      <c r="L26" s="279">
        <f t="shared" si="5"/>
        <v>0</v>
      </c>
      <c r="M26" s="279">
        <f t="shared" si="6"/>
        <v>0</v>
      </c>
      <c r="N26" s="279">
        <f t="shared" si="7"/>
        <v>0</v>
      </c>
      <c r="O26" s="279">
        <f t="shared" si="8"/>
        <v>0</v>
      </c>
      <c r="P26" s="279">
        <f t="shared" si="9"/>
        <v>0</v>
      </c>
      <c r="Q26" s="279" t="str">
        <f t="shared" si="10"/>
        <v/>
      </c>
      <c r="R26" s="279">
        <f t="shared" si="11"/>
        <v>0</v>
      </c>
      <c r="S26" s="279">
        <f t="shared" si="12"/>
        <v>0</v>
      </c>
      <c r="T26" s="279">
        <f t="shared" si="13"/>
        <v>0</v>
      </c>
      <c r="U26" s="279">
        <f t="shared" si="14"/>
        <v>0</v>
      </c>
      <c r="V26" s="279">
        <f t="shared" si="15"/>
        <v>0</v>
      </c>
      <c r="W26" s="279" t="str">
        <f t="shared" si="16"/>
        <v/>
      </c>
      <c r="X26" s="279">
        <f t="shared" si="17"/>
        <v>0</v>
      </c>
      <c r="Y26" s="280">
        <f t="shared" si="26"/>
        <v>-29050</v>
      </c>
      <c r="Z26" s="280">
        <f t="shared" si="27"/>
        <v>0</v>
      </c>
      <c r="AA26" s="281">
        <f t="shared" si="28"/>
        <v>0</v>
      </c>
      <c r="AB26" s="281">
        <f t="shared" si="29"/>
        <v>0</v>
      </c>
      <c r="AC26" s="282">
        <f t="shared" si="30"/>
        <v>0</v>
      </c>
      <c r="AD26" s="282">
        <f t="shared" si="31"/>
        <v>0</v>
      </c>
      <c r="AE26" s="282">
        <f t="shared" si="32"/>
        <v>0</v>
      </c>
      <c r="AF26" s="282">
        <f t="shared" si="33"/>
        <v>0</v>
      </c>
      <c r="AG26" s="282">
        <f t="shared" si="34"/>
        <v>0</v>
      </c>
    </row>
    <row r="28" spans="1:44" x14ac:dyDescent="0.25">
      <c r="D28" s="88">
        <f t="shared" ref="D28:X28" si="51">SUM(D5:D27)</f>
        <v>35525</v>
      </c>
      <c r="E28" s="88">
        <f t="shared" si="51"/>
        <v>1105</v>
      </c>
      <c r="F28" s="88">
        <f t="shared" si="51"/>
        <v>5235.7999999999975</v>
      </c>
      <c r="G28" s="88">
        <f t="shared" si="51"/>
        <v>500.00000000000102</v>
      </c>
      <c r="H28" s="88">
        <f t="shared" si="51"/>
        <v>100</v>
      </c>
      <c r="I28" s="88">
        <f t="shared" si="51"/>
        <v>42465.80000000001</v>
      </c>
      <c r="J28" s="88">
        <f t="shared" si="51"/>
        <v>42465.80000000001</v>
      </c>
      <c r="K28" s="88">
        <f t="shared" si="51"/>
        <v>42465.80000000001</v>
      </c>
      <c r="L28" s="88">
        <f t="shared" si="51"/>
        <v>42465.80000000001</v>
      </c>
      <c r="M28" s="88">
        <f t="shared" si="51"/>
        <v>42465.80000000001</v>
      </c>
      <c r="N28" s="88">
        <f t="shared" si="51"/>
        <v>42465.80000000001</v>
      </c>
      <c r="O28" s="88">
        <f t="shared" si="51"/>
        <v>42465.80000000001</v>
      </c>
      <c r="P28" s="88">
        <f t="shared" si="51"/>
        <v>42465.80000000001</v>
      </c>
      <c r="Q28" s="88">
        <f t="shared" si="51"/>
        <v>39926.700000000004</v>
      </c>
      <c r="R28" s="88">
        <f t="shared" si="51"/>
        <v>42465.80000000001</v>
      </c>
      <c r="S28" s="88">
        <f t="shared" si="51"/>
        <v>42465.80000000001</v>
      </c>
      <c r="T28" s="88">
        <f t="shared" si="51"/>
        <v>42465.80000000001</v>
      </c>
      <c r="U28" s="88">
        <f t="shared" si="51"/>
        <v>42465.80000000001</v>
      </c>
      <c r="V28" s="88">
        <f t="shared" si="51"/>
        <v>42465.80000000001</v>
      </c>
      <c r="W28" s="88">
        <f t="shared" si="51"/>
        <v>39926.700000000004</v>
      </c>
      <c r="X28" s="88">
        <f t="shared" si="51"/>
        <v>589443</v>
      </c>
      <c r="Z28" s="88">
        <f>SUM(Z5:Z27)</f>
        <v>126789.20000000001</v>
      </c>
    </row>
  </sheetData>
  <mergeCells count="25">
    <mergeCell ref="AO12:AO13"/>
    <mergeCell ref="AO14:AO15"/>
    <mergeCell ref="AF3:AF4"/>
    <mergeCell ref="AA3:AA4"/>
    <mergeCell ref="AB3:AB4"/>
    <mergeCell ref="AC3:AC4"/>
    <mergeCell ref="AD3:AD4"/>
    <mergeCell ref="AE3:AE4"/>
    <mergeCell ref="AI2:AR4"/>
    <mergeCell ref="AJ8:AN8"/>
    <mergeCell ref="AG3:AG4"/>
    <mergeCell ref="AO10:AO11"/>
    <mergeCell ref="AK6:AM6"/>
    <mergeCell ref="Z3:Z4"/>
    <mergeCell ref="G3:G4"/>
    <mergeCell ref="A3:A4"/>
    <mergeCell ref="I3:I4"/>
    <mergeCell ref="J3:X3"/>
    <mergeCell ref="Y3:Y4"/>
    <mergeCell ref="B3:B4"/>
    <mergeCell ref="E3:E4"/>
    <mergeCell ref="D3:D4"/>
    <mergeCell ref="F3:F4"/>
    <mergeCell ref="C3:C4"/>
    <mergeCell ref="H3:H4"/>
  </mergeCells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E30"/>
  <sheetViews>
    <sheetView zoomScaleNormal="100" workbookViewId="0">
      <pane xSplit="6" ySplit="6" topLeftCell="G11" activePane="bottomRight" state="frozen"/>
      <selection pane="topRight" activeCell="G1" sqref="G1"/>
      <selection pane="bottomLeft" activeCell="A7" sqref="A7"/>
      <selection pane="bottomRight" activeCell="A7" sqref="A7:D27"/>
    </sheetView>
  </sheetViews>
  <sheetFormatPr defaultColWidth="11.42578125" defaultRowHeight="15" x14ac:dyDescent="0.25"/>
  <cols>
    <col min="2" max="2" width="36.28515625" customWidth="1"/>
    <col min="3" max="3" width="10.5703125" customWidth="1"/>
    <col min="4" max="4" width="9.85546875" customWidth="1"/>
    <col min="5" max="5" width="11.42578125" customWidth="1"/>
    <col min="7" max="12" width="11.5703125" customWidth="1"/>
    <col min="13" max="13" width="8" customWidth="1"/>
    <col min="14" max="14" width="10.28515625" customWidth="1"/>
    <col min="15" max="15" width="10.85546875" customWidth="1"/>
    <col min="16" max="18" width="10.28515625" customWidth="1"/>
    <col min="19" max="19" width="11.140625" customWidth="1"/>
    <col min="22" max="22" width="2.7109375" hidden="1" customWidth="1"/>
    <col min="23" max="24" width="11.42578125" hidden="1" customWidth="1"/>
    <col min="25" max="25" width="6.5703125" hidden="1" customWidth="1"/>
    <col min="26" max="26" width="2.42578125" hidden="1" customWidth="1"/>
    <col min="27" max="27" width="13.7109375" hidden="1" customWidth="1"/>
    <col min="28" max="28" width="11.42578125" hidden="1" customWidth="1"/>
    <col min="29" max="30" width="2" hidden="1" customWidth="1"/>
    <col min="31" max="31" width="1.28515625" hidden="1" customWidth="1"/>
    <col min="32" max="32" width="11.42578125" customWidth="1"/>
  </cols>
  <sheetData>
    <row r="1" spans="1:31" ht="25.5" customHeight="1" thickBot="1" x14ac:dyDescent="0.3">
      <c r="B1" s="455"/>
      <c r="C1" s="456"/>
      <c r="D1" s="307" t="s">
        <v>217</v>
      </c>
    </row>
    <row r="2" spans="1:31" ht="22.5" customHeight="1" x14ac:dyDescent="0.3">
      <c r="B2" s="460" t="str">
        <f>IF(D1="MAY - OCT","COMPENSACION POR TIEMPO DE SERVICIOS DEL PERIODO MAYO A OCTUBRE DEL 2018","COMPENSACION POR TIEMPO DE SERVICIOS DEL PERIODO NOVIEMBRE DEL 2017 A ABRIL DEL 2018")</f>
        <v>COMPENSACION POR TIEMPO DE SERVICIOS DEL PERIODO MAYO A OCTUBRE DEL 2018</v>
      </c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</row>
    <row r="3" spans="1:31" ht="5.25" customHeight="1" thickBot="1" x14ac:dyDescent="0.3"/>
    <row r="4" spans="1:31" ht="15.75" customHeight="1" x14ac:dyDescent="0.25">
      <c r="A4">
        <v>1</v>
      </c>
      <c r="B4">
        <f t="shared" ref="B4:T4" si="0">+A4+1</f>
        <v>2</v>
      </c>
      <c r="C4">
        <f t="shared" ref="C4" si="1">+B4+1</f>
        <v>3</v>
      </c>
      <c r="D4">
        <f t="shared" ref="D4" si="2">+C4+1</f>
        <v>4</v>
      </c>
      <c r="E4">
        <f t="shared" ref="E4:G4" si="3">+D4+1</f>
        <v>5</v>
      </c>
      <c r="F4">
        <f t="shared" si="3"/>
        <v>6</v>
      </c>
      <c r="G4">
        <f t="shared" si="3"/>
        <v>7</v>
      </c>
      <c r="H4">
        <f t="shared" si="0"/>
        <v>8</v>
      </c>
      <c r="I4">
        <f t="shared" si="0"/>
        <v>9</v>
      </c>
      <c r="J4">
        <f t="shared" si="0"/>
        <v>10</v>
      </c>
      <c r="K4">
        <f t="shared" si="0"/>
        <v>11</v>
      </c>
      <c r="L4">
        <f t="shared" si="0"/>
        <v>12</v>
      </c>
      <c r="M4">
        <f t="shared" si="0"/>
        <v>13</v>
      </c>
      <c r="N4">
        <f t="shared" si="0"/>
        <v>14</v>
      </c>
      <c r="O4">
        <f t="shared" si="0"/>
        <v>15</v>
      </c>
      <c r="P4">
        <f t="shared" si="0"/>
        <v>16</v>
      </c>
      <c r="Q4">
        <f t="shared" si="0"/>
        <v>17</v>
      </c>
      <c r="R4">
        <f t="shared" si="0"/>
        <v>18</v>
      </c>
      <c r="S4">
        <f t="shared" si="0"/>
        <v>19</v>
      </c>
      <c r="T4">
        <f t="shared" si="0"/>
        <v>20</v>
      </c>
      <c r="V4" s="446" t="s">
        <v>201</v>
      </c>
      <c r="W4" s="447"/>
      <c r="X4" s="447"/>
      <c r="Y4" s="447"/>
      <c r="Z4" s="447"/>
      <c r="AA4" s="447"/>
      <c r="AB4" s="447"/>
      <c r="AC4" s="447"/>
      <c r="AD4" s="447"/>
      <c r="AE4" s="448"/>
    </row>
    <row r="5" spans="1:31" ht="15.75" customHeight="1" x14ac:dyDescent="0.25">
      <c r="A5" s="439" t="s">
        <v>200</v>
      </c>
      <c r="B5" s="439" t="s">
        <v>199</v>
      </c>
      <c r="C5" s="439" t="s">
        <v>219</v>
      </c>
      <c r="D5" s="439" t="s">
        <v>195</v>
      </c>
      <c r="E5" s="437" t="s">
        <v>214</v>
      </c>
      <c r="F5" s="437" t="s">
        <v>203</v>
      </c>
      <c r="G5" s="440" t="s">
        <v>204</v>
      </c>
      <c r="H5" s="441"/>
      <c r="I5" s="441"/>
      <c r="J5" s="441"/>
      <c r="K5" s="441"/>
      <c r="L5" s="441"/>
      <c r="M5" s="442"/>
      <c r="N5" s="457" t="s">
        <v>202</v>
      </c>
      <c r="O5" s="458"/>
      <c r="P5" s="458"/>
      <c r="Q5" s="458"/>
      <c r="R5" s="458"/>
      <c r="S5" s="458"/>
      <c r="T5" s="459"/>
      <c r="V5" s="449"/>
      <c r="W5" s="450"/>
      <c r="X5" s="450"/>
      <c r="Y5" s="450"/>
      <c r="Z5" s="450"/>
      <c r="AA5" s="450"/>
      <c r="AB5" s="450"/>
      <c r="AC5" s="450"/>
      <c r="AD5" s="450"/>
      <c r="AE5" s="451"/>
    </row>
    <row r="6" spans="1:31" x14ac:dyDescent="0.25">
      <c r="A6" s="439"/>
      <c r="B6" s="439"/>
      <c r="C6" s="439"/>
      <c r="D6" s="439"/>
      <c r="E6" s="438"/>
      <c r="F6" s="438"/>
      <c r="G6" s="96" t="str">
        <f>IF($D$1="MAY - OCT","MAYO","NOVIEMBRE")</f>
        <v>MAYO</v>
      </c>
      <c r="H6" s="96" t="str">
        <f>IF($D$1="MAY - OCT","JUNIO","DICIEMBRE")</f>
        <v>JUNIO</v>
      </c>
      <c r="I6" s="96" t="str">
        <f>IF($D$1="MAY - OCT","JULIO","ENERO")</f>
        <v>JULIO</v>
      </c>
      <c r="J6" s="96" t="str">
        <f>IF($D$1="MAY - OCT","AGOSTO","FEBRERO")</f>
        <v>AGOSTO</v>
      </c>
      <c r="K6" s="96" t="str">
        <f>IF($D$1="MAY - OCT","SETIEMBRE","MARZO")</f>
        <v>SETIEMBRE</v>
      </c>
      <c r="L6" s="96" t="str">
        <f>IF($D$1="MAY - OCT","OCTUBRE","ABRIL")</f>
        <v>OCTUBRE</v>
      </c>
      <c r="M6" s="92" t="s">
        <v>131</v>
      </c>
      <c r="N6" s="97" t="str">
        <f>IF($D$1="MAY - OCT","MAYO","NOVIEMBRE")</f>
        <v>MAYO</v>
      </c>
      <c r="O6" s="97" t="str">
        <f>IF($D$1="MAY - OCT","JUNIO","DICIEMBRE")</f>
        <v>JUNIO</v>
      </c>
      <c r="P6" s="97" t="str">
        <f>IF($D$1="MAY - OCT","JULIO","ENERO")</f>
        <v>JULIO</v>
      </c>
      <c r="Q6" s="97" t="str">
        <f>IF($D$1="MAY - OCT","AGOSTO","FEBRERO")</f>
        <v>AGOSTO</v>
      </c>
      <c r="R6" s="97" t="str">
        <f>IF($D$1="MAY - OCT","SETIEMBRE","MARZO")</f>
        <v>SETIEMBRE</v>
      </c>
      <c r="S6" s="97" t="str">
        <f>IF($D$1="MAY - OCT","OCTUBRE","ABRIL")</f>
        <v>OCTUBRE</v>
      </c>
      <c r="T6" s="98" t="s">
        <v>131</v>
      </c>
      <c r="V6" s="449"/>
      <c r="W6" s="450"/>
      <c r="X6" s="450"/>
      <c r="Y6" s="450"/>
      <c r="Z6" s="450"/>
      <c r="AA6" s="450"/>
      <c r="AB6" s="450"/>
      <c r="AC6" s="450"/>
      <c r="AD6" s="450"/>
      <c r="AE6" s="451"/>
    </row>
    <row r="7" spans="1:31" s="283" customFormat="1" ht="12" x14ac:dyDescent="0.2">
      <c r="A7" s="274">
        <v>9117942</v>
      </c>
      <c r="B7" s="275" t="str">
        <f>IFERROR(VLOOKUP(A7,'PLLA PARA EL SISTEMA'!$B$15:$AK$52,2,0),"")</f>
        <v>AYUDANTE SULCA LOURDES ISABEL</v>
      </c>
      <c r="C7" s="276">
        <f>IFERROR(VLOOKUP(A7,'PLLA PARA EL SISTEMA'!$B$15:$AK$52,7,0),"")</f>
        <v>39818</v>
      </c>
      <c r="D7" s="277">
        <f>IFERROR(VLOOKUP(A7,'PLLA PARA EL SISTEMA'!$B$15:$CH$52,49,0),"")</f>
        <v>2395</v>
      </c>
      <c r="E7" s="306">
        <v>1395</v>
      </c>
      <c r="F7" s="305">
        <v>1395</v>
      </c>
      <c r="G7" s="304">
        <v>30</v>
      </c>
      <c r="H7" s="304">
        <v>30</v>
      </c>
      <c r="I7" s="304"/>
      <c r="J7" s="304"/>
      <c r="K7" s="304"/>
      <c r="L7" s="304"/>
      <c r="M7" s="303">
        <f>SUM(G7:L7)</f>
        <v>60</v>
      </c>
      <c r="N7" s="281">
        <f>IF($D$1="MAY - OCT",($D7+($F7/6))/360*G7,($D7+($E7/6))/360*G7)</f>
        <v>218.95833333333331</v>
      </c>
      <c r="O7" s="281">
        <f>IF($D$1="MAY - OCT",($D7+($F7/6))/360*H7,($D7+($E7/6))/360*H7)</f>
        <v>218.95833333333331</v>
      </c>
      <c r="P7" s="281">
        <f>IF($D$1="MAY - OCT",($D7+($E7/6))/360*I7,($D7+($F7/6))/360*I7)</f>
        <v>0</v>
      </c>
      <c r="Q7" s="281">
        <f>IF($D$1="MAY - OCT",($D7+($E7/6))/360*J7,($D7+($F7/6))/360*J7)</f>
        <v>0</v>
      </c>
      <c r="R7" s="281">
        <f>IF($D$1="MAY - OCT",($D7+($E7/6))/360*K7,($D7+($F7/6))/360*K7)</f>
        <v>0</v>
      </c>
      <c r="S7" s="281">
        <f>IF($D$1="MAY - OCT",($D7+($E7/6))/360*L7,($D7+($F7/6))/360*L7)</f>
        <v>0</v>
      </c>
      <c r="T7" s="282">
        <f>SUM(N7:S7)</f>
        <v>437.91666666666663</v>
      </c>
      <c r="V7" s="284"/>
      <c r="AA7" s="285"/>
      <c r="AB7" s="285"/>
      <c r="AC7" s="285"/>
      <c r="AD7" s="285"/>
      <c r="AE7" s="286"/>
    </row>
    <row r="8" spans="1:31" s="283" customFormat="1" ht="12" x14ac:dyDescent="0.2">
      <c r="A8" s="287">
        <v>73672954</v>
      </c>
      <c r="B8" s="275" t="str">
        <f>IFERROR(VLOOKUP(A8,'PLLA PARA EL SISTEMA'!$B$15:$AK$52,2,0),"")</f>
        <v>CAMPOS RODRIGUEZ RONY ROGGER</v>
      </c>
      <c r="C8" s="276">
        <f>IFERROR(VLOOKUP(A8,'PLLA PARA EL SISTEMA'!$B$15:$AK$52,7,0),"")</f>
        <v>43024</v>
      </c>
      <c r="D8" s="277">
        <f>IFERROR(VLOOKUP(A8,'PLLA PARA EL SISTEMA'!$B$15:$CH$52,49,0),"")</f>
        <v>1085</v>
      </c>
      <c r="E8" s="306">
        <v>0</v>
      </c>
      <c r="F8" s="305">
        <v>333.33</v>
      </c>
      <c r="G8" s="304">
        <v>30</v>
      </c>
      <c r="H8" s="304">
        <v>30</v>
      </c>
      <c r="I8" s="304"/>
      <c r="J8" s="304"/>
      <c r="K8" s="304"/>
      <c r="L8" s="304"/>
      <c r="M8" s="303">
        <f t="shared" ref="M8:M27" si="4">SUM(G8:L8)</f>
        <v>60</v>
      </c>
      <c r="N8" s="281">
        <f t="shared" ref="N8:N27" si="5">IF($D$1="MAY - OCT",($D8+($F8/6))/360*G8,($D8+($E8/6))/360*G8)</f>
        <v>95.046250000000001</v>
      </c>
      <c r="O8" s="281">
        <f t="shared" ref="O8:O27" si="6">IF($D$1="MAY - OCT",($D8+($F8/6))/360*H8,($D8+($E8/6))/360*H8)</f>
        <v>95.046250000000001</v>
      </c>
      <c r="P8" s="281">
        <f t="shared" ref="P8:P27" si="7">IF($D$1="MAY - OCT",($D8+($E8/6))/360*I8,($D8+($F8/6))/360*I8)</f>
        <v>0</v>
      </c>
      <c r="Q8" s="281">
        <f t="shared" ref="Q8:Q27" si="8">IF($D$1="MAY - OCT",($D8+($E8/6))/360*J8,($D8+($F8/6))/360*J8)</f>
        <v>0</v>
      </c>
      <c r="R8" s="281">
        <f t="shared" ref="R8:R27" si="9">IF($D$1="MAY - OCT",($D8+($E8/6))/360*K8,($D8+($F8/6))/360*K8)</f>
        <v>0</v>
      </c>
      <c r="S8" s="281">
        <f t="shared" ref="S8:S27" si="10">IF($D$1="MAY - OCT",($D8+($E8/6))/360*L8,($D8+($F8/6))/360*L8)</f>
        <v>0</v>
      </c>
      <c r="T8" s="282">
        <f t="shared" ref="T8:T27" si="11">SUM(N8:S8)</f>
        <v>190.0925</v>
      </c>
      <c r="V8" s="284"/>
      <c r="W8" s="288" t="s">
        <v>172</v>
      </c>
      <c r="X8" s="453">
        <v>4150</v>
      </c>
      <c r="Y8" s="453"/>
      <c r="Z8" s="454"/>
      <c r="AA8" s="289"/>
      <c r="AB8" s="289"/>
      <c r="AC8" s="289"/>
      <c r="AD8" s="289"/>
      <c r="AE8" s="286"/>
    </row>
    <row r="9" spans="1:31" s="283" customFormat="1" ht="12" x14ac:dyDescent="0.2">
      <c r="A9" s="274">
        <v>6067588</v>
      </c>
      <c r="B9" s="275" t="str">
        <f>IFERROR(VLOOKUP(A9,'PLLA PARA EL SISTEMA'!$B$15:$AK$52,2,0),"")</f>
        <v>CAMPOS ROLDAN JULIA  APOLINAR</v>
      </c>
      <c r="C9" s="276">
        <f>IFERROR(VLOOKUP(A9,'PLLA PARA EL SISTEMA'!$B$15:$AK$52,7,0),"")</f>
        <v>38565</v>
      </c>
      <c r="D9" s="277">
        <f>IFERROR(VLOOKUP(A9,'PLLA PARA EL SISTEMA'!$B$15:$CH$52,49,0),"")</f>
        <v>3850.0000000000005</v>
      </c>
      <c r="E9" s="306">
        <v>2000</v>
      </c>
      <c r="F9" s="305">
        <v>2250</v>
      </c>
      <c r="G9" s="304">
        <v>30</v>
      </c>
      <c r="H9" s="304">
        <v>30</v>
      </c>
      <c r="I9" s="304"/>
      <c r="J9" s="304"/>
      <c r="K9" s="304"/>
      <c r="L9" s="304"/>
      <c r="M9" s="303">
        <f t="shared" si="4"/>
        <v>60</v>
      </c>
      <c r="N9" s="281">
        <f t="shared" si="5"/>
        <v>352.08333333333331</v>
      </c>
      <c r="O9" s="281">
        <f t="shared" si="6"/>
        <v>352.08333333333331</v>
      </c>
      <c r="P9" s="281">
        <f t="shared" si="7"/>
        <v>0</v>
      </c>
      <c r="Q9" s="281">
        <f t="shared" si="8"/>
        <v>0</v>
      </c>
      <c r="R9" s="281">
        <f t="shared" si="9"/>
        <v>0</v>
      </c>
      <c r="S9" s="281">
        <f t="shared" si="10"/>
        <v>0</v>
      </c>
      <c r="T9" s="282">
        <f t="shared" si="11"/>
        <v>704.16666666666663</v>
      </c>
      <c r="V9" s="284"/>
      <c r="AC9" s="289"/>
      <c r="AD9" s="289"/>
      <c r="AE9" s="286"/>
    </row>
    <row r="10" spans="1:31" s="283" customFormat="1" ht="12" x14ac:dyDescent="0.2">
      <c r="A10" s="274">
        <v>9929599</v>
      </c>
      <c r="B10" s="275" t="str">
        <f>IFERROR(VLOOKUP(A10,'PLLA PARA EL SISTEMA'!$B$15:$AK$52,2,0),"")</f>
        <v>CERRON FLORES JORGE ALBERTO</v>
      </c>
      <c r="C10" s="276">
        <f>IFERROR(VLOOKUP(A10,'PLLA PARA EL SISTEMA'!$B$15:$AK$52,7,0),"")</f>
        <v>42644</v>
      </c>
      <c r="D10" s="277">
        <f>IFERROR(VLOOKUP(A10,'PLLA PARA EL SISTEMA'!$B$15:$CH$52,49,0),"")</f>
        <v>1500</v>
      </c>
      <c r="E10" s="306">
        <v>1000</v>
      </c>
      <c r="F10" s="305">
        <v>833.33</v>
      </c>
      <c r="G10" s="304">
        <v>9</v>
      </c>
      <c r="H10" s="304">
        <v>30</v>
      </c>
      <c r="I10" s="304"/>
      <c r="J10" s="304"/>
      <c r="K10" s="304"/>
      <c r="L10" s="304"/>
      <c r="M10" s="303">
        <f t="shared" si="4"/>
        <v>39</v>
      </c>
      <c r="N10" s="281">
        <f t="shared" si="5"/>
        <v>40.972208333333334</v>
      </c>
      <c r="O10" s="281">
        <f t="shared" si="6"/>
        <v>136.57402777777779</v>
      </c>
      <c r="P10" s="281">
        <f t="shared" si="7"/>
        <v>0</v>
      </c>
      <c r="Q10" s="281">
        <f t="shared" si="8"/>
        <v>0</v>
      </c>
      <c r="R10" s="281">
        <f t="shared" si="9"/>
        <v>0</v>
      </c>
      <c r="S10" s="281">
        <f t="shared" si="10"/>
        <v>0</v>
      </c>
      <c r="T10" s="282">
        <f t="shared" si="11"/>
        <v>177.54623611111111</v>
      </c>
      <c r="V10" s="284"/>
      <c r="W10" s="452" t="s">
        <v>171</v>
      </c>
      <c r="X10" s="452"/>
      <c r="Y10" s="452"/>
      <c r="Z10" s="452"/>
      <c r="AA10" s="452"/>
      <c r="AB10" s="290" t="s">
        <v>170</v>
      </c>
      <c r="AC10" s="289"/>
      <c r="AD10" s="289"/>
      <c r="AE10" s="286"/>
    </row>
    <row r="11" spans="1:31" s="283" customFormat="1" ht="12" x14ac:dyDescent="0.2">
      <c r="A11" s="274">
        <v>8569186</v>
      </c>
      <c r="B11" s="275" t="str">
        <f>IFERROR(VLOOKUP(A11,'PLLA PARA EL SISTEMA'!$B$15:$AK$52,2,0),"")</f>
        <v>CHAVEZ DIAZ SEGUNDO FRANKLIN</v>
      </c>
      <c r="C11" s="276">
        <f>IFERROR(VLOOKUP(A11,'PLLA PARA EL SISTEMA'!$B$15:$AK$52,7,0),"")</f>
        <v>37104</v>
      </c>
      <c r="D11" s="277">
        <f>IFERROR(VLOOKUP(A11,'PLLA PARA EL SISTEMA'!$B$15:$CH$52,49,0),"")</f>
        <v>2400</v>
      </c>
      <c r="E11" s="306">
        <v>1500</v>
      </c>
      <c r="F11" s="305">
        <v>1500</v>
      </c>
      <c r="G11" s="304">
        <v>30</v>
      </c>
      <c r="H11" s="304">
        <v>30</v>
      </c>
      <c r="I11" s="304"/>
      <c r="J11" s="304"/>
      <c r="K11" s="304"/>
      <c r="L11" s="304"/>
      <c r="M11" s="303">
        <f t="shared" si="4"/>
        <v>60</v>
      </c>
      <c r="N11" s="281">
        <f t="shared" si="5"/>
        <v>220.83333333333331</v>
      </c>
      <c r="O11" s="281">
        <f t="shared" si="6"/>
        <v>220.83333333333331</v>
      </c>
      <c r="P11" s="281">
        <f t="shared" si="7"/>
        <v>0</v>
      </c>
      <c r="Q11" s="281">
        <f t="shared" si="8"/>
        <v>0</v>
      </c>
      <c r="R11" s="281">
        <f t="shared" si="9"/>
        <v>0</v>
      </c>
      <c r="S11" s="281">
        <f t="shared" si="10"/>
        <v>0</v>
      </c>
      <c r="T11" s="282">
        <f t="shared" si="11"/>
        <v>441.66666666666663</v>
      </c>
      <c r="V11" s="284"/>
      <c r="W11" s="291" t="s">
        <v>169</v>
      </c>
      <c r="X11" s="292">
        <v>5</v>
      </c>
      <c r="Y11" s="293" t="s">
        <v>166</v>
      </c>
      <c r="Z11" s="293" t="s">
        <v>165</v>
      </c>
      <c r="AA11" s="294">
        <f t="shared" ref="AA11:AA18" si="12">+X11*$X$8</f>
        <v>20750</v>
      </c>
      <c r="AB11" s="295">
        <v>0.08</v>
      </c>
      <c r="AC11" s="289"/>
      <c r="AD11" s="289"/>
      <c r="AE11" s="286"/>
    </row>
    <row r="12" spans="1:31" s="283" customFormat="1" ht="12" x14ac:dyDescent="0.2">
      <c r="A12" s="296">
        <v>47974615</v>
      </c>
      <c r="B12" s="275" t="str">
        <f>IFERROR(VLOOKUP(A12,'PLLA PARA EL SISTEMA'!$B$15:$AK$52,2,0),"")</f>
        <v>DUPA RAMIREZ FRANCISCO NEMECIO</v>
      </c>
      <c r="C12" s="276">
        <f>IFERROR(VLOOKUP(A12,'PLLA PARA EL SISTEMA'!$B$15:$AK$52,7,0),"")</f>
        <v>42842</v>
      </c>
      <c r="D12" s="277">
        <f>IFERROR(VLOOKUP(A12,'PLLA PARA EL SISTEMA'!$B$15:$CH$52,49,0),"")</f>
        <v>1200</v>
      </c>
      <c r="E12" s="306">
        <v>500</v>
      </c>
      <c r="F12" s="305">
        <v>1000</v>
      </c>
      <c r="G12" s="304">
        <v>30</v>
      </c>
      <c r="H12" s="304">
        <v>30</v>
      </c>
      <c r="I12" s="304"/>
      <c r="J12" s="304"/>
      <c r="K12" s="304"/>
      <c r="L12" s="304"/>
      <c r="M12" s="303">
        <f t="shared" si="4"/>
        <v>60</v>
      </c>
      <c r="N12" s="281">
        <f t="shared" si="5"/>
        <v>113.8888888888889</v>
      </c>
      <c r="O12" s="281">
        <f t="shared" si="6"/>
        <v>113.8888888888889</v>
      </c>
      <c r="P12" s="281">
        <f t="shared" si="7"/>
        <v>0</v>
      </c>
      <c r="Q12" s="281">
        <f t="shared" si="8"/>
        <v>0</v>
      </c>
      <c r="R12" s="281">
        <f t="shared" si="9"/>
        <v>0</v>
      </c>
      <c r="S12" s="281">
        <f t="shared" si="10"/>
        <v>0</v>
      </c>
      <c r="T12" s="282">
        <f t="shared" si="11"/>
        <v>227.7777777777778</v>
      </c>
      <c r="V12" s="284"/>
      <c r="W12" s="291" t="s">
        <v>167</v>
      </c>
      <c r="X12" s="292">
        <v>5</v>
      </c>
      <c r="Y12" s="293" t="s">
        <v>166</v>
      </c>
      <c r="Z12" s="293" t="s">
        <v>165</v>
      </c>
      <c r="AA12" s="294">
        <f t="shared" si="12"/>
        <v>20750</v>
      </c>
      <c r="AB12" s="443">
        <v>0.14000000000000001</v>
      </c>
      <c r="AC12" s="289"/>
      <c r="AD12" s="289"/>
      <c r="AE12" s="286"/>
    </row>
    <row r="13" spans="1:31" s="283" customFormat="1" ht="12" x14ac:dyDescent="0.2">
      <c r="A13" s="275">
        <v>80677912</v>
      </c>
      <c r="B13" s="275" t="str">
        <f>IFERROR(VLOOKUP(A13,'PLLA PARA EL SISTEMA'!$B$15:$AK$52,2,0),"")</f>
        <v>FARFAN COLINA JOSE FRANCISCO</v>
      </c>
      <c r="C13" s="276">
        <f>IFERROR(VLOOKUP(A13,'PLLA PARA EL SISTEMA'!$B$15:$AK$52,7,0),"")</f>
        <v>42614</v>
      </c>
      <c r="D13" s="277">
        <f>IFERROR(VLOOKUP(A13,'PLLA PARA EL SISTEMA'!$B$15:$CH$52,49,0),"")</f>
        <v>1200</v>
      </c>
      <c r="E13" s="308">
        <v>0</v>
      </c>
      <c r="F13" s="308">
        <v>0</v>
      </c>
      <c r="G13" s="304">
        <v>30</v>
      </c>
      <c r="H13" s="304">
        <v>30</v>
      </c>
      <c r="I13" s="304"/>
      <c r="J13" s="304"/>
      <c r="K13" s="304"/>
      <c r="L13" s="304"/>
      <c r="M13" s="303">
        <f t="shared" si="4"/>
        <v>60</v>
      </c>
      <c r="N13" s="281">
        <f t="shared" si="5"/>
        <v>100</v>
      </c>
      <c r="O13" s="281">
        <f t="shared" si="6"/>
        <v>100</v>
      </c>
      <c r="P13" s="281">
        <f t="shared" si="7"/>
        <v>0</v>
      </c>
      <c r="Q13" s="281">
        <f t="shared" si="8"/>
        <v>0</v>
      </c>
      <c r="R13" s="281">
        <f t="shared" si="9"/>
        <v>0</v>
      </c>
      <c r="S13" s="281">
        <f t="shared" si="10"/>
        <v>0</v>
      </c>
      <c r="T13" s="282">
        <f t="shared" si="11"/>
        <v>200</v>
      </c>
      <c r="V13" s="284"/>
      <c r="W13" s="291" t="s">
        <v>168</v>
      </c>
      <c r="X13" s="292">
        <v>20</v>
      </c>
      <c r="Y13" s="293" t="s">
        <v>166</v>
      </c>
      <c r="Z13" s="293" t="s">
        <v>165</v>
      </c>
      <c r="AA13" s="294">
        <f t="shared" si="12"/>
        <v>83000</v>
      </c>
      <c r="AB13" s="443"/>
      <c r="AC13" s="289"/>
      <c r="AD13" s="289"/>
      <c r="AE13" s="297"/>
    </row>
    <row r="14" spans="1:31" s="283" customFormat="1" ht="12" x14ac:dyDescent="0.2">
      <c r="A14" s="298">
        <v>44112775</v>
      </c>
      <c r="B14" s="275" t="str">
        <f>IFERROR(VLOOKUP(A14,'PLLA PARA EL SISTEMA'!$B$15:$AK$52,2,0),"")</f>
        <v>HUAMANI CASAVILCA ROBERT WILLIAM</v>
      </c>
      <c r="C14" s="276">
        <f>IFERROR(VLOOKUP(A14,'PLLA PARA EL SISTEMA'!$B$15:$AK$52,7,0),"")</f>
        <v>42644</v>
      </c>
      <c r="D14" s="277">
        <f>IFERROR(VLOOKUP(A14,'PLLA PARA EL SISTEMA'!$B$15:$CH$52,49,0),"")</f>
        <v>1500</v>
      </c>
      <c r="E14" s="306">
        <v>1000</v>
      </c>
      <c r="F14" s="305">
        <v>833.33</v>
      </c>
      <c r="G14" s="304">
        <v>30</v>
      </c>
      <c r="H14" s="304">
        <v>30</v>
      </c>
      <c r="I14" s="304"/>
      <c r="J14" s="304"/>
      <c r="K14" s="304"/>
      <c r="L14" s="304"/>
      <c r="M14" s="303">
        <f t="shared" si="4"/>
        <v>60</v>
      </c>
      <c r="N14" s="281">
        <f t="shared" si="5"/>
        <v>136.57402777777779</v>
      </c>
      <c r="O14" s="281">
        <f t="shared" si="6"/>
        <v>136.57402777777779</v>
      </c>
      <c r="P14" s="281">
        <f t="shared" si="7"/>
        <v>0</v>
      </c>
      <c r="Q14" s="281">
        <f t="shared" si="8"/>
        <v>0</v>
      </c>
      <c r="R14" s="281">
        <f t="shared" si="9"/>
        <v>0</v>
      </c>
      <c r="S14" s="281">
        <f t="shared" si="10"/>
        <v>0</v>
      </c>
      <c r="T14" s="282">
        <f t="shared" si="11"/>
        <v>273.14805555555557</v>
      </c>
      <c r="V14" s="284"/>
      <c r="W14" s="291" t="s">
        <v>167</v>
      </c>
      <c r="X14" s="292">
        <v>20</v>
      </c>
      <c r="Y14" s="293" t="s">
        <v>166</v>
      </c>
      <c r="Z14" s="293" t="s">
        <v>165</v>
      </c>
      <c r="AA14" s="294">
        <f t="shared" si="12"/>
        <v>83000</v>
      </c>
      <c r="AB14" s="443">
        <v>0.17</v>
      </c>
      <c r="AC14" s="289"/>
      <c r="AD14" s="289"/>
      <c r="AE14" s="286"/>
    </row>
    <row r="15" spans="1:31" s="283" customFormat="1" ht="12" x14ac:dyDescent="0.2">
      <c r="A15" s="275">
        <v>10533675</v>
      </c>
      <c r="B15" s="275" t="str">
        <f>IFERROR(VLOOKUP(A15,'PLLA PARA EL SISTEMA'!$B$15:$AK$52,2,0),"")</f>
        <v>JARA LEON SAMUEL BERNALDO</v>
      </c>
      <c r="C15" s="276">
        <f>IFERROR(VLOOKUP(A15,'PLLA PARA EL SISTEMA'!$B$15:$AK$52,7,0),"")</f>
        <v>41655</v>
      </c>
      <c r="D15" s="277">
        <f>IFERROR(VLOOKUP(A15,'PLLA PARA EL SISTEMA'!$B$15:$CH$52,49,0),"")</f>
        <v>1900</v>
      </c>
      <c r="E15" s="306">
        <v>1500</v>
      </c>
      <c r="F15" s="305">
        <v>1500</v>
      </c>
      <c r="G15" s="304">
        <v>30</v>
      </c>
      <c r="H15" s="304">
        <v>30</v>
      </c>
      <c r="I15" s="304"/>
      <c r="J15" s="304"/>
      <c r="K15" s="304"/>
      <c r="L15" s="304"/>
      <c r="M15" s="303">
        <f t="shared" si="4"/>
        <v>60</v>
      </c>
      <c r="N15" s="281">
        <f t="shared" si="5"/>
        <v>179.16666666666666</v>
      </c>
      <c r="O15" s="281">
        <f t="shared" si="6"/>
        <v>179.16666666666666</v>
      </c>
      <c r="P15" s="281">
        <f t="shared" si="7"/>
        <v>0</v>
      </c>
      <c r="Q15" s="281">
        <f t="shared" si="8"/>
        <v>0</v>
      </c>
      <c r="R15" s="281">
        <f t="shared" si="9"/>
        <v>0</v>
      </c>
      <c r="S15" s="281">
        <f t="shared" si="10"/>
        <v>0</v>
      </c>
      <c r="T15" s="282">
        <f t="shared" si="11"/>
        <v>358.33333333333331</v>
      </c>
      <c r="V15" s="284"/>
      <c r="W15" s="291" t="s">
        <v>168</v>
      </c>
      <c r="X15" s="292">
        <v>35</v>
      </c>
      <c r="Y15" s="293" t="s">
        <v>166</v>
      </c>
      <c r="Z15" s="293" t="s">
        <v>165</v>
      </c>
      <c r="AA15" s="294">
        <f t="shared" si="12"/>
        <v>145250</v>
      </c>
      <c r="AB15" s="443"/>
      <c r="AC15" s="289"/>
      <c r="AD15" s="289"/>
      <c r="AE15" s="297"/>
    </row>
    <row r="16" spans="1:31" s="283" customFormat="1" ht="12" x14ac:dyDescent="0.2">
      <c r="A16" s="296">
        <v>48140763</v>
      </c>
      <c r="B16" s="275" t="str">
        <f>IFERROR(VLOOKUP(A16,'PLLA PARA EL SISTEMA'!$B$15:$AK$52,2,0),"")</f>
        <v>NOLASCO PRINCIPE RONAL JACINTO</v>
      </c>
      <c r="C16" s="276">
        <f>IFERROR(VLOOKUP(A16,'PLLA PARA EL SISTEMA'!$B$15:$AK$52,7,0),"")</f>
        <v>42644</v>
      </c>
      <c r="D16" s="277">
        <f>IFERROR(VLOOKUP(A16,'PLLA PARA EL SISTEMA'!$B$15:$CH$52,49,0),"")</f>
        <v>1000.0000000000001</v>
      </c>
      <c r="E16" s="306">
        <v>1000</v>
      </c>
      <c r="F16" s="305">
        <v>850</v>
      </c>
      <c r="G16" s="304">
        <v>30</v>
      </c>
      <c r="H16" s="304">
        <v>7</v>
      </c>
      <c r="I16" s="304"/>
      <c r="J16" s="304"/>
      <c r="K16" s="304"/>
      <c r="L16" s="304"/>
      <c r="M16" s="303">
        <f t="shared" si="4"/>
        <v>37</v>
      </c>
      <c r="N16" s="281">
        <f t="shared" si="5"/>
        <v>95.1388888888889</v>
      </c>
      <c r="O16" s="281">
        <f t="shared" si="6"/>
        <v>22.199074074074076</v>
      </c>
      <c r="P16" s="281">
        <f t="shared" si="7"/>
        <v>0</v>
      </c>
      <c r="Q16" s="281">
        <f t="shared" si="8"/>
        <v>0</v>
      </c>
      <c r="R16" s="281">
        <f t="shared" si="9"/>
        <v>0</v>
      </c>
      <c r="S16" s="281">
        <f t="shared" si="10"/>
        <v>0</v>
      </c>
      <c r="T16" s="282">
        <f t="shared" si="11"/>
        <v>117.33796296296298</v>
      </c>
      <c r="V16" s="284"/>
      <c r="W16" s="291" t="s">
        <v>167</v>
      </c>
      <c r="X16" s="292">
        <v>35</v>
      </c>
      <c r="Y16" s="293" t="s">
        <v>166</v>
      </c>
      <c r="Z16" s="293" t="s">
        <v>165</v>
      </c>
      <c r="AA16" s="294">
        <f t="shared" si="12"/>
        <v>145250</v>
      </c>
      <c r="AB16" s="443">
        <v>0.2</v>
      </c>
      <c r="AC16" s="289"/>
      <c r="AD16" s="289"/>
      <c r="AE16" s="286"/>
    </row>
    <row r="17" spans="1:31" s="283" customFormat="1" ht="12" x14ac:dyDescent="0.2">
      <c r="A17" s="296">
        <v>44443243</v>
      </c>
      <c r="B17" s="275" t="str">
        <f>IFERROR(VLOOKUP(A17,'PLLA PARA EL SISTEMA'!$B$15:$AK$52,2,0),"")</f>
        <v>PARCO CASTILLON SAUL</v>
      </c>
      <c r="C17" s="276">
        <f>IFERROR(VLOOKUP(A17,'PLLA PARA EL SISTEMA'!$B$15:$AK$52,7,0),"")</f>
        <v>42644</v>
      </c>
      <c r="D17" s="277">
        <f>IFERROR(VLOOKUP(A17,'PLLA PARA EL SISTEMA'!$B$15:$CH$52,49,0),"")</f>
        <v>1500</v>
      </c>
      <c r="E17" s="306">
        <v>1000</v>
      </c>
      <c r="F17" s="305">
        <v>994.44</v>
      </c>
      <c r="G17" s="304">
        <v>30</v>
      </c>
      <c r="H17" s="304">
        <v>30</v>
      </c>
      <c r="I17" s="304"/>
      <c r="J17" s="304"/>
      <c r="K17" s="304"/>
      <c r="L17" s="304"/>
      <c r="M17" s="303">
        <f t="shared" si="4"/>
        <v>60</v>
      </c>
      <c r="N17" s="281">
        <f t="shared" si="5"/>
        <v>138.81166666666667</v>
      </c>
      <c r="O17" s="281">
        <f t="shared" si="6"/>
        <v>138.81166666666667</v>
      </c>
      <c r="P17" s="281">
        <f t="shared" si="7"/>
        <v>0</v>
      </c>
      <c r="Q17" s="281">
        <f t="shared" si="8"/>
        <v>0</v>
      </c>
      <c r="R17" s="281">
        <f t="shared" si="9"/>
        <v>0</v>
      </c>
      <c r="S17" s="281">
        <f t="shared" si="10"/>
        <v>0</v>
      </c>
      <c r="T17" s="282">
        <f t="shared" si="11"/>
        <v>277.62333333333333</v>
      </c>
      <c r="V17" s="284"/>
      <c r="W17" s="291" t="s">
        <v>168</v>
      </c>
      <c r="X17" s="292">
        <v>45</v>
      </c>
      <c r="Y17" s="293" t="s">
        <v>166</v>
      </c>
      <c r="Z17" s="293" t="s">
        <v>165</v>
      </c>
      <c r="AA17" s="294">
        <f t="shared" si="12"/>
        <v>186750</v>
      </c>
      <c r="AB17" s="443"/>
      <c r="AC17" s="289"/>
      <c r="AD17" s="289"/>
      <c r="AE17" s="297"/>
    </row>
    <row r="18" spans="1:31" s="283" customFormat="1" ht="12" x14ac:dyDescent="0.2">
      <c r="A18" s="275">
        <v>41991289</v>
      </c>
      <c r="B18" s="275" t="str">
        <f>IFERROR(VLOOKUP(A18,'PLLA PARA EL SISTEMA'!$B$15:$AK$52,2,0),"")</f>
        <v>RODRIGUEZ ROSAS REYNALDO GERMAN</v>
      </c>
      <c r="C18" s="276">
        <f>IFERROR(VLOOKUP(A18,'PLLA PARA EL SISTEMA'!$B$15:$AK$52,7,0),"")</f>
        <v>39818</v>
      </c>
      <c r="D18" s="277">
        <f>IFERROR(VLOOKUP(A18,'PLLA PARA EL SISTEMA'!$B$15:$CH$52,49,0),"")</f>
        <v>2395</v>
      </c>
      <c r="E18" s="306">
        <v>1500</v>
      </c>
      <c r="F18" s="305">
        <v>1491.67</v>
      </c>
      <c r="G18" s="304">
        <v>30</v>
      </c>
      <c r="H18" s="304">
        <v>30</v>
      </c>
      <c r="I18" s="304"/>
      <c r="J18" s="304"/>
      <c r="K18" s="304"/>
      <c r="L18" s="304"/>
      <c r="M18" s="303">
        <f t="shared" si="4"/>
        <v>60</v>
      </c>
      <c r="N18" s="281">
        <f t="shared" si="5"/>
        <v>220.30097222222224</v>
      </c>
      <c r="O18" s="281">
        <f t="shared" si="6"/>
        <v>220.30097222222224</v>
      </c>
      <c r="P18" s="281">
        <f t="shared" si="7"/>
        <v>0</v>
      </c>
      <c r="Q18" s="281">
        <f t="shared" si="8"/>
        <v>0</v>
      </c>
      <c r="R18" s="281">
        <f t="shared" si="9"/>
        <v>0</v>
      </c>
      <c r="S18" s="281">
        <f t="shared" si="10"/>
        <v>0</v>
      </c>
      <c r="T18" s="282">
        <f t="shared" si="11"/>
        <v>440.60194444444448</v>
      </c>
      <c r="V18" s="284"/>
      <c r="W18" s="291" t="s">
        <v>167</v>
      </c>
      <c r="X18" s="292">
        <v>45</v>
      </c>
      <c r="Y18" s="293" t="s">
        <v>166</v>
      </c>
      <c r="Z18" s="293" t="s">
        <v>165</v>
      </c>
      <c r="AA18" s="294">
        <f t="shared" si="12"/>
        <v>186750</v>
      </c>
      <c r="AB18" s="295">
        <v>0.3</v>
      </c>
      <c r="AC18" s="289"/>
      <c r="AD18" s="289"/>
      <c r="AE18" s="286"/>
    </row>
    <row r="19" spans="1:31" s="283" customFormat="1" ht="12.75" thickBot="1" x14ac:dyDescent="0.25">
      <c r="A19" s="275">
        <v>10619175</v>
      </c>
      <c r="B19" s="275" t="str">
        <f>IFERROR(VLOOKUP(A19,'PLLA PARA EL SISTEMA'!$B$15:$AK$52,2,0),"")</f>
        <v>SARMIENTO AURIS SONIA LIZ</v>
      </c>
      <c r="C19" s="276">
        <f>IFERROR(VLOOKUP(A19,'PLLA PARA EL SISTEMA'!$B$15:$AK$52,7,0),"")</f>
        <v>39083</v>
      </c>
      <c r="D19" s="277">
        <f>IFERROR(VLOOKUP(A19,'PLLA PARA EL SISTEMA'!$B$15:$CH$52,49,0),"")</f>
        <v>1700</v>
      </c>
      <c r="E19" s="306">
        <v>1400</v>
      </c>
      <c r="F19" s="305">
        <v>1400</v>
      </c>
      <c r="G19" s="304">
        <v>30</v>
      </c>
      <c r="H19" s="304">
        <v>30</v>
      </c>
      <c r="I19" s="304"/>
      <c r="J19" s="304"/>
      <c r="K19" s="304"/>
      <c r="L19" s="304"/>
      <c r="M19" s="303">
        <f t="shared" si="4"/>
        <v>60</v>
      </c>
      <c r="N19" s="281">
        <f t="shared" si="5"/>
        <v>161.11111111111111</v>
      </c>
      <c r="O19" s="281">
        <f t="shared" si="6"/>
        <v>161.11111111111111</v>
      </c>
      <c r="P19" s="281">
        <f t="shared" si="7"/>
        <v>0</v>
      </c>
      <c r="Q19" s="281">
        <f t="shared" si="8"/>
        <v>0</v>
      </c>
      <c r="R19" s="281">
        <f t="shared" si="9"/>
        <v>0</v>
      </c>
      <c r="S19" s="281">
        <f t="shared" si="10"/>
        <v>0</v>
      </c>
      <c r="T19" s="282">
        <f t="shared" si="11"/>
        <v>322.22222222222223</v>
      </c>
      <c r="V19" s="299"/>
      <c r="W19" s="300"/>
      <c r="X19" s="300"/>
      <c r="Y19" s="300"/>
      <c r="Z19" s="300"/>
      <c r="AA19" s="300"/>
      <c r="AB19" s="300"/>
      <c r="AC19" s="300"/>
      <c r="AD19" s="300"/>
      <c r="AE19" s="301"/>
    </row>
    <row r="20" spans="1:31" s="283" customFormat="1" ht="12" x14ac:dyDescent="0.2">
      <c r="A20" s="296">
        <v>10750131</v>
      </c>
      <c r="B20" s="275" t="str">
        <f>IFERROR(VLOOKUP(A20,'PLLA PARA EL SISTEMA'!$B$15:$AK$52,2,0),"")</f>
        <v>VEGA ROSALES JOB EZEQUIEL</v>
      </c>
      <c r="C20" s="276">
        <f>IFERROR(VLOOKUP(A20,'PLLA PARA EL SISTEMA'!$B$15:$AK$52,7,0),"")</f>
        <v>42917</v>
      </c>
      <c r="D20" s="277">
        <f>IFERROR(VLOOKUP(A20,'PLLA PARA EL SISTEMA'!$B$15:$CH$52,49,0),"")</f>
        <v>1200</v>
      </c>
      <c r="E20" s="306">
        <v>0</v>
      </c>
      <c r="F20" s="305">
        <v>1000</v>
      </c>
      <c r="G20" s="304">
        <v>30</v>
      </c>
      <c r="H20" s="304">
        <v>30</v>
      </c>
      <c r="I20" s="304"/>
      <c r="J20" s="304"/>
      <c r="K20" s="304"/>
      <c r="L20" s="304"/>
      <c r="M20" s="303">
        <f t="shared" si="4"/>
        <v>60</v>
      </c>
      <c r="N20" s="281">
        <f t="shared" si="5"/>
        <v>113.8888888888889</v>
      </c>
      <c r="O20" s="281">
        <f t="shared" si="6"/>
        <v>113.8888888888889</v>
      </c>
      <c r="P20" s="281">
        <f t="shared" si="7"/>
        <v>0</v>
      </c>
      <c r="Q20" s="281">
        <f t="shared" si="8"/>
        <v>0</v>
      </c>
      <c r="R20" s="281">
        <f t="shared" si="9"/>
        <v>0</v>
      </c>
      <c r="S20" s="281">
        <f t="shared" si="10"/>
        <v>0</v>
      </c>
      <c r="T20" s="282">
        <f t="shared" si="11"/>
        <v>227.7777777777778</v>
      </c>
    </row>
    <row r="21" spans="1:31" s="283" customFormat="1" ht="12" x14ac:dyDescent="0.2">
      <c r="A21" s="275">
        <v>47547622</v>
      </c>
      <c r="B21" s="275" t="str">
        <f>IFERROR(VLOOKUP(A21,'PLLA PARA EL SISTEMA'!$B$15:$AK$52,2,0),"")</f>
        <v>VELASQUEZ CAMPOS ABIGAIL NOEMI</v>
      </c>
      <c r="C21" s="276">
        <f>IFERROR(VLOOKUP(A21,'PLLA PARA EL SISTEMA'!$B$15:$AK$52,7,0),"")</f>
        <v>42795</v>
      </c>
      <c r="D21" s="277">
        <f>IFERROR(VLOOKUP(A21,'PLLA PARA EL SISTEMA'!$B$15:$CH$52,49,0),"")</f>
        <v>1000.0000000000001</v>
      </c>
      <c r="E21" s="306">
        <v>666.67</v>
      </c>
      <c r="F21" s="305">
        <v>1000</v>
      </c>
      <c r="G21" s="304">
        <v>30</v>
      </c>
      <c r="H21" s="304">
        <v>30</v>
      </c>
      <c r="I21" s="304"/>
      <c r="J21" s="304"/>
      <c r="K21" s="304"/>
      <c r="L21" s="304"/>
      <c r="M21" s="303">
        <f t="shared" si="4"/>
        <v>60</v>
      </c>
      <c r="N21" s="281">
        <f t="shared" si="5"/>
        <v>97.222222222222229</v>
      </c>
      <c r="O21" s="281">
        <f t="shared" si="6"/>
        <v>97.222222222222229</v>
      </c>
      <c r="P21" s="281">
        <f t="shared" si="7"/>
        <v>0</v>
      </c>
      <c r="Q21" s="281">
        <f t="shared" si="8"/>
        <v>0</v>
      </c>
      <c r="R21" s="281">
        <f t="shared" si="9"/>
        <v>0</v>
      </c>
      <c r="S21" s="281">
        <f t="shared" si="10"/>
        <v>0</v>
      </c>
      <c r="T21" s="282">
        <f t="shared" si="11"/>
        <v>194.44444444444446</v>
      </c>
    </row>
    <row r="22" spans="1:31" s="283" customFormat="1" ht="12" x14ac:dyDescent="0.2">
      <c r="A22" s="275">
        <v>40709623</v>
      </c>
      <c r="B22" s="275" t="str">
        <f>IFERROR(VLOOKUP(A22,'PLLA PARA EL SISTEMA'!$B$15:$AK$52,2,0),"")</f>
        <v>VELASQUEZ CAMPOS DAVIS JONATHAN</v>
      </c>
      <c r="C22" s="276">
        <f>IFERROR(VLOOKUP(A22,'PLLA PARA EL SISTEMA'!$B$15:$AK$52,7,0),"")</f>
        <v>38565</v>
      </c>
      <c r="D22" s="277">
        <f>IFERROR(VLOOKUP(A22,'PLLA PARA EL SISTEMA'!$B$15:$CH$52,49,0),"")</f>
        <v>6000</v>
      </c>
      <c r="E22" s="306">
        <v>2000</v>
      </c>
      <c r="F22" s="305">
        <v>2250</v>
      </c>
      <c r="G22" s="304">
        <v>30</v>
      </c>
      <c r="H22" s="304">
        <v>30</v>
      </c>
      <c r="I22" s="304"/>
      <c r="J22" s="304"/>
      <c r="K22" s="304"/>
      <c r="L22" s="304"/>
      <c r="M22" s="303">
        <f t="shared" si="4"/>
        <v>60</v>
      </c>
      <c r="N22" s="281">
        <f t="shared" si="5"/>
        <v>531.25</v>
      </c>
      <c r="O22" s="281">
        <f t="shared" si="6"/>
        <v>531.25</v>
      </c>
      <c r="P22" s="281">
        <f t="shared" si="7"/>
        <v>0</v>
      </c>
      <c r="Q22" s="281">
        <f t="shared" si="8"/>
        <v>0</v>
      </c>
      <c r="R22" s="281">
        <f t="shared" si="9"/>
        <v>0</v>
      </c>
      <c r="S22" s="281">
        <f t="shared" si="10"/>
        <v>0</v>
      </c>
      <c r="T22" s="282">
        <f t="shared" si="11"/>
        <v>1062.5</v>
      </c>
    </row>
    <row r="23" spans="1:31" s="283" customFormat="1" ht="12" x14ac:dyDescent="0.2">
      <c r="A23" s="275">
        <v>46287416</v>
      </c>
      <c r="B23" s="275" t="str">
        <f>IFERROR(VLOOKUP(A23,'PLLA PARA EL SISTEMA'!$B$15:$AK$52,2,0),"")</f>
        <v>CALLACNA VALENCIA JOSE JOSE</v>
      </c>
      <c r="C23" s="276">
        <f>IFERROR(VLOOKUP(A23,'PLLA PARA EL SISTEMA'!$B$15:$AK$52,7,0),"")</f>
        <v>43108</v>
      </c>
      <c r="D23" s="277">
        <f>IFERROR(VLOOKUP(A23,'PLLA PARA EL SISTEMA'!$B$15:$CH$52,49,0),"")</f>
        <v>1000.0000000000001</v>
      </c>
      <c r="E23" s="306"/>
      <c r="F23" s="305"/>
      <c r="G23" s="304"/>
      <c r="H23" s="304"/>
      <c r="I23" s="304"/>
      <c r="J23" s="304"/>
      <c r="K23" s="304"/>
      <c r="L23" s="304"/>
      <c r="M23" s="303">
        <f t="shared" si="4"/>
        <v>0</v>
      </c>
      <c r="N23" s="281">
        <f t="shared" si="5"/>
        <v>0</v>
      </c>
      <c r="O23" s="281">
        <f t="shared" si="6"/>
        <v>0</v>
      </c>
      <c r="P23" s="281">
        <f t="shared" si="7"/>
        <v>0</v>
      </c>
      <c r="Q23" s="281">
        <f t="shared" si="8"/>
        <v>0</v>
      </c>
      <c r="R23" s="281">
        <f t="shared" si="9"/>
        <v>0</v>
      </c>
      <c r="S23" s="281">
        <f t="shared" si="10"/>
        <v>0</v>
      </c>
      <c r="T23" s="282">
        <f t="shared" si="11"/>
        <v>0</v>
      </c>
    </row>
    <row r="24" spans="1:31" s="283" customFormat="1" ht="12" x14ac:dyDescent="0.2">
      <c r="A24" s="275">
        <v>41593805</v>
      </c>
      <c r="B24" s="275" t="str">
        <f>IFERROR(VLOOKUP(A24,'PLLA PARA EL SISTEMA'!$B$15:$AK$52,2,0),"")</f>
        <v>CALLIRGOS URBIZAGASTEGUI KARINA ROCIO</v>
      </c>
      <c r="C24" s="276">
        <f>IFERROR(VLOOKUP(A24,'PLLA PARA EL SISTEMA'!$B$15:$AK$52,7,0),"")</f>
        <v>43108</v>
      </c>
      <c r="D24" s="277">
        <f>IFERROR(VLOOKUP(A24,'PLLA PARA EL SISTEMA'!$B$15:$CH$52,49,0),"")</f>
        <v>935</v>
      </c>
      <c r="E24" s="306"/>
      <c r="F24" s="305"/>
      <c r="G24" s="304"/>
      <c r="H24" s="304"/>
      <c r="I24" s="304"/>
      <c r="J24" s="304"/>
      <c r="K24" s="304"/>
      <c r="L24" s="304"/>
      <c r="M24" s="303">
        <f t="shared" si="4"/>
        <v>0</v>
      </c>
      <c r="N24" s="281">
        <f t="shared" si="5"/>
        <v>0</v>
      </c>
      <c r="O24" s="281">
        <f t="shared" si="6"/>
        <v>0</v>
      </c>
      <c r="P24" s="281">
        <f t="shared" si="7"/>
        <v>0</v>
      </c>
      <c r="Q24" s="281">
        <f t="shared" si="8"/>
        <v>0</v>
      </c>
      <c r="R24" s="281">
        <f t="shared" si="9"/>
        <v>0</v>
      </c>
      <c r="S24" s="281">
        <f t="shared" si="10"/>
        <v>0</v>
      </c>
      <c r="T24" s="282">
        <f t="shared" si="11"/>
        <v>0</v>
      </c>
    </row>
    <row r="25" spans="1:31" s="283" customFormat="1" ht="12" x14ac:dyDescent="0.2">
      <c r="A25" s="275">
        <v>10611183</v>
      </c>
      <c r="B25" s="275" t="str">
        <f>IFERROR(VLOOKUP(A25,'PLLA PARA EL SISTEMA'!$B$15:$AK$52,2,0),"")</f>
        <v xml:space="preserve">FLORES TORRE ANDREA SEGUNDINA </v>
      </c>
      <c r="C25" s="276">
        <f>IFERROR(VLOOKUP(A25,'PLLA PARA EL SISTEMA'!$B$15:$AK$52,7,0),"")</f>
        <v>43108</v>
      </c>
      <c r="D25" s="277">
        <f>IFERROR(VLOOKUP(A25,'PLLA PARA EL SISTEMA'!$B$15:$CH$52,49,0),"")</f>
        <v>1000</v>
      </c>
      <c r="E25" s="306"/>
      <c r="F25" s="305"/>
      <c r="G25" s="304"/>
      <c r="H25" s="304"/>
      <c r="I25" s="304"/>
      <c r="J25" s="304"/>
      <c r="K25" s="304"/>
      <c r="L25" s="304"/>
      <c r="M25" s="303">
        <f t="shared" si="4"/>
        <v>0</v>
      </c>
      <c r="N25" s="281">
        <f t="shared" si="5"/>
        <v>0</v>
      </c>
      <c r="O25" s="281">
        <f t="shared" si="6"/>
        <v>0</v>
      </c>
      <c r="P25" s="281">
        <f t="shared" si="7"/>
        <v>0</v>
      </c>
      <c r="Q25" s="281">
        <f t="shared" si="8"/>
        <v>0</v>
      </c>
      <c r="R25" s="281">
        <f t="shared" si="9"/>
        <v>0</v>
      </c>
      <c r="S25" s="281">
        <f t="shared" si="10"/>
        <v>0</v>
      </c>
      <c r="T25" s="282">
        <f t="shared" si="11"/>
        <v>0</v>
      </c>
    </row>
    <row r="26" spans="1:31" s="283" customFormat="1" ht="12" x14ac:dyDescent="0.2">
      <c r="A26" s="275">
        <v>41237709</v>
      </c>
      <c r="B26" s="275" t="str">
        <f>IFERROR(VLOOKUP(A26,'PLLA PARA EL SISTEMA'!$B$15:$AK$52,2,0),"")</f>
        <v>QUISPE TITO BETTY  CARMEN</v>
      </c>
      <c r="C26" s="276">
        <f>IFERROR(VLOOKUP(A26,'PLLA PARA EL SISTEMA'!$B$15:$AK$52,7,0),"")</f>
        <v>43108</v>
      </c>
      <c r="D26" s="277">
        <f>IFERROR(VLOOKUP(A26,'PLLA PARA EL SISTEMA'!$B$15:$CH$52,49,0),"")</f>
        <v>935</v>
      </c>
      <c r="E26" s="306"/>
      <c r="F26" s="305"/>
      <c r="G26" s="304"/>
      <c r="H26" s="304"/>
      <c r="I26" s="304"/>
      <c r="J26" s="304"/>
      <c r="K26" s="304"/>
      <c r="L26" s="304"/>
      <c r="M26" s="303">
        <f t="shared" si="4"/>
        <v>0</v>
      </c>
      <c r="N26" s="281">
        <f t="shared" si="5"/>
        <v>0</v>
      </c>
      <c r="O26" s="281">
        <f t="shared" si="6"/>
        <v>0</v>
      </c>
      <c r="P26" s="281">
        <f t="shared" si="7"/>
        <v>0</v>
      </c>
      <c r="Q26" s="281">
        <f t="shared" si="8"/>
        <v>0</v>
      </c>
      <c r="R26" s="281">
        <f t="shared" si="9"/>
        <v>0</v>
      </c>
      <c r="S26" s="281">
        <f t="shared" si="10"/>
        <v>0</v>
      </c>
      <c r="T26" s="282">
        <f t="shared" si="11"/>
        <v>0</v>
      </c>
    </row>
    <row r="27" spans="1:31" s="283" customFormat="1" ht="12" x14ac:dyDescent="0.2">
      <c r="A27" s="275">
        <v>74446267</v>
      </c>
      <c r="B27" s="275" t="str">
        <f>IFERROR(VLOOKUP(A27,'PLLA PARA EL SISTEMA'!$B$15:$AK$52,2,0),"")</f>
        <v>AURES PEREZ DANITZA NELLY</v>
      </c>
      <c r="C27" s="276">
        <f>IFERROR(VLOOKUP(A27,'PLLA PARA EL SISTEMA'!$B$15:$AK$52,7,0),"")</f>
        <v>43108</v>
      </c>
      <c r="D27" s="277">
        <f>IFERROR(VLOOKUP(A27,'PLLA PARA EL SISTEMA'!$B$15:$CH$52,49,0),"")</f>
        <v>935</v>
      </c>
      <c r="E27" s="306"/>
      <c r="F27" s="305"/>
      <c r="G27" s="304"/>
      <c r="H27" s="304"/>
      <c r="I27" s="304"/>
      <c r="J27" s="304"/>
      <c r="K27" s="304"/>
      <c r="L27" s="304"/>
      <c r="M27" s="303">
        <f t="shared" si="4"/>
        <v>0</v>
      </c>
      <c r="N27" s="281">
        <f t="shared" si="5"/>
        <v>0</v>
      </c>
      <c r="O27" s="281">
        <f t="shared" si="6"/>
        <v>0</v>
      </c>
      <c r="P27" s="281">
        <f t="shared" si="7"/>
        <v>0</v>
      </c>
      <c r="Q27" s="281">
        <f t="shared" si="8"/>
        <v>0</v>
      </c>
      <c r="R27" s="281">
        <f t="shared" si="9"/>
        <v>0</v>
      </c>
      <c r="S27" s="281">
        <f t="shared" si="10"/>
        <v>0</v>
      </c>
      <c r="T27" s="282">
        <f t="shared" si="11"/>
        <v>0</v>
      </c>
    </row>
    <row r="28" spans="1:31" s="283" customFormat="1" ht="12" x14ac:dyDescent="0.2">
      <c r="A28" s="275"/>
      <c r="B28" s="275"/>
      <c r="C28" s="275"/>
      <c r="D28" s="277" t="s">
        <v>218</v>
      </c>
      <c r="E28" s="306"/>
      <c r="F28" s="305"/>
      <c r="G28" s="304"/>
      <c r="H28" s="304"/>
      <c r="I28" s="304"/>
      <c r="J28" s="304"/>
      <c r="K28" s="304"/>
      <c r="L28" s="304"/>
      <c r="M28" s="303"/>
      <c r="N28" s="281"/>
      <c r="O28" s="281"/>
      <c r="P28" s="281"/>
      <c r="Q28" s="281"/>
      <c r="R28" s="281"/>
      <c r="S28" s="281"/>
      <c r="T28" s="282"/>
    </row>
    <row r="30" spans="1:31" x14ac:dyDescent="0.25">
      <c r="D30" s="88">
        <f>SUM(D7:D29)</f>
        <v>36630</v>
      </c>
      <c r="E30" s="88">
        <f t="shared" ref="E30:T30" si="13">SUM(E7:E29)</f>
        <v>16461.669999999998</v>
      </c>
      <c r="F30" s="88">
        <f t="shared" si="13"/>
        <v>18631.099999999999</v>
      </c>
      <c r="G30" s="88">
        <f t="shared" si="13"/>
        <v>459</v>
      </c>
      <c r="H30" s="88">
        <f>SUM(H7:H29)</f>
        <v>457</v>
      </c>
      <c r="I30" s="88">
        <f t="shared" si="13"/>
        <v>0</v>
      </c>
      <c r="J30" s="88">
        <f t="shared" si="13"/>
        <v>0</v>
      </c>
      <c r="K30" s="88">
        <f t="shared" si="13"/>
        <v>0</v>
      </c>
      <c r="L30" s="88">
        <f t="shared" si="13"/>
        <v>0</v>
      </c>
      <c r="M30" s="88">
        <f t="shared" si="13"/>
        <v>916</v>
      </c>
      <c r="N30" s="88">
        <f t="shared" si="13"/>
        <v>2815.2467916666665</v>
      </c>
      <c r="O30" s="88">
        <f t="shared" si="13"/>
        <v>2837.9087962962963</v>
      </c>
      <c r="P30" s="88">
        <f t="shared" si="13"/>
        <v>0</v>
      </c>
      <c r="Q30" s="88">
        <f t="shared" si="13"/>
        <v>0</v>
      </c>
      <c r="R30" s="88">
        <f t="shared" si="13"/>
        <v>0</v>
      </c>
      <c r="S30" s="88">
        <f t="shared" si="13"/>
        <v>0</v>
      </c>
      <c r="T30" s="88">
        <f t="shared" si="13"/>
        <v>5653.1555879629632</v>
      </c>
    </row>
  </sheetData>
  <mergeCells count="16">
    <mergeCell ref="A5:A6"/>
    <mergeCell ref="B5:B6"/>
    <mergeCell ref="D5:D6"/>
    <mergeCell ref="G5:M5"/>
    <mergeCell ref="B2:M2"/>
    <mergeCell ref="E5:E6"/>
    <mergeCell ref="F5:F6"/>
    <mergeCell ref="C5:C6"/>
    <mergeCell ref="B1:C1"/>
    <mergeCell ref="AB16:AB17"/>
    <mergeCell ref="N5:T5"/>
    <mergeCell ref="X8:Z8"/>
    <mergeCell ref="W10:AA10"/>
    <mergeCell ref="AB12:AB13"/>
    <mergeCell ref="AB14:AB15"/>
    <mergeCell ref="V4:AE6"/>
  </mergeCells>
  <pageMargins left="0.7" right="0.7" top="0.75" bottom="0.75" header="0.3" footer="0.3"/>
  <pageSetup paperSize="9" scale="33" orientation="portrait" verticalDpi="0" r:id="rId1"/>
  <ignoredErrors>
    <ignoredError sqref="M7:M26" formulaRange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TABLA!$A$1:$A$2</xm:f>
          </x14:formula1>
          <xm:sqref>D1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C30"/>
  <sheetViews>
    <sheetView zoomScaleNormal="100" workbookViewId="0">
      <pane xSplit="4" ySplit="6" topLeftCell="K11" activePane="bottomRight" state="frozen"/>
      <selection pane="topRight" activeCell="E1" sqref="E1"/>
      <selection pane="bottomLeft" activeCell="A7" sqref="A7"/>
      <selection pane="bottomRight" activeCell="AD25" sqref="AD25"/>
    </sheetView>
  </sheetViews>
  <sheetFormatPr defaultColWidth="11.42578125" defaultRowHeight="15" x14ac:dyDescent="0.25"/>
  <cols>
    <col min="2" max="2" width="35.85546875" customWidth="1"/>
    <col min="3" max="3" width="12" customWidth="1"/>
    <col min="4" max="4" width="16.140625" customWidth="1"/>
    <col min="5" max="10" width="11.5703125" customWidth="1"/>
    <col min="11" max="11" width="8.7109375" customWidth="1"/>
    <col min="12" max="12" width="10.28515625" customWidth="1"/>
    <col min="13" max="13" width="10.85546875" customWidth="1"/>
    <col min="14" max="16" width="10.28515625" customWidth="1"/>
    <col min="17" max="17" width="13.28515625" customWidth="1"/>
    <col min="20" max="20" width="2.7109375" hidden="1" customWidth="1"/>
    <col min="21" max="22" width="11.42578125" hidden="1" customWidth="1"/>
    <col min="23" max="23" width="6.5703125" hidden="1" customWidth="1"/>
    <col min="24" max="24" width="2.42578125" hidden="1" customWidth="1"/>
    <col min="25" max="25" width="13.7109375" hidden="1" customWidth="1"/>
    <col min="26" max="26" width="11.42578125" hidden="1" customWidth="1"/>
    <col min="27" max="28" width="2" hidden="1" customWidth="1"/>
    <col min="29" max="29" width="1.28515625" hidden="1" customWidth="1"/>
    <col min="30" max="30" width="11.42578125" customWidth="1"/>
  </cols>
  <sheetData>
    <row r="1" spans="1:29" ht="15.75" customHeight="1" thickBot="1" x14ac:dyDescent="0.3">
      <c r="B1" t="s">
        <v>215</v>
      </c>
      <c r="C1" s="102" t="s">
        <v>220</v>
      </c>
    </row>
    <row r="2" spans="1:29" ht="22.5" customHeight="1" x14ac:dyDescent="0.3">
      <c r="B2" s="460" t="str">
        <f>IF(C1="ENE - JUN","GRATIFICACIONES POR FIESTAS PATRIAS PERIODO ENERO A JUNIO DEL 2018","GRATIFICACIONES POR NATIVIDAD PERIODO JULIO A DICIEMBRE DEL 2018")</f>
        <v>GRATIFICACIONES POR FIESTAS PATRIAS PERIODO ENERO A JUNIO DEL 2018</v>
      </c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</row>
    <row r="3" spans="1:29" ht="15.75" customHeight="1" thickBot="1" x14ac:dyDescent="0.3"/>
    <row r="4" spans="1:29" ht="15.75" customHeight="1" x14ac:dyDescent="0.25">
      <c r="A4">
        <v>1</v>
      </c>
      <c r="B4">
        <f t="shared" ref="B4:R4" si="0">+A4+1</f>
        <v>2</v>
      </c>
      <c r="C4">
        <f t="shared" si="0"/>
        <v>3</v>
      </c>
      <c r="D4">
        <f t="shared" ref="D4" si="1">+C4+1</f>
        <v>4</v>
      </c>
      <c r="E4">
        <f t="shared" ref="E4" si="2">+D4+1</f>
        <v>5</v>
      </c>
      <c r="F4">
        <f t="shared" si="0"/>
        <v>6</v>
      </c>
      <c r="G4">
        <f t="shared" si="0"/>
        <v>7</v>
      </c>
      <c r="H4">
        <f t="shared" si="0"/>
        <v>8</v>
      </c>
      <c r="I4">
        <f t="shared" si="0"/>
        <v>9</v>
      </c>
      <c r="J4">
        <f t="shared" si="0"/>
        <v>10</v>
      </c>
      <c r="K4">
        <f t="shared" si="0"/>
        <v>11</v>
      </c>
      <c r="L4">
        <f t="shared" si="0"/>
        <v>12</v>
      </c>
      <c r="M4">
        <f t="shared" si="0"/>
        <v>13</v>
      </c>
      <c r="N4">
        <f t="shared" si="0"/>
        <v>14</v>
      </c>
      <c r="O4">
        <f t="shared" si="0"/>
        <v>15</v>
      </c>
      <c r="P4">
        <f t="shared" si="0"/>
        <v>16</v>
      </c>
      <c r="Q4">
        <f t="shared" si="0"/>
        <v>17</v>
      </c>
      <c r="R4">
        <f t="shared" si="0"/>
        <v>18</v>
      </c>
      <c r="T4" s="446" t="s">
        <v>201</v>
      </c>
      <c r="U4" s="447"/>
      <c r="V4" s="447"/>
      <c r="W4" s="447"/>
      <c r="X4" s="447"/>
      <c r="Y4" s="447"/>
      <c r="Z4" s="447"/>
      <c r="AA4" s="447"/>
      <c r="AB4" s="447"/>
      <c r="AC4" s="448"/>
    </row>
    <row r="5" spans="1:29" ht="15.75" customHeight="1" x14ac:dyDescent="0.25">
      <c r="A5" s="439" t="s">
        <v>200</v>
      </c>
      <c r="B5" s="439" t="s">
        <v>199</v>
      </c>
      <c r="C5" s="439" t="s">
        <v>219</v>
      </c>
      <c r="D5" s="439" t="s">
        <v>195</v>
      </c>
      <c r="E5" s="440" t="s">
        <v>32</v>
      </c>
      <c r="F5" s="441"/>
      <c r="G5" s="441"/>
      <c r="H5" s="441"/>
      <c r="I5" s="441"/>
      <c r="J5" s="441"/>
      <c r="K5" s="442"/>
      <c r="L5" s="457" t="s">
        <v>222</v>
      </c>
      <c r="M5" s="458"/>
      <c r="N5" s="458"/>
      <c r="O5" s="458"/>
      <c r="P5" s="458"/>
      <c r="Q5" s="458"/>
      <c r="R5" s="459"/>
      <c r="T5" s="449"/>
      <c r="U5" s="450"/>
      <c r="V5" s="450"/>
      <c r="W5" s="450"/>
      <c r="X5" s="450"/>
      <c r="Y5" s="450"/>
      <c r="Z5" s="450"/>
      <c r="AA5" s="450"/>
      <c r="AB5" s="450"/>
      <c r="AC5" s="451"/>
    </row>
    <row r="6" spans="1:29" x14ac:dyDescent="0.25">
      <c r="A6" s="439"/>
      <c r="B6" s="439"/>
      <c r="C6" s="439"/>
      <c r="D6" s="439"/>
      <c r="E6" s="96" t="str">
        <f>IF($C$1="ENE - JUN","ENERO","JULIO")</f>
        <v>ENERO</v>
      </c>
      <c r="F6" s="96" t="str">
        <f>IF($C$1="ENE - JUN","FEBRERO","AGOSTO")</f>
        <v>FEBRERO</v>
      </c>
      <c r="G6" s="96" t="str">
        <f>IF($C$1="ENE - JUN","MARZO","SETIEMBRE")</f>
        <v>MARZO</v>
      </c>
      <c r="H6" s="96" t="str">
        <f>IF($C$1="ENE - JUN","ABRIL","OCTUBRE")</f>
        <v>ABRIL</v>
      </c>
      <c r="I6" s="96" t="str">
        <f>IF($C$1="ENE - JUN","MAYO","NOVIEMBRE")</f>
        <v>MAYO</v>
      </c>
      <c r="J6" s="96" t="str">
        <f>IF($C$1="ENE - JUN","JUNIO","DICIEMBRE")</f>
        <v>JUNIO</v>
      </c>
      <c r="K6" s="101" t="s">
        <v>131</v>
      </c>
      <c r="L6" s="97" t="str">
        <f>IF($C$1="ENE - JUN","ENERO","JULIO")</f>
        <v>ENERO</v>
      </c>
      <c r="M6" s="97" t="str">
        <f>IF($C$1="ENE - JUN","FEBRERO","AGOSTO")</f>
        <v>FEBRERO</v>
      </c>
      <c r="N6" s="97" t="str">
        <f>IF($C$1="ENE - JUN","MARZO","SETIEMBRE")</f>
        <v>MARZO</v>
      </c>
      <c r="O6" s="97" t="str">
        <f>IF($C$1="ENE - JUN","ABRIL","OCTUBRE")</f>
        <v>ABRIL</v>
      </c>
      <c r="P6" s="97" t="str">
        <f>IF($C$1="ENE - JUN","MAYO","NOVIEMBRE")</f>
        <v>MAYO</v>
      </c>
      <c r="Q6" s="97" t="str">
        <f>IF($C$1="ENE - JUN","JUNIO","DICIEMBRE")</f>
        <v>JUNIO</v>
      </c>
      <c r="R6" s="97" t="s">
        <v>131</v>
      </c>
      <c r="T6" s="449"/>
      <c r="U6" s="450"/>
      <c r="V6" s="450"/>
      <c r="W6" s="450"/>
      <c r="X6" s="450"/>
      <c r="Y6" s="450"/>
      <c r="Z6" s="450"/>
      <c r="AA6" s="450"/>
      <c r="AB6" s="450"/>
      <c r="AC6" s="451"/>
    </row>
    <row r="7" spans="1:29" s="283" customFormat="1" ht="12" x14ac:dyDescent="0.2">
      <c r="A7" s="274">
        <v>9117942</v>
      </c>
      <c r="B7" s="275" t="str">
        <f>IFERROR(VLOOKUP(A7,'PLLA PARA EL SISTEMA'!$B$15:$AK$52,2,0),"")</f>
        <v>AYUDANTE SULCA LOURDES ISABEL</v>
      </c>
      <c r="C7" s="276">
        <f>IFERROR(VLOOKUP(A7,'PLLA PARA EL SISTEMA'!$B$15:$AK$52,7,0),"")</f>
        <v>39818</v>
      </c>
      <c r="D7" s="277">
        <f>IFERROR(VLOOKUP(A7,'PLLA PARA EL SISTEMA'!$B$15:$CH$52,49,0),"")</f>
        <v>2395</v>
      </c>
      <c r="E7" s="303"/>
      <c r="F7" s="303"/>
      <c r="G7" s="303"/>
      <c r="H7" s="303"/>
      <c r="I7" s="303"/>
      <c r="J7" s="303"/>
      <c r="K7" s="303">
        <f>SUM(E7:J7)</f>
        <v>0</v>
      </c>
      <c r="L7" s="281">
        <f>($D7/180*E7*0.09)+$D7/180*E7</f>
        <v>0</v>
      </c>
      <c r="M7" s="281">
        <f t="shared" ref="M7:Q7" si="3">($D7/180*F7*0.09)+$D7/180*F7</f>
        <v>0</v>
      </c>
      <c r="N7" s="281">
        <f t="shared" si="3"/>
        <v>0</v>
      </c>
      <c r="O7" s="281">
        <f t="shared" si="3"/>
        <v>0</v>
      </c>
      <c r="P7" s="281">
        <f t="shared" si="3"/>
        <v>0</v>
      </c>
      <c r="Q7" s="281">
        <f t="shared" si="3"/>
        <v>0</v>
      </c>
      <c r="R7" s="282">
        <f>SUM(L7:Q7)</f>
        <v>0</v>
      </c>
      <c r="T7" s="284"/>
      <c r="Y7" s="285"/>
      <c r="Z7" s="285"/>
      <c r="AA7" s="285"/>
      <c r="AB7" s="285"/>
      <c r="AC7" s="286"/>
    </row>
    <row r="8" spans="1:29" s="283" customFormat="1" ht="12" x14ac:dyDescent="0.2">
      <c r="A8" s="287">
        <v>73672954</v>
      </c>
      <c r="B8" s="275" t="str">
        <f>IFERROR(VLOOKUP(A8,'PLLA PARA EL SISTEMA'!$B$15:$AK$52,2,0),"")</f>
        <v>CAMPOS RODRIGUEZ RONY ROGGER</v>
      </c>
      <c r="C8" s="276">
        <f>IFERROR(VLOOKUP(A8,'PLLA PARA EL SISTEMA'!$B$15:$AK$52,7,0),"")</f>
        <v>43024</v>
      </c>
      <c r="D8" s="277">
        <f>IFERROR(VLOOKUP(A8,'PLLA PARA EL SISTEMA'!$B$15:$CH$52,49,0),"")</f>
        <v>1085</v>
      </c>
      <c r="E8" s="303"/>
      <c r="F8" s="303"/>
      <c r="G8" s="303"/>
      <c r="H8" s="303"/>
      <c r="I8" s="303"/>
      <c r="J8" s="303"/>
      <c r="K8" s="303">
        <f t="shared" ref="K8:K23" si="4">SUM(E8:J8)</f>
        <v>0</v>
      </c>
      <c r="L8" s="281">
        <f t="shared" ref="L8:L24" si="5">($D8/180*E8*0.09)+$D8/180*E8</f>
        <v>0</v>
      </c>
      <c r="M8" s="281">
        <f t="shared" ref="M8:M24" si="6">($D8/180*F8*0.09)+$D8/180*F8</f>
        <v>0</v>
      </c>
      <c r="N8" s="281">
        <f t="shared" ref="N8:N24" si="7">($D8/180*G8*0.09)+$D8/180*G8</f>
        <v>0</v>
      </c>
      <c r="O8" s="281">
        <f t="shared" ref="O8:O24" si="8">($D8/180*H8*0.09)+$D8/180*H8</f>
        <v>0</v>
      </c>
      <c r="P8" s="281">
        <f t="shared" ref="P8:P24" si="9">($D8/180*I8*0.09)+$D8/180*I8</f>
        <v>0</v>
      </c>
      <c r="Q8" s="281">
        <f t="shared" ref="Q8:Q24" si="10">($D8/180*J8*0.09)+$D8/180*J8</f>
        <v>0</v>
      </c>
      <c r="R8" s="282">
        <f t="shared" ref="R8:R24" si="11">SUM(L8:Q8)</f>
        <v>0</v>
      </c>
      <c r="T8" s="284"/>
      <c r="U8" s="288" t="s">
        <v>172</v>
      </c>
      <c r="V8" s="453">
        <v>4150</v>
      </c>
      <c r="W8" s="453"/>
      <c r="X8" s="454"/>
      <c r="Y8" s="289"/>
      <c r="Z8" s="289"/>
      <c r="AA8" s="289"/>
      <c r="AB8" s="289"/>
      <c r="AC8" s="286"/>
    </row>
    <row r="9" spans="1:29" s="283" customFormat="1" ht="12" x14ac:dyDescent="0.2">
      <c r="A9" s="274">
        <v>6067588</v>
      </c>
      <c r="B9" s="275" t="str">
        <f>IFERROR(VLOOKUP(A9,'PLLA PARA EL SISTEMA'!$B$15:$AK$52,2,0),"")</f>
        <v>CAMPOS ROLDAN JULIA  APOLINAR</v>
      </c>
      <c r="C9" s="276">
        <f>IFERROR(VLOOKUP(A9,'PLLA PARA EL SISTEMA'!$B$15:$AK$52,7,0),"")</f>
        <v>38565</v>
      </c>
      <c r="D9" s="277">
        <f>IFERROR(VLOOKUP(A9,'PLLA PARA EL SISTEMA'!$B$15:$CH$52,49,0),"")</f>
        <v>3850.0000000000005</v>
      </c>
      <c r="E9" s="303"/>
      <c r="F9" s="303"/>
      <c r="G9" s="303"/>
      <c r="H9" s="303"/>
      <c r="I9" s="303"/>
      <c r="J9" s="303"/>
      <c r="K9" s="303">
        <f t="shared" si="4"/>
        <v>0</v>
      </c>
      <c r="L9" s="281">
        <f t="shared" si="5"/>
        <v>0</v>
      </c>
      <c r="M9" s="281">
        <f t="shared" si="6"/>
        <v>0</v>
      </c>
      <c r="N9" s="281">
        <f t="shared" si="7"/>
        <v>0</v>
      </c>
      <c r="O9" s="281">
        <f t="shared" si="8"/>
        <v>0</v>
      </c>
      <c r="P9" s="281">
        <f t="shared" si="9"/>
        <v>0</v>
      </c>
      <c r="Q9" s="281">
        <f t="shared" si="10"/>
        <v>0</v>
      </c>
      <c r="R9" s="282">
        <f t="shared" si="11"/>
        <v>0</v>
      </c>
      <c r="T9" s="284"/>
      <c r="AA9" s="289"/>
      <c r="AB9" s="289"/>
      <c r="AC9" s="286"/>
    </row>
    <row r="10" spans="1:29" s="283" customFormat="1" ht="12" x14ac:dyDescent="0.2">
      <c r="A10" s="274">
        <v>9929599</v>
      </c>
      <c r="B10" s="275" t="str">
        <f>IFERROR(VLOOKUP(A10,'PLLA PARA EL SISTEMA'!$B$15:$AK$52,2,0),"")</f>
        <v>CERRON FLORES JORGE ALBERTO</v>
      </c>
      <c r="C10" s="276">
        <f>IFERROR(VLOOKUP(A10,'PLLA PARA EL SISTEMA'!$B$15:$AK$52,7,0),"")</f>
        <v>42644</v>
      </c>
      <c r="D10" s="277">
        <f>IFERROR(VLOOKUP(A10,'PLLA PARA EL SISTEMA'!$B$15:$CH$52,49,0),"")</f>
        <v>1500</v>
      </c>
      <c r="E10" s="303"/>
      <c r="F10" s="303"/>
      <c r="G10" s="303"/>
      <c r="H10" s="303"/>
      <c r="I10" s="303"/>
      <c r="J10" s="303"/>
      <c r="K10" s="303">
        <f t="shared" si="4"/>
        <v>0</v>
      </c>
      <c r="L10" s="281">
        <f t="shared" si="5"/>
        <v>0</v>
      </c>
      <c r="M10" s="281">
        <f t="shared" si="6"/>
        <v>0</v>
      </c>
      <c r="N10" s="281">
        <f t="shared" si="7"/>
        <v>0</v>
      </c>
      <c r="O10" s="281">
        <f t="shared" si="8"/>
        <v>0</v>
      </c>
      <c r="P10" s="281">
        <f t="shared" si="9"/>
        <v>0</v>
      </c>
      <c r="Q10" s="281">
        <f t="shared" si="10"/>
        <v>0</v>
      </c>
      <c r="R10" s="282">
        <f t="shared" si="11"/>
        <v>0</v>
      </c>
      <c r="T10" s="284"/>
      <c r="U10" s="452" t="s">
        <v>171</v>
      </c>
      <c r="V10" s="452"/>
      <c r="W10" s="452"/>
      <c r="X10" s="452"/>
      <c r="Y10" s="452"/>
      <c r="Z10" s="290" t="s">
        <v>170</v>
      </c>
      <c r="AA10" s="289"/>
      <c r="AB10" s="289"/>
      <c r="AC10" s="286"/>
    </row>
    <row r="11" spans="1:29" s="283" customFormat="1" ht="12" x14ac:dyDescent="0.2">
      <c r="A11" s="274">
        <v>8569186</v>
      </c>
      <c r="B11" s="275" t="str">
        <f>IFERROR(VLOOKUP(A11,'PLLA PARA EL SISTEMA'!$B$15:$AK$52,2,0),"")</f>
        <v>CHAVEZ DIAZ SEGUNDO FRANKLIN</v>
      </c>
      <c r="C11" s="276">
        <f>IFERROR(VLOOKUP(A11,'PLLA PARA EL SISTEMA'!$B$15:$AK$52,7,0),"")</f>
        <v>37104</v>
      </c>
      <c r="D11" s="277">
        <f>IFERROR(VLOOKUP(A11,'PLLA PARA EL SISTEMA'!$B$15:$CH$52,49,0),"")</f>
        <v>2400</v>
      </c>
      <c r="E11" s="303"/>
      <c r="F11" s="303"/>
      <c r="G11" s="303"/>
      <c r="H11" s="303"/>
      <c r="I11" s="303"/>
      <c r="J11" s="303"/>
      <c r="K11" s="303">
        <f t="shared" si="4"/>
        <v>0</v>
      </c>
      <c r="L11" s="281">
        <f t="shared" si="5"/>
        <v>0</v>
      </c>
      <c r="M11" s="281">
        <f t="shared" si="6"/>
        <v>0</v>
      </c>
      <c r="N11" s="281">
        <f t="shared" si="7"/>
        <v>0</v>
      </c>
      <c r="O11" s="281">
        <f t="shared" si="8"/>
        <v>0</v>
      </c>
      <c r="P11" s="281">
        <f t="shared" si="9"/>
        <v>0</v>
      </c>
      <c r="Q11" s="281">
        <f t="shared" si="10"/>
        <v>0</v>
      </c>
      <c r="R11" s="282">
        <f t="shared" si="11"/>
        <v>0</v>
      </c>
      <c r="T11" s="284"/>
      <c r="U11" s="291" t="s">
        <v>169</v>
      </c>
      <c r="V11" s="292">
        <v>5</v>
      </c>
      <c r="W11" s="293" t="s">
        <v>166</v>
      </c>
      <c r="X11" s="293" t="s">
        <v>165</v>
      </c>
      <c r="Y11" s="294">
        <f t="shared" ref="Y11:Y18" si="12">+V11*$V$8</f>
        <v>20750</v>
      </c>
      <c r="Z11" s="295">
        <v>0.08</v>
      </c>
      <c r="AA11" s="289"/>
      <c r="AB11" s="289"/>
      <c r="AC11" s="286"/>
    </row>
    <row r="12" spans="1:29" s="283" customFormat="1" ht="12" x14ac:dyDescent="0.2">
      <c r="A12" s="296">
        <v>47974615</v>
      </c>
      <c r="B12" s="275" t="str">
        <f>IFERROR(VLOOKUP(A12,'PLLA PARA EL SISTEMA'!$B$15:$AK$52,2,0),"")</f>
        <v>DUPA RAMIREZ FRANCISCO NEMECIO</v>
      </c>
      <c r="C12" s="276">
        <f>IFERROR(VLOOKUP(A12,'PLLA PARA EL SISTEMA'!$B$15:$AK$52,7,0),"")</f>
        <v>42842</v>
      </c>
      <c r="D12" s="277">
        <f>IFERROR(VLOOKUP(A12,'PLLA PARA EL SISTEMA'!$B$15:$CH$52,49,0),"")</f>
        <v>1200</v>
      </c>
      <c r="E12" s="303"/>
      <c r="F12" s="303"/>
      <c r="G12" s="303"/>
      <c r="H12" s="303"/>
      <c r="I12" s="303"/>
      <c r="J12" s="303"/>
      <c r="K12" s="303">
        <f t="shared" si="4"/>
        <v>0</v>
      </c>
      <c r="L12" s="281">
        <f t="shared" si="5"/>
        <v>0</v>
      </c>
      <c r="M12" s="281">
        <f t="shared" si="6"/>
        <v>0</v>
      </c>
      <c r="N12" s="281">
        <f t="shared" si="7"/>
        <v>0</v>
      </c>
      <c r="O12" s="281">
        <f t="shared" si="8"/>
        <v>0</v>
      </c>
      <c r="P12" s="281">
        <f t="shared" si="9"/>
        <v>0</v>
      </c>
      <c r="Q12" s="281">
        <f t="shared" si="10"/>
        <v>0</v>
      </c>
      <c r="R12" s="282">
        <f t="shared" si="11"/>
        <v>0</v>
      </c>
      <c r="T12" s="284"/>
      <c r="U12" s="291" t="s">
        <v>167</v>
      </c>
      <c r="V12" s="292">
        <v>5</v>
      </c>
      <c r="W12" s="293" t="s">
        <v>166</v>
      </c>
      <c r="X12" s="293" t="s">
        <v>165</v>
      </c>
      <c r="Y12" s="294">
        <f t="shared" si="12"/>
        <v>20750</v>
      </c>
      <c r="Z12" s="443">
        <v>0.14000000000000001</v>
      </c>
      <c r="AA12" s="289"/>
      <c r="AB12" s="289"/>
      <c r="AC12" s="286"/>
    </row>
    <row r="13" spans="1:29" s="283" customFormat="1" ht="12" x14ac:dyDescent="0.2">
      <c r="A13" s="275">
        <v>80677912</v>
      </c>
      <c r="B13" s="275" t="str">
        <f>IFERROR(VLOOKUP(A13,'PLLA PARA EL SISTEMA'!$B$15:$AK$52,2,0),"")</f>
        <v>FARFAN COLINA JOSE FRANCISCO</v>
      </c>
      <c r="C13" s="276">
        <f>IFERROR(VLOOKUP(A13,'PLLA PARA EL SISTEMA'!$B$15:$AK$52,7,0),"")</f>
        <v>42614</v>
      </c>
      <c r="D13" s="277">
        <f>IFERROR(VLOOKUP(A13,'PLLA PARA EL SISTEMA'!$B$15:$CH$52,49,0),"")</f>
        <v>1200</v>
      </c>
      <c r="E13" s="303"/>
      <c r="F13" s="303"/>
      <c r="G13" s="303"/>
      <c r="H13" s="303"/>
      <c r="I13" s="303"/>
      <c r="J13" s="303"/>
      <c r="K13" s="303">
        <f t="shared" si="4"/>
        <v>0</v>
      </c>
      <c r="L13" s="281">
        <f t="shared" si="5"/>
        <v>0</v>
      </c>
      <c r="M13" s="281">
        <f t="shared" si="6"/>
        <v>0</v>
      </c>
      <c r="N13" s="281">
        <f t="shared" si="7"/>
        <v>0</v>
      </c>
      <c r="O13" s="281">
        <f t="shared" si="8"/>
        <v>0</v>
      </c>
      <c r="P13" s="281">
        <f t="shared" si="9"/>
        <v>0</v>
      </c>
      <c r="Q13" s="281">
        <f t="shared" si="10"/>
        <v>0</v>
      </c>
      <c r="R13" s="282">
        <f t="shared" si="11"/>
        <v>0</v>
      </c>
      <c r="T13" s="284"/>
      <c r="U13" s="291" t="s">
        <v>168</v>
      </c>
      <c r="V13" s="292">
        <v>20</v>
      </c>
      <c r="W13" s="293" t="s">
        <v>166</v>
      </c>
      <c r="X13" s="293" t="s">
        <v>165</v>
      </c>
      <c r="Y13" s="294">
        <f t="shared" si="12"/>
        <v>83000</v>
      </c>
      <c r="Z13" s="443"/>
      <c r="AA13" s="289"/>
      <c r="AB13" s="289"/>
      <c r="AC13" s="297"/>
    </row>
    <row r="14" spans="1:29" s="283" customFormat="1" ht="12" x14ac:dyDescent="0.2">
      <c r="A14" s="298">
        <v>44112775</v>
      </c>
      <c r="B14" s="275" t="str">
        <f>IFERROR(VLOOKUP(A14,'PLLA PARA EL SISTEMA'!$B$15:$AK$52,2,0),"")</f>
        <v>HUAMANI CASAVILCA ROBERT WILLIAM</v>
      </c>
      <c r="C14" s="276">
        <f>IFERROR(VLOOKUP(A14,'PLLA PARA EL SISTEMA'!$B$15:$AK$52,7,0),"")</f>
        <v>42644</v>
      </c>
      <c r="D14" s="277">
        <f>IFERROR(VLOOKUP(A14,'PLLA PARA EL SISTEMA'!$B$15:$CH$52,49,0),"")</f>
        <v>1500</v>
      </c>
      <c r="E14" s="303"/>
      <c r="F14" s="303"/>
      <c r="G14" s="303"/>
      <c r="H14" s="303"/>
      <c r="I14" s="303"/>
      <c r="J14" s="303"/>
      <c r="K14" s="303">
        <f t="shared" si="4"/>
        <v>0</v>
      </c>
      <c r="L14" s="281">
        <f t="shared" si="5"/>
        <v>0</v>
      </c>
      <c r="M14" s="281">
        <f t="shared" si="6"/>
        <v>0</v>
      </c>
      <c r="N14" s="281">
        <f t="shared" si="7"/>
        <v>0</v>
      </c>
      <c r="O14" s="281">
        <f t="shared" si="8"/>
        <v>0</v>
      </c>
      <c r="P14" s="281">
        <f t="shared" si="9"/>
        <v>0</v>
      </c>
      <c r="Q14" s="281">
        <f t="shared" si="10"/>
        <v>0</v>
      </c>
      <c r="R14" s="282">
        <f t="shared" si="11"/>
        <v>0</v>
      </c>
      <c r="T14" s="284"/>
      <c r="U14" s="291" t="s">
        <v>167</v>
      </c>
      <c r="V14" s="292">
        <v>20</v>
      </c>
      <c r="W14" s="293" t="s">
        <v>166</v>
      </c>
      <c r="X14" s="293" t="s">
        <v>165</v>
      </c>
      <c r="Y14" s="294">
        <f t="shared" si="12"/>
        <v>83000</v>
      </c>
      <c r="Z14" s="443">
        <v>0.17</v>
      </c>
      <c r="AA14" s="289"/>
      <c r="AB14" s="289"/>
      <c r="AC14" s="286"/>
    </row>
    <row r="15" spans="1:29" s="283" customFormat="1" ht="12" x14ac:dyDescent="0.2">
      <c r="A15" s="275">
        <v>10533675</v>
      </c>
      <c r="B15" s="275" t="str">
        <f>IFERROR(VLOOKUP(A15,'PLLA PARA EL SISTEMA'!$B$15:$AK$52,2,0),"")</f>
        <v>JARA LEON SAMUEL BERNALDO</v>
      </c>
      <c r="C15" s="276">
        <f>IFERROR(VLOOKUP(A15,'PLLA PARA EL SISTEMA'!$B$15:$AK$52,7,0),"")</f>
        <v>41655</v>
      </c>
      <c r="D15" s="277">
        <f>IFERROR(VLOOKUP(A15,'PLLA PARA EL SISTEMA'!$B$15:$CH$52,49,0),"")</f>
        <v>1900</v>
      </c>
      <c r="E15" s="303"/>
      <c r="F15" s="303"/>
      <c r="G15" s="303"/>
      <c r="H15" s="303"/>
      <c r="I15" s="303"/>
      <c r="J15" s="303"/>
      <c r="K15" s="303">
        <f t="shared" si="4"/>
        <v>0</v>
      </c>
      <c r="L15" s="281">
        <f t="shared" si="5"/>
        <v>0</v>
      </c>
      <c r="M15" s="281">
        <f t="shared" si="6"/>
        <v>0</v>
      </c>
      <c r="N15" s="281">
        <f t="shared" si="7"/>
        <v>0</v>
      </c>
      <c r="O15" s="281">
        <f t="shared" si="8"/>
        <v>0</v>
      </c>
      <c r="P15" s="281">
        <f t="shared" si="9"/>
        <v>0</v>
      </c>
      <c r="Q15" s="281">
        <f t="shared" si="10"/>
        <v>0</v>
      </c>
      <c r="R15" s="282">
        <f t="shared" si="11"/>
        <v>0</v>
      </c>
      <c r="T15" s="284"/>
      <c r="U15" s="291" t="s">
        <v>168</v>
      </c>
      <c r="V15" s="292">
        <v>35</v>
      </c>
      <c r="W15" s="293" t="s">
        <v>166</v>
      </c>
      <c r="X15" s="293" t="s">
        <v>165</v>
      </c>
      <c r="Y15" s="294">
        <f t="shared" si="12"/>
        <v>145250</v>
      </c>
      <c r="Z15" s="443"/>
      <c r="AA15" s="289"/>
      <c r="AB15" s="289"/>
      <c r="AC15" s="297"/>
    </row>
    <row r="16" spans="1:29" s="283" customFormat="1" ht="12" x14ac:dyDescent="0.2">
      <c r="A16" s="296">
        <v>48140763</v>
      </c>
      <c r="B16" s="275" t="str">
        <f>IFERROR(VLOOKUP(A16,'PLLA PARA EL SISTEMA'!$B$15:$AK$52,2,0),"")</f>
        <v>NOLASCO PRINCIPE RONAL JACINTO</v>
      </c>
      <c r="C16" s="276">
        <f>IFERROR(VLOOKUP(A16,'PLLA PARA EL SISTEMA'!$B$15:$AK$52,7,0),"")</f>
        <v>42644</v>
      </c>
      <c r="D16" s="277">
        <f>IFERROR(VLOOKUP(A16,'PLLA PARA EL SISTEMA'!$B$15:$CH$52,49,0),"")</f>
        <v>1000.0000000000001</v>
      </c>
      <c r="E16" s="303"/>
      <c r="F16" s="303"/>
      <c r="G16" s="303"/>
      <c r="H16" s="303"/>
      <c r="I16" s="303"/>
      <c r="J16" s="303"/>
      <c r="K16" s="303">
        <f t="shared" si="4"/>
        <v>0</v>
      </c>
      <c r="L16" s="281">
        <f t="shared" si="5"/>
        <v>0</v>
      </c>
      <c r="M16" s="281">
        <f t="shared" si="6"/>
        <v>0</v>
      </c>
      <c r="N16" s="281">
        <f t="shared" si="7"/>
        <v>0</v>
      </c>
      <c r="O16" s="281">
        <f t="shared" si="8"/>
        <v>0</v>
      </c>
      <c r="P16" s="281">
        <f t="shared" si="9"/>
        <v>0</v>
      </c>
      <c r="Q16" s="281">
        <f t="shared" si="10"/>
        <v>0</v>
      </c>
      <c r="R16" s="282">
        <f t="shared" si="11"/>
        <v>0</v>
      </c>
      <c r="T16" s="284"/>
      <c r="U16" s="291" t="s">
        <v>167</v>
      </c>
      <c r="V16" s="292">
        <v>35</v>
      </c>
      <c r="W16" s="293" t="s">
        <v>166</v>
      </c>
      <c r="X16" s="293" t="s">
        <v>165</v>
      </c>
      <c r="Y16" s="294">
        <f t="shared" si="12"/>
        <v>145250</v>
      </c>
      <c r="Z16" s="443">
        <v>0.2</v>
      </c>
      <c r="AA16" s="289"/>
      <c r="AB16" s="289"/>
      <c r="AC16" s="286"/>
    </row>
    <row r="17" spans="1:29" s="283" customFormat="1" ht="12" x14ac:dyDescent="0.2">
      <c r="A17" s="296">
        <v>44443243</v>
      </c>
      <c r="B17" s="275" t="str">
        <f>IFERROR(VLOOKUP(A17,'PLLA PARA EL SISTEMA'!$B$15:$AK$52,2,0),"")</f>
        <v>PARCO CASTILLON SAUL</v>
      </c>
      <c r="C17" s="276">
        <f>IFERROR(VLOOKUP(A17,'PLLA PARA EL SISTEMA'!$B$15:$AK$52,7,0),"")</f>
        <v>42644</v>
      </c>
      <c r="D17" s="277">
        <f>IFERROR(VLOOKUP(A17,'PLLA PARA EL SISTEMA'!$B$15:$CH$52,49,0),"")</f>
        <v>1500</v>
      </c>
      <c r="E17" s="303"/>
      <c r="F17" s="303"/>
      <c r="G17" s="303"/>
      <c r="H17" s="303"/>
      <c r="I17" s="303"/>
      <c r="J17" s="303"/>
      <c r="K17" s="303">
        <f t="shared" si="4"/>
        <v>0</v>
      </c>
      <c r="L17" s="281">
        <f t="shared" si="5"/>
        <v>0</v>
      </c>
      <c r="M17" s="281">
        <f t="shared" si="6"/>
        <v>0</v>
      </c>
      <c r="N17" s="281">
        <f t="shared" si="7"/>
        <v>0</v>
      </c>
      <c r="O17" s="281">
        <f t="shared" si="8"/>
        <v>0</v>
      </c>
      <c r="P17" s="281">
        <f t="shared" si="9"/>
        <v>0</v>
      </c>
      <c r="Q17" s="281">
        <f t="shared" si="10"/>
        <v>0</v>
      </c>
      <c r="R17" s="282">
        <f t="shared" si="11"/>
        <v>0</v>
      </c>
      <c r="T17" s="284"/>
      <c r="U17" s="291" t="s">
        <v>168</v>
      </c>
      <c r="V17" s="292">
        <v>45</v>
      </c>
      <c r="W17" s="293" t="s">
        <v>166</v>
      </c>
      <c r="X17" s="293" t="s">
        <v>165</v>
      </c>
      <c r="Y17" s="294">
        <f t="shared" si="12"/>
        <v>186750</v>
      </c>
      <c r="Z17" s="443"/>
      <c r="AA17" s="289"/>
      <c r="AB17" s="289"/>
      <c r="AC17" s="297"/>
    </row>
    <row r="18" spans="1:29" s="283" customFormat="1" ht="12" x14ac:dyDescent="0.2">
      <c r="A18" s="275">
        <v>41991289</v>
      </c>
      <c r="B18" s="275" t="str">
        <f>IFERROR(VLOOKUP(A18,'PLLA PARA EL SISTEMA'!$B$15:$AK$52,2,0),"")</f>
        <v>RODRIGUEZ ROSAS REYNALDO GERMAN</v>
      </c>
      <c r="C18" s="276">
        <f>IFERROR(VLOOKUP(A18,'PLLA PARA EL SISTEMA'!$B$15:$AK$52,7,0),"")</f>
        <v>39818</v>
      </c>
      <c r="D18" s="277">
        <f>IFERROR(VLOOKUP(A18,'PLLA PARA EL SISTEMA'!$B$15:$CH$52,49,0),"")</f>
        <v>2395</v>
      </c>
      <c r="E18" s="303"/>
      <c r="F18" s="303"/>
      <c r="G18" s="303"/>
      <c r="H18" s="303"/>
      <c r="I18" s="303"/>
      <c r="J18" s="303"/>
      <c r="K18" s="303">
        <f t="shared" si="4"/>
        <v>0</v>
      </c>
      <c r="L18" s="281">
        <f t="shared" si="5"/>
        <v>0</v>
      </c>
      <c r="M18" s="281">
        <f t="shared" si="6"/>
        <v>0</v>
      </c>
      <c r="N18" s="281">
        <f t="shared" si="7"/>
        <v>0</v>
      </c>
      <c r="O18" s="281">
        <f t="shared" si="8"/>
        <v>0</v>
      </c>
      <c r="P18" s="281">
        <f t="shared" si="9"/>
        <v>0</v>
      </c>
      <c r="Q18" s="281">
        <f t="shared" si="10"/>
        <v>0</v>
      </c>
      <c r="R18" s="282">
        <f t="shared" si="11"/>
        <v>0</v>
      </c>
      <c r="T18" s="284"/>
      <c r="U18" s="291" t="s">
        <v>167</v>
      </c>
      <c r="V18" s="292">
        <v>45</v>
      </c>
      <c r="W18" s="293" t="s">
        <v>166</v>
      </c>
      <c r="X18" s="293" t="s">
        <v>165</v>
      </c>
      <c r="Y18" s="294">
        <f t="shared" si="12"/>
        <v>186750</v>
      </c>
      <c r="Z18" s="295">
        <v>0.3</v>
      </c>
      <c r="AA18" s="289"/>
      <c r="AB18" s="289"/>
      <c r="AC18" s="286"/>
    </row>
    <row r="19" spans="1:29" s="283" customFormat="1" ht="12.75" thickBot="1" x14ac:dyDescent="0.25">
      <c r="A19" s="275">
        <v>10619175</v>
      </c>
      <c r="B19" s="275" t="str">
        <f>IFERROR(VLOOKUP(A19,'PLLA PARA EL SISTEMA'!$B$15:$AK$52,2,0),"")</f>
        <v>SARMIENTO AURIS SONIA LIZ</v>
      </c>
      <c r="C19" s="276">
        <f>IFERROR(VLOOKUP(A19,'PLLA PARA EL SISTEMA'!$B$15:$AK$52,7,0),"")</f>
        <v>39083</v>
      </c>
      <c r="D19" s="277">
        <f>IFERROR(VLOOKUP(A19,'PLLA PARA EL SISTEMA'!$B$15:$CH$52,49,0),"")</f>
        <v>1700</v>
      </c>
      <c r="E19" s="303"/>
      <c r="F19" s="303"/>
      <c r="G19" s="303"/>
      <c r="H19" s="303"/>
      <c r="I19" s="303"/>
      <c r="J19" s="303"/>
      <c r="K19" s="303">
        <f t="shared" si="4"/>
        <v>0</v>
      </c>
      <c r="L19" s="281">
        <f t="shared" si="5"/>
        <v>0</v>
      </c>
      <c r="M19" s="281">
        <f t="shared" si="6"/>
        <v>0</v>
      </c>
      <c r="N19" s="281">
        <f t="shared" si="7"/>
        <v>0</v>
      </c>
      <c r="O19" s="281">
        <f t="shared" si="8"/>
        <v>0</v>
      </c>
      <c r="P19" s="281">
        <f t="shared" si="9"/>
        <v>0</v>
      </c>
      <c r="Q19" s="281">
        <f t="shared" si="10"/>
        <v>0</v>
      </c>
      <c r="R19" s="282">
        <f t="shared" si="11"/>
        <v>0</v>
      </c>
      <c r="T19" s="299"/>
      <c r="U19" s="300"/>
      <c r="V19" s="300"/>
      <c r="W19" s="300"/>
      <c r="X19" s="300"/>
      <c r="Y19" s="300"/>
      <c r="Z19" s="300"/>
      <c r="AA19" s="300"/>
      <c r="AB19" s="300"/>
      <c r="AC19" s="301"/>
    </row>
    <row r="20" spans="1:29" s="283" customFormat="1" ht="12" x14ac:dyDescent="0.2">
      <c r="A20" s="296">
        <v>10750131</v>
      </c>
      <c r="B20" s="275" t="str">
        <f>IFERROR(VLOOKUP(A20,'PLLA PARA EL SISTEMA'!$B$15:$AK$52,2,0),"")</f>
        <v>VEGA ROSALES JOB EZEQUIEL</v>
      </c>
      <c r="C20" s="276">
        <f>IFERROR(VLOOKUP(A20,'PLLA PARA EL SISTEMA'!$B$15:$AK$52,7,0),"")</f>
        <v>42917</v>
      </c>
      <c r="D20" s="277">
        <f>IFERROR(VLOOKUP(A20,'PLLA PARA EL SISTEMA'!$B$15:$CH$52,49,0),"")</f>
        <v>1200</v>
      </c>
      <c r="E20" s="303"/>
      <c r="F20" s="303"/>
      <c r="G20" s="303"/>
      <c r="H20" s="303"/>
      <c r="I20" s="303"/>
      <c r="J20" s="303"/>
      <c r="K20" s="303">
        <f t="shared" si="4"/>
        <v>0</v>
      </c>
      <c r="L20" s="281">
        <f t="shared" si="5"/>
        <v>0</v>
      </c>
      <c r="M20" s="281">
        <f t="shared" si="6"/>
        <v>0</v>
      </c>
      <c r="N20" s="281">
        <f t="shared" si="7"/>
        <v>0</v>
      </c>
      <c r="O20" s="281">
        <f t="shared" si="8"/>
        <v>0</v>
      </c>
      <c r="P20" s="281">
        <f t="shared" si="9"/>
        <v>0</v>
      </c>
      <c r="Q20" s="281">
        <f t="shared" si="10"/>
        <v>0</v>
      </c>
      <c r="R20" s="282">
        <f t="shared" si="11"/>
        <v>0</v>
      </c>
    </row>
    <row r="21" spans="1:29" s="283" customFormat="1" ht="12" x14ac:dyDescent="0.2">
      <c r="A21" s="275">
        <v>47547622</v>
      </c>
      <c r="B21" s="275" t="str">
        <f>IFERROR(VLOOKUP(A21,'PLLA PARA EL SISTEMA'!$B$15:$AK$52,2,0),"")</f>
        <v>VELASQUEZ CAMPOS ABIGAIL NOEMI</v>
      </c>
      <c r="C21" s="276">
        <f>IFERROR(VLOOKUP(A21,'PLLA PARA EL SISTEMA'!$B$15:$AK$52,7,0),"")</f>
        <v>42795</v>
      </c>
      <c r="D21" s="277">
        <f>IFERROR(VLOOKUP(A21,'PLLA PARA EL SISTEMA'!$B$15:$CH$52,49,0),"")</f>
        <v>1000.0000000000001</v>
      </c>
      <c r="E21" s="303"/>
      <c r="F21" s="303"/>
      <c r="G21" s="303"/>
      <c r="H21" s="303"/>
      <c r="I21" s="303"/>
      <c r="J21" s="303"/>
      <c r="K21" s="303">
        <f t="shared" si="4"/>
        <v>0</v>
      </c>
      <c r="L21" s="281">
        <f t="shared" si="5"/>
        <v>0</v>
      </c>
      <c r="M21" s="281">
        <f t="shared" si="6"/>
        <v>0</v>
      </c>
      <c r="N21" s="281">
        <f t="shared" si="7"/>
        <v>0</v>
      </c>
      <c r="O21" s="281">
        <f t="shared" si="8"/>
        <v>0</v>
      </c>
      <c r="P21" s="281">
        <f t="shared" si="9"/>
        <v>0</v>
      </c>
      <c r="Q21" s="281">
        <f t="shared" si="10"/>
        <v>0</v>
      </c>
      <c r="R21" s="282">
        <f t="shared" si="11"/>
        <v>0</v>
      </c>
    </row>
    <row r="22" spans="1:29" s="283" customFormat="1" ht="12" x14ac:dyDescent="0.2">
      <c r="A22" s="275">
        <v>40709623</v>
      </c>
      <c r="B22" s="275" t="str">
        <f>IFERROR(VLOOKUP(A22,'PLLA PARA EL SISTEMA'!$B$15:$AK$52,2,0),"")</f>
        <v>VELASQUEZ CAMPOS DAVIS JONATHAN</v>
      </c>
      <c r="C22" s="276">
        <f>IFERROR(VLOOKUP(A22,'PLLA PARA EL SISTEMA'!$B$15:$AK$52,7,0),"")</f>
        <v>38565</v>
      </c>
      <c r="D22" s="277">
        <f>IFERROR(VLOOKUP(A22,'PLLA PARA EL SISTEMA'!$B$15:$CH$52,49,0),"")</f>
        <v>6000</v>
      </c>
      <c r="E22" s="303"/>
      <c r="F22" s="303"/>
      <c r="G22" s="303"/>
      <c r="H22" s="303"/>
      <c r="I22" s="303"/>
      <c r="J22" s="303"/>
      <c r="K22" s="303">
        <f t="shared" si="4"/>
        <v>0</v>
      </c>
      <c r="L22" s="281">
        <f t="shared" si="5"/>
        <v>0</v>
      </c>
      <c r="M22" s="281">
        <f t="shared" si="6"/>
        <v>0</v>
      </c>
      <c r="N22" s="281">
        <f t="shared" si="7"/>
        <v>0</v>
      </c>
      <c r="O22" s="281">
        <f t="shared" si="8"/>
        <v>0</v>
      </c>
      <c r="P22" s="281">
        <f t="shared" si="9"/>
        <v>0</v>
      </c>
      <c r="Q22" s="281">
        <f t="shared" si="10"/>
        <v>0</v>
      </c>
      <c r="R22" s="282">
        <f t="shared" si="11"/>
        <v>0</v>
      </c>
    </row>
    <row r="23" spans="1:29" s="283" customFormat="1" ht="12" x14ac:dyDescent="0.2">
      <c r="A23" s="275">
        <v>46287416</v>
      </c>
      <c r="B23" s="275" t="str">
        <f>IFERROR(VLOOKUP(A23,'PLLA PARA EL SISTEMA'!$B$15:$AK$52,2,0),"")</f>
        <v>CALLACNA VALENCIA JOSE JOSE</v>
      </c>
      <c r="C23" s="276">
        <f>IFERROR(VLOOKUP(A23,'PLLA PARA EL SISTEMA'!$B$15:$AK$52,7,0),"")</f>
        <v>43108</v>
      </c>
      <c r="D23" s="277">
        <f>IFERROR(VLOOKUP(A23,'PLLA PARA EL SISTEMA'!$B$15:$CH$52,49,0),"")</f>
        <v>1000.0000000000001</v>
      </c>
      <c r="E23" s="303"/>
      <c r="F23" s="303"/>
      <c r="G23" s="303"/>
      <c r="H23" s="303"/>
      <c r="I23" s="303"/>
      <c r="J23" s="303"/>
      <c r="K23" s="303">
        <f t="shared" si="4"/>
        <v>0</v>
      </c>
      <c r="L23" s="281">
        <f t="shared" si="5"/>
        <v>0</v>
      </c>
      <c r="M23" s="281">
        <f t="shared" si="6"/>
        <v>0</v>
      </c>
      <c r="N23" s="281">
        <f t="shared" si="7"/>
        <v>0</v>
      </c>
      <c r="O23" s="281">
        <f t="shared" si="8"/>
        <v>0</v>
      </c>
      <c r="P23" s="281">
        <f t="shared" si="9"/>
        <v>0</v>
      </c>
      <c r="Q23" s="281">
        <f t="shared" si="10"/>
        <v>0</v>
      </c>
      <c r="R23" s="282">
        <f t="shared" si="11"/>
        <v>0</v>
      </c>
    </row>
    <row r="24" spans="1:29" s="283" customFormat="1" ht="12" x14ac:dyDescent="0.2">
      <c r="A24" s="275">
        <v>41593805</v>
      </c>
      <c r="B24" s="275" t="str">
        <f>IFERROR(VLOOKUP(A24,'PLLA PARA EL SISTEMA'!$B$15:$AK$52,2,0),"")</f>
        <v>CALLIRGOS URBIZAGASTEGUI KARINA ROCIO</v>
      </c>
      <c r="C24" s="276">
        <f>IFERROR(VLOOKUP(A24,'PLLA PARA EL SISTEMA'!$B$15:$AK$52,7,0),"")</f>
        <v>43108</v>
      </c>
      <c r="D24" s="277">
        <f>IFERROR(VLOOKUP(A24,'PLLA PARA EL SISTEMA'!$B$15:$CH$52,49,0),"")</f>
        <v>935</v>
      </c>
      <c r="E24" s="303"/>
      <c r="F24" s="303"/>
      <c r="G24" s="303"/>
      <c r="H24" s="303"/>
      <c r="I24" s="303"/>
      <c r="J24" s="303"/>
      <c r="K24" s="303">
        <f>SUM(E24:J24)</f>
        <v>0</v>
      </c>
      <c r="L24" s="281">
        <f t="shared" si="5"/>
        <v>0</v>
      </c>
      <c r="M24" s="281">
        <f t="shared" si="6"/>
        <v>0</v>
      </c>
      <c r="N24" s="281">
        <f t="shared" si="7"/>
        <v>0</v>
      </c>
      <c r="O24" s="281">
        <f t="shared" si="8"/>
        <v>0</v>
      </c>
      <c r="P24" s="281">
        <f t="shared" si="9"/>
        <v>0</v>
      </c>
      <c r="Q24" s="281">
        <f t="shared" si="10"/>
        <v>0</v>
      </c>
      <c r="R24" s="282">
        <f t="shared" si="11"/>
        <v>0</v>
      </c>
    </row>
    <row r="25" spans="1:29" s="283" customFormat="1" ht="12" x14ac:dyDescent="0.2">
      <c r="A25" s="275">
        <v>10611183</v>
      </c>
      <c r="B25" s="275" t="str">
        <f>IFERROR(VLOOKUP(A25,'PLLA PARA EL SISTEMA'!$B$15:$AK$52,2,0),"")</f>
        <v xml:space="preserve">FLORES TORRE ANDREA SEGUNDINA </v>
      </c>
      <c r="C25" s="276">
        <f>IFERROR(VLOOKUP(A25,'PLLA PARA EL SISTEMA'!$B$15:$AK$52,7,0),"")</f>
        <v>43108</v>
      </c>
      <c r="D25" s="277">
        <f>IFERROR(VLOOKUP(A25,'PLLA PARA EL SISTEMA'!$B$15:$CH$52,49,0),"")</f>
        <v>1000</v>
      </c>
      <c r="E25" s="303"/>
      <c r="F25" s="303"/>
      <c r="G25" s="303"/>
      <c r="H25" s="303"/>
      <c r="I25" s="303"/>
      <c r="J25" s="303"/>
      <c r="K25" s="303">
        <f t="shared" ref="K25:K27" si="13">SUM(E25:J25)</f>
        <v>0</v>
      </c>
      <c r="L25" s="281">
        <f t="shared" ref="L25:L27" si="14">($D25/180*E25*0.09)+$D25/180*E25</f>
        <v>0</v>
      </c>
      <c r="M25" s="281">
        <f t="shared" ref="M25:M27" si="15">($D25/180*F25*0.09)+$D25/180*F25</f>
        <v>0</v>
      </c>
      <c r="N25" s="281">
        <f t="shared" ref="N25:N27" si="16">($D25/180*G25*0.09)+$D25/180*G25</f>
        <v>0</v>
      </c>
      <c r="O25" s="281">
        <f t="shared" ref="O25:O27" si="17">($D25/180*H25*0.09)+$D25/180*H25</f>
        <v>0</v>
      </c>
      <c r="P25" s="281">
        <f t="shared" ref="P25:P27" si="18">($D25/180*I25*0.09)+$D25/180*I25</f>
        <v>0</v>
      </c>
      <c r="Q25" s="281">
        <f t="shared" ref="Q25:Q27" si="19">($D25/180*J25*0.09)+$D25/180*J25</f>
        <v>0</v>
      </c>
      <c r="R25" s="282">
        <f t="shared" ref="R25:R27" si="20">SUM(L25:Q25)</f>
        <v>0</v>
      </c>
    </row>
    <row r="26" spans="1:29" s="283" customFormat="1" ht="12" x14ac:dyDescent="0.2">
      <c r="A26" s="275">
        <v>41237709</v>
      </c>
      <c r="B26" s="275" t="str">
        <f>IFERROR(VLOOKUP(A26,'PLLA PARA EL SISTEMA'!$B$15:$AK$52,2,0),"")</f>
        <v>QUISPE TITO BETTY  CARMEN</v>
      </c>
      <c r="C26" s="276">
        <f>IFERROR(VLOOKUP(A26,'PLLA PARA EL SISTEMA'!$B$15:$AK$52,7,0),"")</f>
        <v>43108</v>
      </c>
      <c r="D26" s="277">
        <f>IFERROR(VLOOKUP(A26,'PLLA PARA EL SISTEMA'!$B$15:$CH$52,49,0),"")</f>
        <v>935</v>
      </c>
      <c r="E26" s="303"/>
      <c r="F26" s="303"/>
      <c r="G26" s="303"/>
      <c r="H26" s="303"/>
      <c r="I26" s="303"/>
      <c r="J26" s="303"/>
      <c r="K26" s="303">
        <f t="shared" si="13"/>
        <v>0</v>
      </c>
      <c r="L26" s="281">
        <f t="shared" si="14"/>
        <v>0</v>
      </c>
      <c r="M26" s="281">
        <f t="shared" si="15"/>
        <v>0</v>
      </c>
      <c r="N26" s="281">
        <f t="shared" si="16"/>
        <v>0</v>
      </c>
      <c r="O26" s="281">
        <f t="shared" si="17"/>
        <v>0</v>
      </c>
      <c r="P26" s="281">
        <f t="shared" si="18"/>
        <v>0</v>
      </c>
      <c r="Q26" s="281">
        <f t="shared" si="19"/>
        <v>0</v>
      </c>
      <c r="R26" s="282">
        <f t="shared" si="20"/>
        <v>0</v>
      </c>
    </row>
    <row r="27" spans="1:29" s="283" customFormat="1" ht="12" x14ac:dyDescent="0.2">
      <c r="A27" s="275">
        <v>74446267</v>
      </c>
      <c r="B27" s="275" t="str">
        <f>IFERROR(VLOOKUP(A27,'PLLA PARA EL SISTEMA'!$B$15:$AK$52,2,0),"")</f>
        <v>AURES PEREZ DANITZA NELLY</v>
      </c>
      <c r="C27" s="276">
        <f>IFERROR(VLOOKUP(A27,'PLLA PARA EL SISTEMA'!$B$15:$AK$52,7,0),"")</f>
        <v>43108</v>
      </c>
      <c r="D27" s="277">
        <f>IFERROR(VLOOKUP(A27,'PLLA PARA EL SISTEMA'!$B$15:$CH$52,49,0),"")</f>
        <v>935</v>
      </c>
      <c r="E27" s="303"/>
      <c r="F27" s="303"/>
      <c r="G27" s="303"/>
      <c r="H27" s="303"/>
      <c r="I27" s="303"/>
      <c r="J27" s="303"/>
      <c r="K27" s="303">
        <f t="shared" si="13"/>
        <v>0</v>
      </c>
      <c r="L27" s="281">
        <f t="shared" si="14"/>
        <v>0</v>
      </c>
      <c r="M27" s="281">
        <f t="shared" si="15"/>
        <v>0</v>
      </c>
      <c r="N27" s="281">
        <f t="shared" si="16"/>
        <v>0</v>
      </c>
      <c r="O27" s="281">
        <f t="shared" si="17"/>
        <v>0</v>
      </c>
      <c r="P27" s="281">
        <f t="shared" si="18"/>
        <v>0</v>
      </c>
      <c r="Q27" s="281">
        <f t="shared" si="19"/>
        <v>0</v>
      </c>
      <c r="R27" s="282">
        <f t="shared" si="20"/>
        <v>0</v>
      </c>
    </row>
    <row r="28" spans="1:29" x14ac:dyDescent="0.25">
      <c r="A28" s="87"/>
      <c r="B28" s="87"/>
      <c r="C28" s="100"/>
      <c r="D28" s="91"/>
      <c r="E28" s="93"/>
      <c r="F28" s="93"/>
      <c r="G28" s="93"/>
      <c r="H28" s="93"/>
      <c r="I28" s="93"/>
      <c r="J28" s="93"/>
      <c r="K28" s="93"/>
      <c r="L28" s="90"/>
      <c r="M28" s="90"/>
      <c r="N28" s="90"/>
      <c r="O28" s="90"/>
      <c r="P28" s="90"/>
      <c r="Q28" s="90"/>
      <c r="R28" s="89"/>
    </row>
    <row r="30" spans="1:29" x14ac:dyDescent="0.25">
      <c r="C30" s="88"/>
      <c r="D30" s="88">
        <f t="shared" ref="D30:R30" si="21">SUM(D7:D29)</f>
        <v>36630</v>
      </c>
      <c r="E30" s="88">
        <f t="shared" si="21"/>
        <v>0</v>
      </c>
      <c r="F30" s="88">
        <f t="shared" si="21"/>
        <v>0</v>
      </c>
      <c r="G30" s="88">
        <f t="shared" si="21"/>
        <v>0</v>
      </c>
      <c r="H30" s="88">
        <f t="shared" si="21"/>
        <v>0</v>
      </c>
      <c r="I30" s="88">
        <f t="shared" si="21"/>
        <v>0</v>
      </c>
      <c r="J30" s="88">
        <f t="shared" si="21"/>
        <v>0</v>
      </c>
      <c r="K30" s="88">
        <f t="shared" si="21"/>
        <v>0</v>
      </c>
      <c r="L30" s="88">
        <f t="shared" si="21"/>
        <v>0</v>
      </c>
      <c r="M30" s="88">
        <f t="shared" si="21"/>
        <v>0</v>
      </c>
      <c r="N30" s="88">
        <f t="shared" si="21"/>
        <v>0</v>
      </c>
      <c r="O30" s="88">
        <f t="shared" si="21"/>
        <v>0</v>
      </c>
      <c r="P30" s="88">
        <f t="shared" si="21"/>
        <v>0</v>
      </c>
      <c r="Q30" s="88">
        <f t="shared" si="21"/>
        <v>0</v>
      </c>
      <c r="R30" s="88">
        <f t="shared" si="21"/>
        <v>0</v>
      </c>
    </row>
  </sheetData>
  <mergeCells count="13">
    <mergeCell ref="B2:Q2"/>
    <mergeCell ref="T4:AC6"/>
    <mergeCell ref="A5:A6"/>
    <mergeCell ref="B5:B6"/>
    <mergeCell ref="C5:C6"/>
    <mergeCell ref="D5:D6"/>
    <mergeCell ref="E5:K5"/>
    <mergeCell ref="L5:R5"/>
    <mergeCell ref="V8:X8"/>
    <mergeCell ref="U10:Y10"/>
    <mergeCell ref="Z12:Z13"/>
    <mergeCell ref="Z14:Z15"/>
    <mergeCell ref="Z16:Z17"/>
  </mergeCells>
  <pageMargins left="0.7" right="0.7" top="0.75" bottom="0.75" header="0.3" footer="0.3"/>
  <pageSetup paperSize="9" scale="33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TABLA!$B$1:$B$2</xm:f>
          </x14:formula1>
          <xm:sqref>C1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O30"/>
  <sheetViews>
    <sheetView zoomScaleNormal="100" workbookViewId="0">
      <pane xSplit="4" ySplit="6" topLeftCell="T7" activePane="bottomRight" state="frozen"/>
      <selection pane="topRight" activeCell="E1" sqref="E1"/>
      <selection pane="bottomLeft" activeCell="A7" sqref="A7"/>
      <selection pane="bottomRight" activeCell="AD8" sqref="AD8"/>
    </sheetView>
  </sheetViews>
  <sheetFormatPr defaultColWidth="11.42578125" defaultRowHeight="15" x14ac:dyDescent="0.25"/>
  <cols>
    <col min="1" max="1" width="9.140625" customWidth="1"/>
    <col min="2" max="2" width="34.85546875" customWidth="1"/>
    <col min="3" max="3" width="10.7109375" customWidth="1"/>
    <col min="4" max="4" width="10" customWidth="1"/>
    <col min="5" max="5" width="7" bestFit="1" customWidth="1"/>
    <col min="6" max="6" width="8.85546875" bestFit="1" customWidth="1"/>
    <col min="7" max="7" width="7.7109375" bestFit="1" customWidth="1"/>
    <col min="8" max="8" width="6.5703125" bestFit="1" customWidth="1"/>
    <col min="9" max="9" width="6.7109375" bestFit="1" customWidth="1"/>
    <col min="10" max="10" width="6.5703125" bestFit="1" customWidth="1"/>
    <col min="11" max="11" width="6" bestFit="1" customWidth="1"/>
    <col min="12" max="12" width="8.5703125" bestFit="1" customWidth="1"/>
    <col min="13" max="13" width="11.85546875" bestFit="1" customWidth="1"/>
    <col min="14" max="14" width="9.28515625" bestFit="1" customWidth="1"/>
    <col min="15" max="15" width="11.85546875" bestFit="1" customWidth="1"/>
    <col min="16" max="16" width="10.7109375" bestFit="1" customWidth="1"/>
    <col min="17" max="17" width="6.5703125" bestFit="1" customWidth="1"/>
    <col min="18" max="18" width="7" bestFit="1" customWidth="1"/>
    <col min="19" max="19" width="8.85546875" bestFit="1" customWidth="1"/>
    <col min="20" max="24" width="8.140625" customWidth="1"/>
    <col min="25" max="25" width="8.5703125" bestFit="1" customWidth="1"/>
    <col min="26" max="26" width="11.85546875" bestFit="1" customWidth="1"/>
    <col min="27" max="27" width="9.28515625" bestFit="1" customWidth="1"/>
    <col min="28" max="28" width="11.85546875" bestFit="1" customWidth="1"/>
    <col min="29" max="29" width="10.7109375" bestFit="1" customWidth="1"/>
    <col min="32" max="32" width="2.7109375" hidden="1" customWidth="1"/>
    <col min="33" max="34" width="11.42578125" hidden="1" customWidth="1"/>
    <col min="35" max="35" width="6.5703125" hidden="1" customWidth="1"/>
    <col min="36" max="36" width="2.42578125" hidden="1" customWidth="1"/>
    <col min="37" max="37" width="13.7109375" hidden="1" customWidth="1"/>
    <col min="38" max="38" width="11.42578125" hidden="1" customWidth="1"/>
    <col min="39" max="40" width="2" hidden="1" customWidth="1"/>
    <col min="41" max="41" width="1.28515625" hidden="1" customWidth="1"/>
    <col min="42" max="42" width="11.42578125" customWidth="1"/>
  </cols>
  <sheetData>
    <row r="1" spans="1:41" ht="15.75" customHeight="1" x14ac:dyDescent="0.25"/>
    <row r="2" spans="1:41" ht="22.5" customHeight="1" x14ac:dyDescent="0.3">
      <c r="B2" s="460" t="s">
        <v>223</v>
      </c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99"/>
      <c r="Y2" s="99"/>
      <c r="Z2" s="99"/>
      <c r="AA2" s="99"/>
      <c r="AB2" s="99"/>
      <c r="AC2" s="99"/>
    </row>
    <row r="3" spans="1:41" ht="15.75" customHeight="1" thickBot="1" x14ac:dyDescent="0.3"/>
    <row r="4" spans="1:41" ht="15.75" customHeight="1" x14ac:dyDescent="0.25">
      <c r="A4">
        <v>1</v>
      </c>
      <c r="B4">
        <f t="shared" ref="B4:D4" si="0">+A4+1</f>
        <v>2</v>
      </c>
      <c r="C4">
        <f t="shared" si="0"/>
        <v>3</v>
      </c>
      <c r="D4">
        <f t="shared" si="0"/>
        <v>4</v>
      </c>
      <c r="E4">
        <f t="shared" ref="E4" si="1">+D4+1</f>
        <v>5</v>
      </c>
      <c r="F4">
        <f t="shared" ref="F4" si="2">+E4+1</f>
        <v>6</v>
      </c>
      <c r="G4">
        <f t="shared" ref="G4" si="3">+F4+1</f>
        <v>7</v>
      </c>
      <c r="H4">
        <f t="shared" ref="H4" si="4">+G4+1</f>
        <v>8</v>
      </c>
      <c r="I4">
        <f t="shared" ref="I4" si="5">+H4+1</f>
        <v>9</v>
      </c>
      <c r="J4">
        <f t="shared" ref="J4" si="6">+I4+1</f>
        <v>10</v>
      </c>
      <c r="K4">
        <f t="shared" ref="K4" si="7">+J4+1</f>
        <v>11</v>
      </c>
      <c r="L4">
        <f t="shared" ref="L4" si="8">+K4+1</f>
        <v>12</v>
      </c>
      <c r="M4">
        <f t="shared" ref="M4" si="9">+L4+1</f>
        <v>13</v>
      </c>
      <c r="N4">
        <f t="shared" ref="N4" si="10">+M4+1</f>
        <v>14</v>
      </c>
      <c r="O4">
        <f t="shared" ref="O4" si="11">+N4+1</f>
        <v>15</v>
      </c>
      <c r="P4">
        <f t="shared" ref="P4" si="12">+O4+1</f>
        <v>16</v>
      </c>
      <c r="Q4">
        <f t="shared" ref="Q4" si="13">+P4+1</f>
        <v>17</v>
      </c>
      <c r="R4">
        <f t="shared" ref="R4" si="14">+Q4+1</f>
        <v>18</v>
      </c>
      <c r="S4">
        <f t="shared" ref="S4" si="15">+R4+1</f>
        <v>19</v>
      </c>
      <c r="T4">
        <f t="shared" ref="T4" si="16">+S4+1</f>
        <v>20</v>
      </c>
      <c r="U4">
        <f t="shared" ref="U4" si="17">+T4+1</f>
        <v>21</v>
      </c>
      <c r="V4">
        <f t="shared" ref="V4" si="18">+U4+1</f>
        <v>22</v>
      </c>
      <c r="W4">
        <f t="shared" ref="W4" si="19">+V4+1</f>
        <v>23</v>
      </c>
      <c r="X4">
        <f t="shared" ref="X4" si="20">+W4+1</f>
        <v>24</v>
      </c>
      <c r="Y4">
        <f t="shared" ref="Y4" si="21">+X4+1</f>
        <v>25</v>
      </c>
      <c r="Z4">
        <f t="shared" ref="Z4" si="22">+Y4+1</f>
        <v>26</v>
      </c>
      <c r="AA4">
        <f t="shared" ref="AA4" si="23">+Z4+1</f>
        <v>27</v>
      </c>
      <c r="AB4">
        <f t="shared" ref="AB4" si="24">+AA4+1</f>
        <v>28</v>
      </c>
      <c r="AC4">
        <f t="shared" ref="AC4" si="25">+AB4+1</f>
        <v>29</v>
      </c>
      <c r="AF4" s="446" t="s">
        <v>201</v>
      </c>
      <c r="AG4" s="447"/>
      <c r="AH4" s="447"/>
      <c r="AI4" s="447"/>
      <c r="AJ4" s="447"/>
      <c r="AK4" s="447"/>
      <c r="AL4" s="447"/>
      <c r="AM4" s="447"/>
      <c r="AN4" s="447"/>
      <c r="AO4" s="448"/>
    </row>
    <row r="5" spans="1:41" ht="15.75" customHeight="1" x14ac:dyDescent="0.25">
      <c r="A5" s="439" t="s">
        <v>200</v>
      </c>
      <c r="B5" s="439" t="s">
        <v>199</v>
      </c>
      <c r="C5" s="439" t="s">
        <v>219</v>
      </c>
      <c r="D5" s="439" t="s">
        <v>195</v>
      </c>
      <c r="E5" s="440" t="s">
        <v>32</v>
      </c>
      <c r="F5" s="441"/>
      <c r="G5" s="441"/>
      <c r="H5" s="441"/>
      <c r="I5" s="441"/>
      <c r="J5" s="441"/>
      <c r="K5" s="441"/>
      <c r="L5" s="441"/>
      <c r="M5" s="441"/>
      <c r="N5" s="441"/>
      <c r="O5" s="441"/>
      <c r="P5" s="441"/>
      <c r="Q5" s="442"/>
      <c r="R5" s="457" t="s">
        <v>225</v>
      </c>
      <c r="S5" s="458"/>
      <c r="T5" s="458"/>
      <c r="U5" s="458"/>
      <c r="V5" s="458"/>
      <c r="W5" s="458"/>
      <c r="X5" s="458"/>
      <c r="Y5" s="458"/>
      <c r="Z5" s="458"/>
      <c r="AA5" s="458"/>
      <c r="AB5" s="458"/>
      <c r="AC5" s="458"/>
      <c r="AD5" s="459"/>
      <c r="AF5" s="449"/>
      <c r="AG5" s="450"/>
      <c r="AH5" s="450"/>
      <c r="AI5" s="450"/>
      <c r="AJ5" s="450"/>
      <c r="AK5" s="450"/>
      <c r="AL5" s="450"/>
      <c r="AM5" s="450"/>
      <c r="AN5" s="450"/>
      <c r="AO5" s="451"/>
    </row>
    <row r="6" spans="1:41" x14ac:dyDescent="0.25">
      <c r="A6" s="439"/>
      <c r="B6" s="439"/>
      <c r="C6" s="439"/>
      <c r="D6" s="439"/>
      <c r="E6" s="96" t="s">
        <v>184</v>
      </c>
      <c r="F6" s="96" t="s">
        <v>183</v>
      </c>
      <c r="G6" s="96" t="s">
        <v>182</v>
      </c>
      <c r="H6" s="96" t="s">
        <v>181</v>
      </c>
      <c r="I6" s="96" t="s">
        <v>180</v>
      </c>
      <c r="J6" s="96" t="s">
        <v>179</v>
      </c>
      <c r="K6" s="96" t="s">
        <v>178</v>
      </c>
      <c r="L6" s="96" t="s">
        <v>177</v>
      </c>
      <c r="M6" s="96" t="s">
        <v>224</v>
      </c>
      <c r="N6" s="96" t="s">
        <v>175</v>
      </c>
      <c r="O6" s="96" t="s">
        <v>174</v>
      </c>
      <c r="P6" s="96" t="s">
        <v>4</v>
      </c>
      <c r="Q6" s="101" t="s">
        <v>131</v>
      </c>
      <c r="R6" s="97" t="s">
        <v>184</v>
      </c>
      <c r="S6" s="97" t="s">
        <v>183</v>
      </c>
      <c r="T6" s="97" t="s">
        <v>182</v>
      </c>
      <c r="U6" s="97" t="s">
        <v>181</v>
      </c>
      <c r="V6" s="97" t="s">
        <v>180</v>
      </c>
      <c r="W6" s="97" t="s">
        <v>179</v>
      </c>
      <c r="X6" s="97" t="s">
        <v>178</v>
      </c>
      <c r="Y6" s="97" t="s">
        <v>177</v>
      </c>
      <c r="Z6" s="97" t="s">
        <v>224</v>
      </c>
      <c r="AA6" s="97" t="s">
        <v>175</v>
      </c>
      <c r="AB6" s="97" t="s">
        <v>174</v>
      </c>
      <c r="AC6" s="97" t="s">
        <v>4</v>
      </c>
      <c r="AD6" s="97" t="s">
        <v>131</v>
      </c>
      <c r="AF6" s="449"/>
      <c r="AG6" s="450"/>
      <c r="AH6" s="450"/>
      <c r="AI6" s="450"/>
      <c r="AJ6" s="450"/>
      <c r="AK6" s="450"/>
      <c r="AL6" s="450"/>
      <c r="AM6" s="450"/>
      <c r="AN6" s="450"/>
      <c r="AO6" s="451"/>
    </row>
    <row r="7" spans="1:41" s="283" customFormat="1" ht="12" x14ac:dyDescent="0.2">
      <c r="A7" s="274">
        <v>9117942</v>
      </c>
      <c r="B7" s="275" t="str">
        <f>IFERROR(VLOOKUP(A7,'PLLA PARA EL SISTEMA'!$B$15:$AK$52,2,0),"")</f>
        <v>AYUDANTE SULCA LOURDES ISABEL</v>
      </c>
      <c r="C7" s="276">
        <f>IFERROR(VLOOKUP(A7,'PLLA PARA EL SISTEMA'!$B$15:$AK$52,7,0),"")</f>
        <v>39818</v>
      </c>
      <c r="D7" s="277">
        <f>IFERROR(VLOOKUP(A7,'PLLA PARA EL SISTEMA'!$B$15:$CH$52,49,0),"")</f>
        <v>2395</v>
      </c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>
        <f>SUM(E7:P7)</f>
        <v>0</v>
      </c>
      <c r="R7" s="281">
        <f>$D7/360*E7</f>
        <v>0</v>
      </c>
      <c r="S7" s="281">
        <f t="shared" ref="S7:AB7" si="26">$D7/360*F7</f>
        <v>0</v>
      </c>
      <c r="T7" s="281">
        <f t="shared" si="26"/>
        <v>0</v>
      </c>
      <c r="U7" s="281">
        <f t="shared" si="26"/>
        <v>0</v>
      </c>
      <c r="V7" s="281">
        <f t="shared" si="26"/>
        <v>0</v>
      </c>
      <c r="W7" s="281">
        <f t="shared" si="26"/>
        <v>0</v>
      </c>
      <c r="X7" s="281">
        <f t="shared" si="26"/>
        <v>0</v>
      </c>
      <c r="Y7" s="281">
        <f t="shared" si="26"/>
        <v>0</v>
      </c>
      <c r="Z7" s="281">
        <f t="shared" si="26"/>
        <v>0</v>
      </c>
      <c r="AA7" s="281">
        <f t="shared" si="26"/>
        <v>0</v>
      </c>
      <c r="AB7" s="281">
        <f t="shared" si="26"/>
        <v>0</v>
      </c>
      <c r="AC7" s="281">
        <f>$D7/360*P7</f>
        <v>0</v>
      </c>
      <c r="AD7" s="282">
        <f>SUM(R7:AC7)</f>
        <v>0</v>
      </c>
      <c r="AF7" s="284"/>
      <c r="AK7" s="285"/>
      <c r="AL7" s="285"/>
      <c r="AM7" s="285"/>
      <c r="AN7" s="285"/>
      <c r="AO7" s="286"/>
    </row>
    <row r="8" spans="1:41" s="283" customFormat="1" ht="12" x14ac:dyDescent="0.2">
      <c r="A8" s="287">
        <v>73672954</v>
      </c>
      <c r="B8" s="275" t="str">
        <f>IFERROR(VLOOKUP(A8,'PLLA PARA EL SISTEMA'!$B$15:$AK$52,2,0),"")</f>
        <v>CAMPOS RODRIGUEZ RONY ROGGER</v>
      </c>
      <c r="C8" s="276">
        <f>IFERROR(VLOOKUP(A8,'PLLA PARA EL SISTEMA'!$B$15:$AK$52,7,0),"")</f>
        <v>43024</v>
      </c>
      <c r="D8" s="277">
        <f>IFERROR(VLOOKUP(A8,'PLLA PARA EL SISTEMA'!$B$15:$CH$52,49,0),"")</f>
        <v>1085</v>
      </c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>
        <f t="shared" ref="Q8:Q27" si="27">SUM(E8:P8)</f>
        <v>0</v>
      </c>
      <c r="R8" s="281">
        <f t="shared" ref="R8:R27" si="28">$D8/360*E8</f>
        <v>0</v>
      </c>
      <c r="S8" s="281">
        <f t="shared" ref="S8:S27" si="29">$D8/360*F8</f>
        <v>0</v>
      </c>
      <c r="T8" s="281">
        <f t="shared" ref="T8:T27" si="30">$D8/360*G8</f>
        <v>0</v>
      </c>
      <c r="U8" s="281">
        <f t="shared" ref="U8:U27" si="31">$D8/360*H8</f>
        <v>0</v>
      </c>
      <c r="V8" s="281">
        <f t="shared" ref="V8:V27" si="32">$D8/360*I8</f>
        <v>0</v>
      </c>
      <c r="W8" s="281">
        <f t="shared" ref="W8:W27" si="33">$D8/360*J8</f>
        <v>0</v>
      </c>
      <c r="X8" s="281">
        <f t="shared" ref="X8:X27" si="34">$D8/360*K8</f>
        <v>0</v>
      </c>
      <c r="Y8" s="281">
        <f t="shared" ref="Y8:Y27" si="35">$D8/360*L8</f>
        <v>0</v>
      </c>
      <c r="Z8" s="281">
        <f t="shared" ref="Z8:Z27" si="36">$D8/360*M8</f>
        <v>0</v>
      </c>
      <c r="AA8" s="281">
        <f t="shared" ref="AA8:AA27" si="37">$D8/360*N8</f>
        <v>0</v>
      </c>
      <c r="AB8" s="281">
        <f t="shared" ref="AB8:AB27" si="38">$D8/360*O8</f>
        <v>0</v>
      </c>
      <c r="AC8" s="281">
        <f t="shared" ref="AC8:AC27" si="39">$D8/360*P8</f>
        <v>0</v>
      </c>
      <c r="AD8" s="282">
        <f t="shared" ref="AD8:AD27" si="40">SUM(R8:AC8)</f>
        <v>0</v>
      </c>
      <c r="AF8" s="284"/>
      <c r="AG8" s="288" t="s">
        <v>172</v>
      </c>
      <c r="AH8" s="453">
        <v>4150</v>
      </c>
      <c r="AI8" s="453"/>
      <c r="AJ8" s="454"/>
      <c r="AK8" s="289"/>
      <c r="AL8" s="289"/>
      <c r="AM8" s="289"/>
      <c r="AN8" s="289"/>
      <c r="AO8" s="286"/>
    </row>
    <row r="9" spans="1:41" s="283" customFormat="1" ht="12" x14ac:dyDescent="0.2">
      <c r="A9" s="274">
        <v>6067588</v>
      </c>
      <c r="B9" s="275" t="str">
        <f>IFERROR(VLOOKUP(A9,'PLLA PARA EL SISTEMA'!$B$15:$AK$52,2,0),"")</f>
        <v>CAMPOS ROLDAN JULIA  APOLINAR</v>
      </c>
      <c r="C9" s="276">
        <f>IFERROR(VLOOKUP(A9,'PLLA PARA EL SISTEMA'!$B$15:$AK$52,7,0),"")</f>
        <v>38565</v>
      </c>
      <c r="D9" s="277">
        <f>IFERROR(VLOOKUP(A9,'PLLA PARA EL SISTEMA'!$B$15:$CH$52,49,0),"")</f>
        <v>3850.0000000000005</v>
      </c>
      <c r="E9" s="303"/>
      <c r="F9" s="303"/>
      <c r="G9" s="303"/>
      <c r="H9" s="303"/>
      <c r="I9" s="303"/>
      <c r="J9" s="303"/>
      <c r="K9" s="303"/>
      <c r="L9" s="303"/>
      <c r="M9" s="303"/>
      <c r="N9" s="303"/>
      <c r="O9" s="303"/>
      <c r="P9" s="303"/>
      <c r="Q9" s="303">
        <f t="shared" si="27"/>
        <v>0</v>
      </c>
      <c r="R9" s="281">
        <f t="shared" si="28"/>
        <v>0</v>
      </c>
      <c r="S9" s="281">
        <f t="shared" si="29"/>
        <v>0</v>
      </c>
      <c r="T9" s="281">
        <f t="shared" si="30"/>
        <v>0</v>
      </c>
      <c r="U9" s="281">
        <f t="shared" si="31"/>
        <v>0</v>
      </c>
      <c r="V9" s="281">
        <f t="shared" si="32"/>
        <v>0</v>
      </c>
      <c r="W9" s="281">
        <f t="shared" si="33"/>
        <v>0</v>
      </c>
      <c r="X9" s="281">
        <f t="shared" si="34"/>
        <v>0</v>
      </c>
      <c r="Y9" s="281">
        <f t="shared" si="35"/>
        <v>0</v>
      </c>
      <c r="Z9" s="281">
        <f t="shared" si="36"/>
        <v>0</v>
      </c>
      <c r="AA9" s="281">
        <f t="shared" si="37"/>
        <v>0</v>
      </c>
      <c r="AB9" s="281">
        <f t="shared" si="38"/>
        <v>0</v>
      </c>
      <c r="AC9" s="281">
        <f t="shared" si="39"/>
        <v>0</v>
      </c>
      <c r="AD9" s="282">
        <f t="shared" si="40"/>
        <v>0</v>
      </c>
      <c r="AF9" s="284"/>
      <c r="AM9" s="289"/>
      <c r="AN9" s="289"/>
      <c r="AO9" s="286"/>
    </row>
    <row r="10" spans="1:41" s="283" customFormat="1" ht="12" x14ac:dyDescent="0.2">
      <c r="A10" s="274">
        <v>9929599</v>
      </c>
      <c r="B10" s="275" t="str">
        <f>IFERROR(VLOOKUP(A10,'PLLA PARA EL SISTEMA'!$B$15:$AK$52,2,0),"")</f>
        <v>CERRON FLORES JORGE ALBERTO</v>
      </c>
      <c r="C10" s="276">
        <f>IFERROR(VLOOKUP(A10,'PLLA PARA EL SISTEMA'!$B$15:$AK$52,7,0),"")</f>
        <v>42644</v>
      </c>
      <c r="D10" s="277">
        <f>IFERROR(VLOOKUP(A10,'PLLA PARA EL SISTEMA'!$B$15:$CH$52,49,0),"")</f>
        <v>1500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>
        <f t="shared" si="27"/>
        <v>0</v>
      </c>
      <c r="R10" s="281">
        <f t="shared" si="28"/>
        <v>0</v>
      </c>
      <c r="S10" s="281">
        <f t="shared" si="29"/>
        <v>0</v>
      </c>
      <c r="T10" s="281">
        <f t="shared" si="30"/>
        <v>0</v>
      </c>
      <c r="U10" s="281">
        <f t="shared" si="31"/>
        <v>0</v>
      </c>
      <c r="V10" s="281">
        <f t="shared" si="32"/>
        <v>0</v>
      </c>
      <c r="W10" s="281">
        <f t="shared" si="33"/>
        <v>0</v>
      </c>
      <c r="X10" s="281">
        <f t="shared" si="34"/>
        <v>0</v>
      </c>
      <c r="Y10" s="281">
        <f t="shared" si="35"/>
        <v>0</v>
      </c>
      <c r="Z10" s="281">
        <f t="shared" si="36"/>
        <v>0</v>
      </c>
      <c r="AA10" s="281">
        <f t="shared" si="37"/>
        <v>0</v>
      </c>
      <c r="AB10" s="281">
        <f t="shared" si="38"/>
        <v>0</v>
      </c>
      <c r="AC10" s="281">
        <f t="shared" si="39"/>
        <v>0</v>
      </c>
      <c r="AD10" s="282">
        <f t="shared" si="40"/>
        <v>0</v>
      </c>
      <c r="AF10" s="284"/>
      <c r="AG10" s="452" t="s">
        <v>171</v>
      </c>
      <c r="AH10" s="452"/>
      <c r="AI10" s="452"/>
      <c r="AJ10" s="452"/>
      <c r="AK10" s="452"/>
      <c r="AL10" s="290" t="s">
        <v>170</v>
      </c>
      <c r="AM10" s="289"/>
      <c r="AN10" s="289"/>
      <c r="AO10" s="286"/>
    </row>
    <row r="11" spans="1:41" s="283" customFormat="1" ht="12" x14ac:dyDescent="0.2">
      <c r="A11" s="274">
        <v>8569186</v>
      </c>
      <c r="B11" s="275" t="str">
        <f>IFERROR(VLOOKUP(A11,'PLLA PARA EL SISTEMA'!$B$15:$AK$52,2,0),"")</f>
        <v>CHAVEZ DIAZ SEGUNDO FRANKLIN</v>
      </c>
      <c r="C11" s="276">
        <f>IFERROR(VLOOKUP(A11,'PLLA PARA EL SISTEMA'!$B$15:$AK$52,7,0),"")</f>
        <v>37104</v>
      </c>
      <c r="D11" s="277">
        <f>IFERROR(VLOOKUP(A11,'PLLA PARA EL SISTEMA'!$B$15:$CH$52,49,0),"")</f>
        <v>2400</v>
      </c>
      <c r="E11" s="303"/>
      <c r="F11" s="303"/>
      <c r="G11" s="303"/>
      <c r="H11" s="303"/>
      <c r="I11" s="303"/>
      <c r="J11" s="303"/>
      <c r="K11" s="303"/>
      <c r="L11" s="303"/>
      <c r="M11" s="303"/>
      <c r="N11" s="303"/>
      <c r="O11" s="303"/>
      <c r="P11" s="303"/>
      <c r="Q11" s="303">
        <f t="shared" si="27"/>
        <v>0</v>
      </c>
      <c r="R11" s="281">
        <f t="shared" si="28"/>
        <v>0</v>
      </c>
      <c r="S11" s="281">
        <f t="shared" si="29"/>
        <v>0</v>
      </c>
      <c r="T11" s="281">
        <f t="shared" si="30"/>
        <v>0</v>
      </c>
      <c r="U11" s="281">
        <f t="shared" si="31"/>
        <v>0</v>
      </c>
      <c r="V11" s="281">
        <f t="shared" si="32"/>
        <v>0</v>
      </c>
      <c r="W11" s="281">
        <f t="shared" si="33"/>
        <v>0</v>
      </c>
      <c r="X11" s="281">
        <f t="shared" si="34"/>
        <v>0</v>
      </c>
      <c r="Y11" s="281">
        <f t="shared" si="35"/>
        <v>0</v>
      </c>
      <c r="Z11" s="281">
        <f t="shared" si="36"/>
        <v>0</v>
      </c>
      <c r="AA11" s="281">
        <f t="shared" si="37"/>
        <v>0</v>
      </c>
      <c r="AB11" s="281">
        <f t="shared" si="38"/>
        <v>0</v>
      </c>
      <c r="AC11" s="281">
        <f t="shared" si="39"/>
        <v>0</v>
      </c>
      <c r="AD11" s="282">
        <f t="shared" si="40"/>
        <v>0</v>
      </c>
      <c r="AF11" s="284"/>
      <c r="AG11" s="291" t="s">
        <v>169</v>
      </c>
      <c r="AH11" s="292">
        <v>5</v>
      </c>
      <c r="AI11" s="293" t="s">
        <v>166</v>
      </c>
      <c r="AJ11" s="293" t="s">
        <v>165</v>
      </c>
      <c r="AK11" s="294">
        <f t="shared" ref="AK11:AK18" si="41">+AH11*$AH$8</f>
        <v>20750</v>
      </c>
      <c r="AL11" s="295">
        <v>0.08</v>
      </c>
      <c r="AM11" s="289"/>
      <c r="AN11" s="289"/>
      <c r="AO11" s="286"/>
    </row>
    <row r="12" spans="1:41" s="283" customFormat="1" ht="12" x14ac:dyDescent="0.2">
      <c r="A12" s="296">
        <v>47974615</v>
      </c>
      <c r="B12" s="275" t="str">
        <f>IFERROR(VLOOKUP(A12,'PLLA PARA EL SISTEMA'!$B$15:$AK$52,2,0),"")</f>
        <v>DUPA RAMIREZ FRANCISCO NEMECIO</v>
      </c>
      <c r="C12" s="276">
        <f>IFERROR(VLOOKUP(A12,'PLLA PARA EL SISTEMA'!$B$15:$AK$52,7,0),"")</f>
        <v>42842</v>
      </c>
      <c r="D12" s="277">
        <f>IFERROR(VLOOKUP(A12,'PLLA PARA EL SISTEMA'!$B$15:$CH$52,49,0),"")</f>
        <v>1200</v>
      </c>
      <c r="E12" s="303"/>
      <c r="F12" s="303"/>
      <c r="G12" s="303"/>
      <c r="H12" s="303"/>
      <c r="I12" s="303"/>
      <c r="J12" s="303"/>
      <c r="K12" s="303"/>
      <c r="L12" s="303"/>
      <c r="M12" s="303"/>
      <c r="N12" s="303"/>
      <c r="O12" s="303"/>
      <c r="P12" s="303"/>
      <c r="Q12" s="303">
        <f t="shared" si="27"/>
        <v>0</v>
      </c>
      <c r="R12" s="281">
        <f t="shared" si="28"/>
        <v>0</v>
      </c>
      <c r="S12" s="281">
        <f t="shared" si="29"/>
        <v>0</v>
      </c>
      <c r="T12" s="281">
        <f t="shared" si="30"/>
        <v>0</v>
      </c>
      <c r="U12" s="281">
        <f t="shared" si="31"/>
        <v>0</v>
      </c>
      <c r="V12" s="281">
        <f t="shared" si="32"/>
        <v>0</v>
      </c>
      <c r="W12" s="281">
        <f t="shared" si="33"/>
        <v>0</v>
      </c>
      <c r="X12" s="281">
        <f t="shared" si="34"/>
        <v>0</v>
      </c>
      <c r="Y12" s="281">
        <f t="shared" si="35"/>
        <v>0</v>
      </c>
      <c r="Z12" s="281">
        <f t="shared" si="36"/>
        <v>0</v>
      </c>
      <c r="AA12" s="281">
        <f t="shared" si="37"/>
        <v>0</v>
      </c>
      <c r="AB12" s="281">
        <f t="shared" si="38"/>
        <v>0</v>
      </c>
      <c r="AC12" s="281">
        <f t="shared" si="39"/>
        <v>0</v>
      </c>
      <c r="AD12" s="282">
        <f t="shared" si="40"/>
        <v>0</v>
      </c>
      <c r="AF12" s="284"/>
      <c r="AG12" s="291" t="s">
        <v>167</v>
      </c>
      <c r="AH12" s="292">
        <v>5</v>
      </c>
      <c r="AI12" s="293" t="s">
        <v>166</v>
      </c>
      <c r="AJ12" s="293" t="s">
        <v>165</v>
      </c>
      <c r="AK12" s="294">
        <f t="shared" si="41"/>
        <v>20750</v>
      </c>
      <c r="AL12" s="443">
        <v>0.14000000000000001</v>
      </c>
      <c r="AM12" s="289"/>
      <c r="AN12" s="289"/>
      <c r="AO12" s="286"/>
    </row>
    <row r="13" spans="1:41" s="283" customFormat="1" ht="12" x14ac:dyDescent="0.2">
      <c r="A13" s="275">
        <v>80677912</v>
      </c>
      <c r="B13" s="275" t="str">
        <f>IFERROR(VLOOKUP(A13,'PLLA PARA EL SISTEMA'!$B$15:$AK$52,2,0),"")</f>
        <v>FARFAN COLINA JOSE FRANCISCO</v>
      </c>
      <c r="C13" s="276">
        <f>IFERROR(VLOOKUP(A13,'PLLA PARA EL SISTEMA'!$B$15:$AK$52,7,0),"")</f>
        <v>42614</v>
      </c>
      <c r="D13" s="277">
        <f>IFERROR(VLOOKUP(A13,'PLLA PARA EL SISTEMA'!$B$15:$CH$52,49,0),"")</f>
        <v>1200</v>
      </c>
      <c r="E13" s="303"/>
      <c r="F13" s="303"/>
      <c r="G13" s="303"/>
      <c r="H13" s="303"/>
      <c r="I13" s="303"/>
      <c r="J13" s="303"/>
      <c r="K13" s="303"/>
      <c r="L13" s="303"/>
      <c r="M13" s="303"/>
      <c r="N13" s="303"/>
      <c r="O13" s="303"/>
      <c r="P13" s="303"/>
      <c r="Q13" s="303">
        <f t="shared" si="27"/>
        <v>0</v>
      </c>
      <c r="R13" s="281">
        <f t="shared" si="28"/>
        <v>0</v>
      </c>
      <c r="S13" s="281">
        <f t="shared" si="29"/>
        <v>0</v>
      </c>
      <c r="T13" s="281">
        <f t="shared" si="30"/>
        <v>0</v>
      </c>
      <c r="U13" s="281">
        <f t="shared" si="31"/>
        <v>0</v>
      </c>
      <c r="V13" s="281">
        <f t="shared" si="32"/>
        <v>0</v>
      </c>
      <c r="W13" s="281">
        <f t="shared" si="33"/>
        <v>0</v>
      </c>
      <c r="X13" s="281">
        <f t="shared" si="34"/>
        <v>0</v>
      </c>
      <c r="Y13" s="281">
        <f t="shared" si="35"/>
        <v>0</v>
      </c>
      <c r="Z13" s="281">
        <f t="shared" si="36"/>
        <v>0</v>
      </c>
      <c r="AA13" s="281">
        <f t="shared" si="37"/>
        <v>0</v>
      </c>
      <c r="AB13" s="281">
        <f t="shared" si="38"/>
        <v>0</v>
      </c>
      <c r="AC13" s="281">
        <f t="shared" si="39"/>
        <v>0</v>
      </c>
      <c r="AD13" s="282">
        <f t="shared" si="40"/>
        <v>0</v>
      </c>
      <c r="AF13" s="284"/>
      <c r="AG13" s="291" t="s">
        <v>168</v>
      </c>
      <c r="AH13" s="292">
        <v>20</v>
      </c>
      <c r="AI13" s="293" t="s">
        <v>166</v>
      </c>
      <c r="AJ13" s="293" t="s">
        <v>165</v>
      </c>
      <c r="AK13" s="294">
        <f t="shared" si="41"/>
        <v>83000</v>
      </c>
      <c r="AL13" s="443"/>
      <c r="AM13" s="289"/>
      <c r="AN13" s="289"/>
      <c r="AO13" s="297"/>
    </row>
    <row r="14" spans="1:41" s="283" customFormat="1" ht="12" x14ac:dyDescent="0.2">
      <c r="A14" s="298">
        <v>44112775</v>
      </c>
      <c r="B14" s="275" t="str">
        <f>IFERROR(VLOOKUP(A14,'PLLA PARA EL SISTEMA'!$B$15:$AK$52,2,0),"")</f>
        <v>HUAMANI CASAVILCA ROBERT WILLIAM</v>
      </c>
      <c r="C14" s="276">
        <f>IFERROR(VLOOKUP(A14,'PLLA PARA EL SISTEMA'!$B$15:$AK$52,7,0),"")</f>
        <v>42644</v>
      </c>
      <c r="D14" s="277">
        <f>IFERROR(VLOOKUP(A14,'PLLA PARA EL SISTEMA'!$B$15:$CH$52,49,0),"")</f>
        <v>1500</v>
      </c>
      <c r="E14" s="303"/>
      <c r="F14" s="303"/>
      <c r="G14" s="303"/>
      <c r="H14" s="303"/>
      <c r="I14" s="303"/>
      <c r="J14" s="303"/>
      <c r="K14" s="303"/>
      <c r="L14" s="303"/>
      <c r="M14" s="303"/>
      <c r="N14" s="303"/>
      <c r="O14" s="303"/>
      <c r="P14" s="303"/>
      <c r="Q14" s="303">
        <f t="shared" si="27"/>
        <v>0</v>
      </c>
      <c r="R14" s="281">
        <f t="shared" si="28"/>
        <v>0</v>
      </c>
      <c r="S14" s="281">
        <f t="shared" si="29"/>
        <v>0</v>
      </c>
      <c r="T14" s="281">
        <f t="shared" si="30"/>
        <v>0</v>
      </c>
      <c r="U14" s="281">
        <f t="shared" si="31"/>
        <v>0</v>
      </c>
      <c r="V14" s="281">
        <f t="shared" si="32"/>
        <v>0</v>
      </c>
      <c r="W14" s="281">
        <f t="shared" si="33"/>
        <v>0</v>
      </c>
      <c r="X14" s="281">
        <f t="shared" si="34"/>
        <v>0</v>
      </c>
      <c r="Y14" s="281">
        <f t="shared" si="35"/>
        <v>0</v>
      </c>
      <c r="Z14" s="281">
        <f t="shared" si="36"/>
        <v>0</v>
      </c>
      <c r="AA14" s="281">
        <f t="shared" si="37"/>
        <v>0</v>
      </c>
      <c r="AB14" s="281">
        <f t="shared" si="38"/>
        <v>0</v>
      </c>
      <c r="AC14" s="281">
        <f t="shared" si="39"/>
        <v>0</v>
      </c>
      <c r="AD14" s="282">
        <f t="shared" si="40"/>
        <v>0</v>
      </c>
      <c r="AF14" s="284"/>
      <c r="AG14" s="291" t="s">
        <v>167</v>
      </c>
      <c r="AH14" s="292">
        <v>20</v>
      </c>
      <c r="AI14" s="293" t="s">
        <v>166</v>
      </c>
      <c r="AJ14" s="293" t="s">
        <v>165</v>
      </c>
      <c r="AK14" s="294">
        <f t="shared" si="41"/>
        <v>83000</v>
      </c>
      <c r="AL14" s="443">
        <v>0.17</v>
      </c>
      <c r="AM14" s="289"/>
      <c r="AN14" s="289"/>
      <c r="AO14" s="286"/>
    </row>
    <row r="15" spans="1:41" s="283" customFormat="1" ht="12" x14ac:dyDescent="0.2">
      <c r="A15" s="275">
        <v>10533675</v>
      </c>
      <c r="B15" s="275" t="str">
        <f>IFERROR(VLOOKUP(A15,'PLLA PARA EL SISTEMA'!$B$15:$AK$52,2,0),"")</f>
        <v>JARA LEON SAMUEL BERNALDO</v>
      </c>
      <c r="C15" s="276">
        <f>IFERROR(VLOOKUP(A15,'PLLA PARA EL SISTEMA'!$B$15:$AK$52,7,0),"")</f>
        <v>41655</v>
      </c>
      <c r="D15" s="277">
        <f>IFERROR(VLOOKUP(A15,'PLLA PARA EL SISTEMA'!$B$15:$CH$52,49,0),"")</f>
        <v>1900</v>
      </c>
      <c r="E15" s="303"/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>
        <f t="shared" si="27"/>
        <v>0</v>
      </c>
      <c r="R15" s="281">
        <f t="shared" si="28"/>
        <v>0</v>
      </c>
      <c r="S15" s="281">
        <f t="shared" si="29"/>
        <v>0</v>
      </c>
      <c r="T15" s="281">
        <f t="shared" si="30"/>
        <v>0</v>
      </c>
      <c r="U15" s="281">
        <f t="shared" si="31"/>
        <v>0</v>
      </c>
      <c r="V15" s="281">
        <f t="shared" si="32"/>
        <v>0</v>
      </c>
      <c r="W15" s="281">
        <f t="shared" si="33"/>
        <v>0</v>
      </c>
      <c r="X15" s="281">
        <f t="shared" si="34"/>
        <v>0</v>
      </c>
      <c r="Y15" s="281">
        <f t="shared" si="35"/>
        <v>0</v>
      </c>
      <c r="Z15" s="281">
        <f t="shared" si="36"/>
        <v>0</v>
      </c>
      <c r="AA15" s="281">
        <f t="shared" si="37"/>
        <v>0</v>
      </c>
      <c r="AB15" s="281">
        <f t="shared" si="38"/>
        <v>0</v>
      </c>
      <c r="AC15" s="281">
        <f t="shared" si="39"/>
        <v>0</v>
      </c>
      <c r="AD15" s="282">
        <f t="shared" si="40"/>
        <v>0</v>
      </c>
      <c r="AF15" s="284"/>
      <c r="AG15" s="291" t="s">
        <v>168</v>
      </c>
      <c r="AH15" s="292">
        <v>35</v>
      </c>
      <c r="AI15" s="293" t="s">
        <v>166</v>
      </c>
      <c r="AJ15" s="293" t="s">
        <v>165</v>
      </c>
      <c r="AK15" s="294">
        <f t="shared" si="41"/>
        <v>145250</v>
      </c>
      <c r="AL15" s="443"/>
      <c r="AM15" s="289"/>
      <c r="AN15" s="289"/>
      <c r="AO15" s="297"/>
    </row>
    <row r="16" spans="1:41" s="283" customFormat="1" ht="12" x14ac:dyDescent="0.2">
      <c r="A16" s="296">
        <v>48140763</v>
      </c>
      <c r="B16" s="275" t="str">
        <f>IFERROR(VLOOKUP(A16,'PLLA PARA EL SISTEMA'!$B$15:$AK$52,2,0),"")</f>
        <v>NOLASCO PRINCIPE RONAL JACINTO</v>
      </c>
      <c r="C16" s="276">
        <f>IFERROR(VLOOKUP(A16,'PLLA PARA EL SISTEMA'!$B$15:$AK$52,7,0),"")</f>
        <v>42644</v>
      </c>
      <c r="D16" s="277">
        <f>IFERROR(VLOOKUP(A16,'PLLA PARA EL SISTEMA'!$B$15:$CH$52,49,0),"")</f>
        <v>1000.0000000000001</v>
      </c>
      <c r="E16" s="303"/>
      <c r="F16" s="303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>
        <f t="shared" si="27"/>
        <v>0</v>
      </c>
      <c r="R16" s="281">
        <f t="shared" si="28"/>
        <v>0</v>
      </c>
      <c r="S16" s="281">
        <f t="shared" si="29"/>
        <v>0</v>
      </c>
      <c r="T16" s="281">
        <f t="shared" si="30"/>
        <v>0</v>
      </c>
      <c r="U16" s="281">
        <f t="shared" si="31"/>
        <v>0</v>
      </c>
      <c r="V16" s="281">
        <f t="shared" si="32"/>
        <v>0</v>
      </c>
      <c r="W16" s="281">
        <f t="shared" si="33"/>
        <v>0</v>
      </c>
      <c r="X16" s="281">
        <f t="shared" si="34"/>
        <v>0</v>
      </c>
      <c r="Y16" s="281">
        <f t="shared" si="35"/>
        <v>0</v>
      </c>
      <c r="Z16" s="281">
        <f t="shared" si="36"/>
        <v>0</v>
      </c>
      <c r="AA16" s="281">
        <f t="shared" si="37"/>
        <v>0</v>
      </c>
      <c r="AB16" s="281">
        <f t="shared" si="38"/>
        <v>0</v>
      </c>
      <c r="AC16" s="281">
        <f t="shared" si="39"/>
        <v>0</v>
      </c>
      <c r="AD16" s="282">
        <f t="shared" si="40"/>
        <v>0</v>
      </c>
      <c r="AF16" s="284"/>
      <c r="AG16" s="291" t="s">
        <v>167</v>
      </c>
      <c r="AH16" s="292">
        <v>35</v>
      </c>
      <c r="AI16" s="293" t="s">
        <v>166</v>
      </c>
      <c r="AJ16" s="293" t="s">
        <v>165</v>
      </c>
      <c r="AK16" s="294">
        <f t="shared" si="41"/>
        <v>145250</v>
      </c>
      <c r="AL16" s="443">
        <v>0.2</v>
      </c>
      <c r="AM16" s="289"/>
      <c r="AN16" s="289"/>
      <c r="AO16" s="286"/>
    </row>
    <row r="17" spans="1:41" s="283" customFormat="1" ht="12" x14ac:dyDescent="0.2">
      <c r="A17" s="296">
        <v>44443243</v>
      </c>
      <c r="B17" s="275" t="str">
        <f>IFERROR(VLOOKUP(A17,'PLLA PARA EL SISTEMA'!$B$15:$AK$52,2,0),"")</f>
        <v>PARCO CASTILLON SAUL</v>
      </c>
      <c r="C17" s="276">
        <f>IFERROR(VLOOKUP(A17,'PLLA PARA EL SISTEMA'!$B$15:$AK$52,7,0),"")</f>
        <v>42644</v>
      </c>
      <c r="D17" s="277">
        <f>IFERROR(VLOOKUP(A17,'PLLA PARA EL SISTEMA'!$B$15:$CH$52,49,0),"")</f>
        <v>1500</v>
      </c>
      <c r="E17" s="303"/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>
        <f t="shared" si="27"/>
        <v>0</v>
      </c>
      <c r="R17" s="281">
        <f t="shared" si="28"/>
        <v>0</v>
      </c>
      <c r="S17" s="281">
        <f t="shared" si="29"/>
        <v>0</v>
      </c>
      <c r="T17" s="281">
        <f t="shared" si="30"/>
        <v>0</v>
      </c>
      <c r="U17" s="281">
        <f t="shared" si="31"/>
        <v>0</v>
      </c>
      <c r="V17" s="281">
        <f t="shared" si="32"/>
        <v>0</v>
      </c>
      <c r="W17" s="281">
        <f t="shared" si="33"/>
        <v>0</v>
      </c>
      <c r="X17" s="281">
        <f t="shared" si="34"/>
        <v>0</v>
      </c>
      <c r="Y17" s="281">
        <f t="shared" si="35"/>
        <v>0</v>
      </c>
      <c r="Z17" s="281">
        <f t="shared" si="36"/>
        <v>0</v>
      </c>
      <c r="AA17" s="281">
        <f t="shared" si="37"/>
        <v>0</v>
      </c>
      <c r="AB17" s="281">
        <f t="shared" si="38"/>
        <v>0</v>
      </c>
      <c r="AC17" s="281">
        <f t="shared" si="39"/>
        <v>0</v>
      </c>
      <c r="AD17" s="282">
        <f t="shared" si="40"/>
        <v>0</v>
      </c>
      <c r="AF17" s="284"/>
      <c r="AG17" s="291" t="s">
        <v>168</v>
      </c>
      <c r="AH17" s="292">
        <v>45</v>
      </c>
      <c r="AI17" s="293" t="s">
        <v>166</v>
      </c>
      <c r="AJ17" s="293" t="s">
        <v>165</v>
      </c>
      <c r="AK17" s="294">
        <f t="shared" si="41"/>
        <v>186750</v>
      </c>
      <c r="AL17" s="443"/>
      <c r="AM17" s="289"/>
      <c r="AN17" s="289"/>
      <c r="AO17" s="297"/>
    </row>
    <row r="18" spans="1:41" s="283" customFormat="1" ht="12" x14ac:dyDescent="0.2">
      <c r="A18" s="275">
        <v>41991289</v>
      </c>
      <c r="B18" s="275" t="str">
        <f>IFERROR(VLOOKUP(A18,'PLLA PARA EL SISTEMA'!$B$15:$AK$52,2,0),"")</f>
        <v>RODRIGUEZ ROSAS REYNALDO GERMAN</v>
      </c>
      <c r="C18" s="276">
        <f>IFERROR(VLOOKUP(A18,'PLLA PARA EL SISTEMA'!$B$15:$AK$52,7,0),"")</f>
        <v>39818</v>
      </c>
      <c r="D18" s="277">
        <f>IFERROR(VLOOKUP(A18,'PLLA PARA EL SISTEMA'!$B$15:$CH$52,49,0),"")</f>
        <v>2395</v>
      </c>
      <c r="E18" s="303"/>
      <c r="F18" s="303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3">
        <f t="shared" si="27"/>
        <v>0</v>
      </c>
      <c r="R18" s="281">
        <f t="shared" si="28"/>
        <v>0</v>
      </c>
      <c r="S18" s="281">
        <f t="shared" si="29"/>
        <v>0</v>
      </c>
      <c r="T18" s="281">
        <f t="shared" si="30"/>
        <v>0</v>
      </c>
      <c r="U18" s="281">
        <f t="shared" si="31"/>
        <v>0</v>
      </c>
      <c r="V18" s="281">
        <f t="shared" si="32"/>
        <v>0</v>
      </c>
      <c r="W18" s="281">
        <f t="shared" si="33"/>
        <v>0</v>
      </c>
      <c r="X18" s="281">
        <f t="shared" si="34"/>
        <v>0</v>
      </c>
      <c r="Y18" s="281">
        <f t="shared" si="35"/>
        <v>0</v>
      </c>
      <c r="Z18" s="281">
        <f t="shared" si="36"/>
        <v>0</v>
      </c>
      <c r="AA18" s="281">
        <f t="shared" si="37"/>
        <v>0</v>
      </c>
      <c r="AB18" s="281">
        <f t="shared" si="38"/>
        <v>0</v>
      </c>
      <c r="AC18" s="281">
        <f t="shared" si="39"/>
        <v>0</v>
      </c>
      <c r="AD18" s="282">
        <f t="shared" si="40"/>
        <v>0</v>
      </c>
      <c r="AF18" s="284"/>
      <c r="AG18" s="291" t="s">
        <v>167</v>
      </c>
      <c r="AH18" s="292">
        <v>45</v>
      </c>
      <c r="AI18" s="293" t="s">
        <v>166</v>
      </c>
      <c r="AJ18" s="293" t="s">
        <v>165</v>
      </c>
      <c r="AK18" s="294">
        <f t="shared" si="41"/>
        <v>186750</v>
      </c>
      <c r="AL18" s="295">
        <v>0.3</v>
      </c>
      <c r="AM18" s="289"/>
      <c r="AN18" s="289"/>
      <c r="AO18" s="286"/>
    </row>
    <row r="19" spans="1:41" s="283" customFormat="1" ht="12.75" thickBot="1" x14ac:dyDescent="0.25">
      <c r="A19" s="275">
        <v>10619175</v>
      </c>
      <c r="B19" s="275" t="str">
        <f>IFERROR(VLOOKUP(A19,'PLLA PARA EL SISTEMA'!$B$15:$AK$52,2,0),"")</f>
        <v>SARMIENTO AURIS SONIA LIZ</v>
      </c>
      <c r="C19" s="276">
        <f>IFERROR(VLOOKUP(A19,'PLLA PARA EL SISTEMA'!$B$15:$AK$52,7,0),"")</f>
        <v>39083</v>
      </c>
      <c r="D19" s="277">
        <f>IFERROR(VLOOKUP(A19,'PLLA PARA EL SISTEMA'!$B$15:$CH$52,49,0),"")</f>
        <v>1700</v>
      </c>
      <c r="E19" s="303"/>
      <c r="F19" s="303"/>
      <c r="G19" s="303"/>
      <c r="H19" s="303"/>
      <c r="I19" s="303"/>
      <c r="J19" s="303"/>
      <c r="K19" s="303"/>
      <c r="L19" s="303"/>
      <c r="M19" s="303"/>
      <c r="N19" s="303"/>
      <c r="O19" s="303"/>
      <c r="P19" s="303"/>
      <c r="Q19" s="303">
        <f t="shared" si="27"/>
        <v>0</v>
      </c>
      <c r="R19" s="281">
        <f t="shared" si="28"/>
        <v>0</v>
      </c>
      <c r="S19" s="281">
        <f t="shared" si="29"/>
        <v>0</v>
      </c>
      <c r="T19" s="281">
        <f t="shared" si="30"/>
        <v>0</v>
      </c>
      <c r="U19" s="281">
        <f t="shared" si="31"/>
        <v>0</v>
      </c>
      <c r="V19" s="281">
        <f t="shared" si="32"/>
        <v>0</v>
      </c>
      <c r="W19" s="281">
        <f t="shared" si="33"/>
        <v>0</v>
      </c>
      <c r="X19" s="281">
        <f t="shared" si="34"/>
        <v>0</v>
      </c>
      <c r="Y19" s="281">
        <f t="shared" si="35"/>
        <v>0</v>
      </c>
      <c r="Z19" s="281">
        <f t="shared" si="36"/>
        <v>0</v>
      </c>
      <c r="AA19" s="281">
        <f t="shared" si="37"/>
        <v>0</v>
      </c>
      <c r="AB19" s="281">
        <f t="shared" si="38"/>
        <v>0</v>
      </c>
      <c r="AC19" s="281">
        <f t="shared" si="39"/>
        <v>0</v>
      </c>
      <c r="AD19" s="282">
        <f t="shared" si="40"/>
        <v>0</v>
      </c>
      <c r="AF19" s="299"/>
      <c r="AG19" s="300"/>
      <c r="AH19" s="300"/>
      <c r="AI19" s="300"/>
      <c r="AJ19" s="300"/>
      <c r="AK19" s="300"/>
      <c r="AL19" s="300"/>
      <c r="AM19" s="300"/>
      <c r="AN19" s="300"/>
      <c r="AO19" s="301"/>
    </row>
    <row r="20" spans="1:41" s="283" customFormat="1" ht="12" x14ac:dyDescent="0.2">
      <c r="A20" s="296">
        <v>10750131</v>
      </c>
      <c r="B20" s="275" t="str">
        <f>IFERROR(VLOOKUP(A20,'PLLA PARA EL SISTEMA'!$B$15:$AK$52,2,0),"")</f>
        <v>VEGA ROSALES JOB EZEQUIEL</v>
      </c>
      <c r="C20" s="276">
        <f>IFERROR(VLOOKUP(A20,'PLLA PARA EL SISTEMA'!$B$15:$AK$52,7,0),"")</f>
        <v>42917</v>
      </c>
      <c r="D20" s="277">
        <f>IFERROR(VLOOKUP(A20,'PLLA PARA EL SISTEMA'!$B$15:$CH$52,49,0),"")</f>
        <v>1200</v>
      </c>
      <c r="E20" s="303"/>
      <c r="F20" s="303"/>
      <c r="G20" s="303"/>
      <c r="H20" s="303"/>
      <c r="I20" s="303"/>
      <c r="J20" s="303"/>
      <c r="K20" s="303"/>
      <c r="L20" s="303"/>
      <c r="M20" s="303"/>
      <c r="N20" s="303"/>
      <c r="O20" s="303"/>
      <c r="P20" s="303"/>
      <c r="Q20" s="303">
        <f t="shared" si="27"/>
        <v>0</v>
      </c>
      <c r="R20" s="281">
        <f t="shared" si="28"/>
        <v>0</v>
      </c>
      <c r="S20" s="281">
        <f t="shared" si="29"/>
        <v>0</v>
      </c>
      <c r="T20" s="281">
        <f t="shared" si="30"/>
        <v>0</v>
      </c>
      <c r="U20" s="281">
        <f t="shared" si="31"/>
        <v>0</v>
      </c>
      <c r="V20" s="281">
        <f t="shared" si="32"/>
        <v>0</v>
      </c>
      <c r="W20" s="281">
        <f t="shared" si="33"/>
        <v>0</v>
      </c>
      <c r="X20" s="281">
        <f t="shared" si="34"/>
        <v>0</v>
      </c>
      <c r="Y20" s="281">
        <f t="shared" si="35"/>
        <v>0</v>
      </c>
      <c r="Z20" s="281">
        <f t="shared" si="36"/>
        <v>0</v>
      </c>
      <c r="AA20" s="281">
        <f t="shared" si="37"/>
        <v>0</v>
      </c>
      <c r="AB20" s="281">
        <f t="shared" si="38"/>
        <v>0</v>
      </c>
      <c r="AC20" s="281">
        <f t="shared" si="39"/>
        <v>0</v>
      </c>
      <c r="AD20" s="282">
        <f t="shared" si="40"/>
        <v>0</v>
      </c>
    </row>
    <row r="21" spans="1:41" s="283" customFormat="1" ht="12" x14ac:dyDescent="0.2">
      <c r="A21" s="275">
        <v>47547622</v>
      </c>
      <c r="B21" s="275" t="str">
        <f>IFERROR(VLOOKUP(A21,'PLLA PARA EL SISTEMA'!$B$15:$AK$52,2,0),"")</f>
        <v>VELASQUEZ CAMPOS ABIGAIL NOEMI</v>
      </c>
      <c r="C21" s="276">
        <f>IFERROR(VLOOKUP(A21,'PLLA PARA EL SISTEMA'!$B$15:$AK$52,7,0),"")</f>
        <v>42795</v>
      </c>
      <c r="D21" s="277">
        <f>IFERROR(VLOOKUP(A21,'PLLA PARA EL SISTEMA'!$B$15:$CH$52,49,0),"")</f>
        <v>1000.0000000000001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>
        <f t="shared" si="27"/>
        <v>0</v>
      </c>
      <c r="R21" s="281">
        <f t="shared" si="28"/>
        <v>0</v>
      </c>
      <c r="S21" s="281">
        <f t="shared" si="29"/>
        <v>0</v>
      </c>
      <c r="T21" s="281">
        <f t="shared" si="30"/>
        <v>0</v>
      </c>
      <c r="U21" s="281">
        <f t="shared" si="31"/>
        <v>0</v>
      </c>
      <c r="V21" s="281">
        <f t="shared" si="32"/>
        <v>0</v>
      </c>
      <c r="W21" s="281">
        <f t="shared" si="33"/>
        <v>0</v>
      </c>
      <c r="X21" s="281">
        <f t="shared" si="34"/>
        <v>0</v>
      </c>
      <c r="Y21" s="281">
        <f t="shared" si="35"/>
        <v>0</v>
      </c>
      <c r="Z21" s="281">
        <f t="shared" si="36"/>
        <v>0</v>
      </c>
      <c r="AA21" s="281">
        <f t="shared" si="37"/>
        <v>0</v>
      </c>
      <c r="AB21" s="281">
        <f t="shared" si="38"/>
        <v>0</v>
      </c>
      <c r="AC21" s="281">
        <f t="shared" si="39"/>
        <v>0</v>
      </c>
      <c r="AD21" s="282">
        <f t="shared" si="40"/>
        <v>0</v>
      </c>
    </row>
    <row r="22" spans="1:41" s="283" customFormat="1" ht="12" x14ac:dyDescent="0.2">
      <c r="A22" s="275">
        <v>40709623</v>
      </c>
      <c r="B22" s="275" t="str">
        <f>IFERROR(VLOOKUP(A22,'PLLA PARA EL SISTEMA'!$B$15:$AK$52,2,0),"")</f>
        <v>VELASQUEZ CAMPOS DAVIS JONATHAN</v>
      </c>
      <c r="C22" s="276">
        <f>IFERROR(VLOOKUP(A22,'PLLA PARA EL SISTEMA'!$B$15:$AK$52,7,0),"")</f>
        <v>38565</v>
      </c>
      <c r="D22" s="277">
        <f>IFERROR(VLOOKUP(A22,'PLLA PARA EL SISTEMA'!$B$15:$CH$52,49,0),"")</f>
        <v>6000</v>
      </c>
      <c r="E22" s="303"/>
      <c r="F22" s="303"/>
      <c r="G22" s="303"/>
      <c r="H22" s="303"/>
      <c r="I22" s="303"/>
      <c r="J22" s="303"/>
      <c r="K22" s="303"/>
      <c r="L22" s="303"/>
      <c r="M22" s="303"/>
      <c r="N22" s="303"/>
      <c r="O22" s="303"/>
      <c r="P22" s="303"/>
      <c r="Q22" s="303">
        <f t="shared" si="27"/>
        <v>0</v>
      </c>
      <c r="R22" s="281">
        <f t="shared" si="28"/>
        <v>0</v>
      </c>
      <c r="S22" s="281">
        <f t="shared" si="29"/>
        <v>0</v>
      </c>
      <c r="T22" s="281">
        <f t="shared" si="30"/>
        <v>0</v>
      </c>
      <c r="U22" s="281">
        <f t="shared" si="31"/>
        <v>0</v>
      </c>
      <c r="V22" s="281">
        <f t="shared" si="32"/>
        <v>0</v>
      </c>
      <c r="W22" s="281">
        <f t="shared" si="33"/>
        <v>0</v>
      </c>
      <c r="X22" s="281">
        <f t="shared" si="34"/>
        <v>0</v>
      </c>
      <c r="Y22" s="281">
        <f t="shared" si="35"/>
        <v>0</v>
      </c>
      <c r="Z22" s="281">
        <f t="shared" si="36"/>
        <v>0</v>
      </c>
      <c r="AA22" s="281">
        <f t="shared" si="37"/>
        <v>0</v>
      </c>
      <c r="AB22" s="281">
        <f t="shared" si="38"/>
        <v>0</v>
      </c>
      <c r="AC22" s="281">
        <f t="shared" si="39"/>
        <v>0</v>
      </c>
      <c r="AD22" s="282">
        <f t="shared" si="40"/>
        <v>0</v>
      </c>
    </row>
    <row r="23" spans="1:41" s="283" customFormat="1" ht="12" x14ac:dyDescent="0.2">
      <c r="A23" s="275">
        <v>46287416</v>
      </c>
      <c r="B23" s="275" t="str">
        <f>IFERROR(VLOOKUP(A23,'PLLA PARA EL SISTEMA'!$B$15:$AK$52,2,0),"")</f>
        <v>CALLACNA VALENCIA JOSE JOSE</v>
      </c>
      <c r="C23" s="276">
        <f>IFERROR(VLOOKUP(A23,'PLLA PARA EL SISTEMA'!$B$15:$AK$52,7,0),"")</f>
        <v>43108</v>
      </c>
      <c r="D23" s="277">
        <f>IFERROR(VLOOKUP(A23,'PLLA PARA EL SISTEMA'!$B$15:$CH$52,49,0),"")</f>
        <v>1000.0000000000001</v>
      </c>
      <c r="E23" s="303"/>
      <c r="F23" s="303"/>
      <c r="G23" s="303"/>
      <c r="H23" s="303"/>
      <c r="I23" s="303"/>
      <c r="J23" s="303"/>
      <c r="K23" s="303"/>
      <c r="L23" s="303"/>
      <c r="M23" s="303"/>
      <c r="N23" s="303"/>
      <c r="O23" s="303"/>
      <c r="P23" s="303"/>
      <c r="Q23" s="303">
        <f t="shared" si="27"/>
        <v>0</v>
      </c>
      <c r="R23" s="281">
        <f t="shared" si="28"/>
        <v>0</v>
      </c>
      <c r="S23" s="281">
        <f t="shared" si="29"/>
        <v>0</v>
      </c>
      <c r="T23" s="281">
        <f t="shared" si="30"/>
        <v>0</v>
      </c>
      <c r="U23" s="281">
        <f t="shared" si="31"/>
        <v>0</v>
      </c>
      <c r="V23" s="281">
        <f t="shared" si="32"/>
        <v>0</v>
      </c>
      <c r="W23" s="281">
        <f t="shared" si="33"/>
        <v>0</v>
      </c>
      <c r="X23" s="281">
        <f t="shared" si="34"/>
        <v>0</v>
      </c>
      <c r="Y23" s="281">
        <f t="shared" si="35"/>
        <v>0</v>
      </c>
      <c r="Z23" s="281">
        <f t="shared" si="36"/>
        <v>0</v>
      </c>
      <c r="AA23" s="281">
        <f t="shared" si="37"/>
        <v>0</v>
      </c>
      <c r="AB23" s="281">
        <f t="shared" si="38"/>
        <v>0</v>
      </c>
      <c r="AC23" s="281">
        <f t="shared" si="39"/>
        <v>0</v>
      </c>
      <c r="AD23" s="282">
        <f t="shared" si="40"/>
        <v>0</v>
      </c>
    </row>
    <row r="24" spans="1:41" s="283" customFormat="1" ht="12" x14ac:dyDescent="0.2">
      <c r="A24" s="275">
        <v>41593805</v>
      </c>
      <c r="B24" s="275" t="str">
        <f>IFERROR(VLOOKUP(A24,'PLLA PARA EL SISTEMA'!$B$15:$AK$52,2,0),"")</f>
        <v>CALLIRGOS URBIZAGASTEGUI KARINA ROCIO</v>
      </c>
      <c r="C24" s="276">
        <f>IFERROR(VLOOKUP(A24,'PLLA PARA EL SISTEMA'!$B$15:$AK$52,7,0),"")</f>
        <v>43108</v>
      </c>
      <c r="D24" s="277">
        <f>IFERROR(VLOOKUP(A24,'PLLA PARA EL SISTEMA'!$B$15:$CH$52,49,0),"")</f>
        <v>935</v>
      </c>
      <c r="E24" s="303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>
        <f t="shared" si="27"/>
        <v>0</v>
      </c>
      <c r="R24" s="281">
        <f t="shared" si="28"/>
        <v>0</v>
      </c>
      <c r="S24" s="281">
        <f t="shared" si="29"/>
        <v>0</v>
      </c>
      <c r="T24" s="281">
        <f t="shared" si="30"/>
        <v>0</v>
      </c>
      <c r="U24" s="281">
        <f t="shared" si="31"/>
        <v>0</v>
      </c>
      <c r="V24" s="281">
        <f t="shared" si="32"/>
        <v>0</v>
      </c>
      <c r="W24" s="281">
        <f t="shared" si="33"/>
        <v>0</v>
      </c>
      <c r="X24" s="281">
        <f t="shared" si="34"/>
        <v>0</v>
      </c>
      <c r="Y24" s="281">
        <f t="shared" si="35"/>
        <v>0</v>
      </c>
      <c r="Z24" s="281">
        <f t="shared" si="36"/>
        <v>0</v>
      </c>
      <c r="AA24" s="281">
        <f t="shared" si="37"/>
        <v>0</v>
      </c>
      <c r="AB24" s="281">
        <f t="shared" si="38"/>
        <v>0</v>
      </c>
      <c r="AC24" s="281">
        <f t="shared" si="39"/>
        <v>0</v>
      </c>
      <c r="AD24" s="282">
        <f t="shared" si="40"/>
        <v>0</v>
      </c>
    </row>
    <row r="25" spans="1:41" s="283" customFormat="1" ht="12" x14ac:dyDescent="0.2">
      <c r="A25" s="275">
        <v>10611183</v>
      </c>
      <c r="B25" s="275" t="str">
        <f>IFERROR(VLOOKUP(A25,'PLLA PARA EL SISTEMA'!$B$15:$AK$52,2,0),"")</f>
        <v xml:space="preserve">FLORES TORRE ANDREA SEGUNDINA </v>
      </c>
      <c r="C25" s="276">
        <f>IFERROR(VLOOKUP(A25,'PLLA PARA EL SISTEMA'!$B$15:$AK$52,7,0),"")</f>
        <v>43108</v>
      </c>
      <c r="D25" s="277">
        <f>IFERROR(VLOOKUP(A25,'PLLA PARA EL SISTEMA'!$B$15:$CH$52,49,0),"")</f>
        <v>1000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>
        <f t="shared" si="27"/>
        <v>0</v>
      </c>
      <c r="R25" s="281">
        <f t="shared" si="28"/>
        <v>0</v>
      </c>
      <c r="S25" s="281">
        <f t="shared" si="29"/>
        <v>0</v>
      </c>
      <c r="T25" s="281">
        <f t="shared" si="30"/>
        <v>0</v>
      </c>
      <c r="U25" s="281">
        <f t="shared" si="31"/>
        <v>0</v>
      </c>
      <c r="V25" s="281">
        <f t="shared" si="32"/>
        <v>0</v>
      </c>
      <c r="W25" s="281">
        <f t="shared" si="33"/>
        <v>0</v>
      </c>
      <c r="X25" s="281">
        <f t="shared" si="34"/>
        <v>0</v>
      </c>
      <c r="Y25" s="281">
        <f t="shared" si="35"/>
        <v>0</v>
      </c>
      <c r="Z25" s="281">
        <f t="shared" si="36"/>
        <v>0</v>
      </c>
      <c r="AA25" s="281">
        <f t="shared" si="37"/>
        <v>0</v>
      </c>
      <c r="AB25" s="281">
        <f t="shared" si="38"/>
        <v>0</v>
      </c>
      <c r="AC25" s="281">
        <f t="shared" si="39"/>
        <v>0</v>
      </c>
      <c r="AD25" s="282">
        <f t="shared" si="40"/>
        <v>0</v>
      </c>
    </row>
    <row r="26" spans="1:41" s="283" customFormat="1" ht="12" x14ac:dyDescent="0.2">
      <c r="A26" s="275">
        <v>41237709</v>
      </c>
      <c r="B26" s="275" t="str">
        <f>IFERROR(VLOOKUP(A26,'PLLA PARA EL SISTEMA'!$B$15:$AK$52,2,0),"")</f>
        <v>QUISPE TITO BETTY  CARMEN</v>
      </c>
      <c r="C26" s="276">
        <f>IFERROR(VLOOKUP(A26,'PLLA PARA EL SISTEMA'!$B$15:$AK$52,7,0),"")</f>
        <v>43108</v>
      </c>
      <c r="D26" s="277">
        <f>IFERROR(VLOOKUP(A26,'PLLA PARA EL SISTEMA'!$B$15:$CH$52,49,0),"")</f>
        <v>935</v>
      </c>
      <c r="E26" s="303"/>
      <c r="F26" s="303"/>
      <c r="G26" s="303"/>
      <c r="H26" s="303"/>
      <c r="I26" s="303"/>
      <c r="J26" s="303"/>
      <c r="K26" s="303"/>
      <c r="L26" s="303"/>
      <c r="M26" s="303"/>
      <c r="N26" s="303"/>
      <c r="O26" s="303"/>
      <c r="P26" s="303"/>
      <c r="Q26" s="303">
        <f t="shared" si="27"/>
        <v>0</v>
      </c>
      <c r="R26" s="281">
        <f t="shared" si="28"/>
        <v>0</v>
      </c>
      <c r="S26" s="281">
        <f t="shared" si="29"/>
        <v>0</v>
      </c>
      <c r="T26" s="281">
        <f t="shared" si="30"/>
        <v>0</v>
      </c>
      <c r="U26" s="281">
        <f t="shared" si="31"/>
        <v>0</v>
      </c>
      <c r="V26" s="281">
        <f t="shared" si="32"/>
        <v>0</v>
      </c>
      <c r="W26" s="281">
        <f t="shared" si="33"/>
        <v>0</v>
      </c>
      <c r="X26" s="281">
        <f t="shared" si="34"/>
        <v>0</v>
      </c>
      <c r="Y26" s="281">
        <f t="shared" si="35"/>
        <v>0</v>
      </c>
      <c r="Z26" s="281">
        <f t="shared" si="36"/>
        <v>0</v>
      </c>
      <c r="AA26" s="281">
        <f t="shared" si="37"/>
        <v>0</v>
      </c>
      <c r="AB26" s="281">
        <f t="shared" si="38"/>
        <v>0</v>
      </c>
      <c r="AC26" s="281">
        <f t="shared" si="39"/>
        <v>0</v>
      </c>
      <c r="AD26" s="282">
        <f t="shared" si="40"/>
        <v>0</v>
      </c>
    </row>
    <row r="27" spans="1:41" s="283" customFormat="1" ht="12" x14ac:dyDescent="0.2">
      <c r="A27" s="275">
        <v>74446267</v>
      </c>
      <c r="B27" s="275" t="str">
        <f>IFERROR(VLOOKUP(A27,'PLLA PARA EL SISTEMA'!$B$15:$AK$52,2,0),"")</f>
        <v>AURES PEREZ DANITZA NELLY</v>
      </c>
      <c r="C27" s="276">
        <f>IFERROR(VLOOKUP(A27,'PLLA PARA EL SISTEMA'!$B$15:$AK$52,7,0),"")</f>
        <v>43108</v>
      </c>
      <c r="D27" s="277">
        <f>IFERROR(VLOOKUP(A27,'PLLA PARA EL SISTEMA'!$B$15:$CH$52,49,0),"")</f>
        <v>935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>
        <f t="shared" si="27"/>
        <v>0</v>
      </c>
      <c r="R27" s="281">
        <f t="shared" si="28"/>
        <v>0</v>
      </c>
      <c r="S27" s="281">
        <f t="shared" si="29"/>
        <v>0</v>
      </c>
      <c r="T27" s="281">
        <f t="shared" si="30"/>
        <v>0</v>
      </c>
      <c r="U27" s="281">
        <f t="shared" si="31"/>
        <v>0</v>
      </c>
      <c r="V27" s="281">
        <f t="shared" si="32"/>
        <v>0</v>
      </c>
      <c r="W27" s="281">
        <f t="shared" si="33"/>
        <v>0</v>
      </c>
      <c r="X27" s="281">
        <f t="shared" si="34"/>
        <v>0</v>
      </c>
      <c r="Y27" s="281">
        <f t="shared" si="35"/>
        <v>0</v>
      </c>
      <c r="Z27" s="281">
        <f t="shared" si="36"/>
        <v>0</v>
      </c>
      <c r="AA27" s="281">
        <f t="shared" si="37"/>
        <v>0</v>
      </c>
      <c r="AB27" s="281">
        <f t="shared" si="38"/>
        <v>0</v>
      </c>
      <c r="AC27" s="281">
        <f t="shared" si="39"/>
        <v>0</v>
      </c>
      <c r="AD27" s="282">
        <f t="shared" si="40"/>
        <v>0</v>
      </c>
    </row>
    <row r="28" spans="1:41" s="283" customFormat="1" ht="12" x14ac:dyDescent="0.2">
      <c r="A28" s="275"/>
      <c r="B28" s="275" t="str">
        <f>IFERROR(VLOOKUP(A28,'PLLA PARA EL SISTEMA'!$B$15:$AK$32,2,0),"")</f>
        <v/>
      </c>
      <c r="C28" s="276" t="str">
        <f>IFERROR(VLOOKUP(A28,'PLLA PARA EL SISTEMA'!$B$15:$AK$32,7,0),"")</f>
        <v/>
      </c>
      <c r="D28" s="277" t="str">
        <f>IFERROR(VLOOKUP(A28,'PLLA PARA EL SISTEMA'!$B$15:$CH$32,49,0),"")</f>
        <v/>
      </c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2"/>
    </row>
    <row r="30" spans="1:41" x14ac:dyDescent="0.25">
      <c r="C30" s="88"/>
      <c r="D30" s="88">
        <f t="shared" ref="D30:AD30" si="42">SUM(D7:D29)</f>
        <v>36630</v>
      </c>
      <c r="E30" s="88">
        <f t="shared" si="42"/>
        <v>0</v>
      </c>
      <c r="F30" s="88">
        <f t="shared" si="42"/>
        <v>0</v>
      </c>
      <c r="G30" s="88">
        <f t="shared" si="42"/>
        <v>0</v>
      </c>
      <c r="H30" s="88">
        <f t="shared" si="42"/>
        <v>0</v>
      </c>
      <c r="I30" s="88">
        <f t="shared" si="42"/>
        <v>0</v>
      </c>
      <c r="J30" s="88">
        <f t="shared" si="42"/>
        <v>0</v>
      </c>
      <c r="K30" s="88">
        <f t="shared" si="42"/>
        <v>0</v>
      </c>
      <c r="L30" s="88">
        <f t="shared" si="42"/>
        <v>0</v>
      </c>
      <c r="M30" s="88">
        <f t="shared" si="42"/>
        <v>0</v>
      </c>
      <c r="N30" s="88">
        <f t="shared" si="42"/>
        <v>0</v>
      </c>
      <c r="O30" s="88">
        <f t="shared" si="42"/>
        <v>0</v>
      </c>
      <c r="P30" s="88">
        <f t="shared" si="42"/>
        <v>0</v>
      </c>
      <c r="Q30" s="88">
        <f t="shared" si="42"/>
        <v>0</v>
      </c>
      <c r="R30" s="88">
        <f t="shared" si="42"/>
        <v>0</v>
      </c>
      <c r="S30" s="88">
        <f t="shared" si="42"/>
        <v>0</v>
      </c>
      <c r="T30" s="88">
        <f t="shared" si="42"/>
        <v>0</v>
      </c>
      <c r="U30" s="88">
        <f t="shared" si="42"/>
        <v>0</v>
      </c>
      <c r="V30" s="88">
        <f t="shared" si="42"/>
        <v>0</v>
      </c>
      <c r="W30" s="88">
        <f t="shared" si="42"/>
        <v>0</v>
      </c>
      <c r="X30" s="88">
        <f t="shared" si="42"/>
        <v>0</v>
      </c>
      <c r="Y30" s="88">
        <f t="shared" si="42"/>
        <v>0</v>
      </c>
      <c r="Z30" s="88">
        <f t="shared" si="42"/>
        <v>0</v>
      </c>
      <c r="AA30" s="88">
        <f t="shared" si="42"/>
        <v>0</v>
      </c>
      <c r="AB30" s="88">
        <f t="shared" si="42"/>
        <v>0</v>
      </c>
      <c r="AC30" s="88">
        <f t="shared" si="42"/>
        <v>0</v>
      </c>
      <c r="AD30" s="88">
        <f t="shared" si="42"/>
        <v>0</v>
      </c>
    </row>
  </sheetData>
  <mergeCells count="13">
    <mergeCell ref="B2:W2"/>
    <mergeCell ref="AF4:AO6"/>
    <mergeCell ref="A5:A6"/>
    <mergeCell ref="B5:B6"/>
    <mergeCell ref="C5:C6"/>
    <mergeCell ref="D5:D6"/>
    <mergeCell ref="E5:Q5"/>
    <mergeCell ref="R5:AD5"/>
    <mergeCell ref="AH8:AJ8"/>
    <mergeCell ref="AG10:AK10"/>
    <mergeCell ref="AL12:AL13"/>
    <mergeCell ref="AL14:AL15"/>
    <mergeCell ref="AL16:AL17"/>
  </mergeCells>
  <pageMargins left="0.7" right="0.7" top="0.75" bottom="0.75" header="0.3" footer="0.3"/>
  <pageSetup paperSize="9" scale="33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17"/>
  <sheetViews>
    <sheetView workbookViewId="0">
      <selection activeCell="H18" sqref="H18"/>
    </sheetView>
  </sheetViews>
  <sheetFormatPr defaultColWidth="11.42578125" defaultRowHeight="15" x14ac:dyDescent="0.25"/>
  <sheetData>
    <row r="1" spans="1:6" x14ac:dyDescent="0.25">
      <c r="A1" t="s">
        <v>216</v>
      </c>
      <c r="B1" t="s">
        <v>220</v>
      </c>
      <c r="C1" t="s">
        <v>184</v>
      </c>
      <c r="D1" s="273">
        <v>43101</v>
      </c>
      <c r="E1" s="273">
        <v>43131</v>
      </c>
      <c r="F1" s="273"/>
    </row>
    <row r="2" spans="1:6" x14ac:dyDescent="0.25">
      <c r="A2" t="s">
        <v>217</v>
      </c>
      <c r="B2" t="s">
        <v>221</v>
      </c>
      <c r="C2" t="s">
        <v>183</v>
      </c>
      <c r="D2" s="273">
        <v>43132</v>
      </c>
      <c r="E2" s="273">
        <v>43159</v>
      </c>
      <c r="F2" s="273"/>
    </row>
    <row r="3" spans="1:6" x14ac:dyDescent="0.25">
      <c r="C3" t="s">
        <v>182</v>
      </c>
      <c r="D3" s="273">
        <v>43160</v>
      </c>
      <c r="E3" s="273">
        <v>43190</v>
      </c>
      <c r="F3" s="273"/>
    </row>
    <row r="4" spans="1:6" x14ac:dyDescent="0.25">
      <c r="C4" t="s">
        <v>181</v>
      </c>
      <c r="D4" s="273">
        <v>43191</v>
      </c>
      <c r="E4" s="273">
        <v>43220</v>
      </c>
      <c r="F4" s="273"/>
    </row>
    <row r="5" spans="1:6" x14ac:dyDescent="0.25">
      <c r="C5" t="s">
        <v>180</v>
      </c>
      <c r="D5" s="273">
        <v>43221</v>
      </c>
      <c r="E5" s="273">
        <v>43251</v>
      </c>
      <c r="F5" s="273"/>
    </row>
    <row r="6" spans="1:6" x14ac:dyDescent="0.25">
      <c r="C6" t="s">
        <v>179</v>
      </c>
      <c r="D6" s="273">
        <v>43252</v>
      </c>
      <c r="E6" s="273">
        <v>43281</v>
      </c>
      <c r="F6" s="273"/>
    </row>
    <row r="7" spans="1:6" x14ac:dyDescent="0.25">
      <c r="C7" t="s">
        <v>178</v>
      </c>
      <c r="D7" s="273">
        <v>43282</v>
      </c>
      <c r="E7" s="273">
        <v>43312</v>
      </c>
      <c r="F7" s="273"/>
    </row>
    <row r="8" spans="1:6" x14ac:dyDescent="0.25">
      <c r="C8" t="s">
        <v>177</v>
      </c>
      <c r="D8" s="273">
        <v>43313</v>
      </c>
      <c r="E8" s="273">
        <v>43343</v>
      </c>
      <c r="F8" s="273"/>
    </row>
    <row r="9" spans="1:6" x14ac:dyDescent="0.25">
      <c r="C9" t="s">
        <v>224</v>
      </c>
      <c r="D9" s="273">
        <v>43344</v>
      </c>
      <c r="E9" s="273">
        <v>43373</v>
      </c>
      <c r="F9" s="273"/>
    </row>
    <row r="10" spans="1:6" x14ac:dyDescent="0.25">
      <c r="C10" t="s">
        <v>175</v>
      </c>
      <c r="D10" s="273">
        <v>43374</v>
      </c>
      <c r="E10" s="273">
        <v>43404</v>
      </c>
      <c r="F10" s="273"/>
    </row>
    <row r="11" spans="1:6" x14ac:dyDescent="0.25">
      <c r="C11" t="s">
        <v>174</v>
      </c>
      <c r="D11" s="273">
        <v>43405</v>
      </c>
      <c r="E11" s="273">
        <v>43434</v>
      </c>
      <c r="F11" s="273"/>
    </row>
    <row r="12" spans="1:6" x14ac:dyDescent="0.25">
      <c r="C12" t="s">
        <v>4</v>
      </c>
      <c r="D12" s="273">
        <v>43435</v>
      </c>
      <c r="E12" s="273">
        <v>43465</v>
      </c>
      <c r="F12" s="273"/>
    </row>
    <row r="13" spans="1:6" x14ac:dyDescent="0.25">
      <c r="E13" s="273"/>
    </row>
    <row r="14" spans="1:6" x14ac:dyDescent="0.25">
      <c r="E14" s="273"/>
    </row>
    <row r="15" spans="1:6" x14ac:dyDescent="0.25">
      <c r="E15" s="273"/>
    </row>
    <row r="16" spans="1:6" x14ac:dyDescent="0.25">
      <c r="E16" s="273"/>
    </row>
    <row r="17" spans="5:5" x14ac:dyDescent="0.25">
      <c r="E17" s="2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ASIENTO CONTABLE</vt:lpstr>
      <vt:lpstr>PLLA PARA EL SISTEMA</vt:lpstr>
      <vt:lpstr>BOLETA</vt:lpstr>
      <vt:lpstr>CALCULO 5TA</vt:lpstr>
      <vt:lpstr> P CTS</vt:lpstr>
      <vt:lpstr>GRAT</vt:lpstr>
      <vt:lpstr>VAC</vt:lpstr>
      <vt:lpstr>TABLA</vt:lpstr>
      <vt:lpstr>CODIGO</vt:lpstr>
      <vt:lpstr>FIN</vt:lpstr>
      <vt:lpstr>INICIO</vt:lpstr>
      <vt:lpstr>' P CTS'!Print_Area</vt:lpstr>
      <vt:lpstr>BOLETA!Print_Area</vt:lpstr>
      <vt:lpstr>GRAT!Print_Area</vt:lpstr>
      <vt:lpstr>VAC!Print_Area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</dc:creator>
  <cp:lastModifiedBy>Victor</cp:lastModifiedBy>
  <cp:lastPrinted>2018-01-18T15:40:10Z</cp:lastPrinted>
  <dcterms:created xsi:type="dcterms:W3CDTF">2018-01-15T16:38:28Z</dcterms:created>
  <dcterms:modified xsi:type="dcterms:W3CDTF">2018-04-14T20:09:21Z</dcterms:modified>
</cp:coreProperties>
</file>